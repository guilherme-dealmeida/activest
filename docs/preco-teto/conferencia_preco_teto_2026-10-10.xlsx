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V2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3" borderId="0" pivotButton="0" quotePrefix="0" xfId="0"/>
    <xf numFmtId="10" fontId="0" fillId="3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3" borderId="0" pivotButton="0" quotePrefix="0" xfId="0"/>
    <xf numFmtId="164" fontId="0" fillId="0" borderId="0" pivotButton="0" quotePrefix="0" xfId="0"/>
    <xf numFmtId="3" fontId="0" fillId="2" borderId="0" pivotButton="0" quotePrefix="0" xfId="0"/>
    <xf numFmtId="164" fontId="0" fillId="2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34" customWidth="1" min="37" max="37"/>
  </cols>
  <sheetData>
    <row r="1">
      <c r="A1" s="1" t="inlineStr">
        <is>
          <t>TICKER</t>
        </is>
      </c>
      <c r="B1" s="1" t="inlineStr">
        <is>
          <t>NRO PAPEIS</t>
        </is>
      </c>
      <c r="C1" s="1" t="inlineStr">
        <is>
          <t>PAYOUT</t>
        </is>
      </c>
      <c r="D1" s="1" t="inlineStr">
        <is>
          <t>ROE</t>
        </is>
      </c>
      <c r="E1" s="1" t="inlineStr">
        <is>
          <t>TX CRES</t>
        </is>
      </c>
      <c r="F1" s="1" t="inlineStr">
        <is>
          <t>LL T-3</t>
        </is>
      </c>
      <c r="G1" s="1" t="inlineStr">
        <is>
          <t>LL T-2</t>
        </is>
      </c>
      <c r="H1" s="1" t="inlineStr">
        <is>
          <t>LL T-1</t>
        </is>
      </c>
      <c r="I1" s="1" t="inlineStr">
        <is>
          <t>LL T</t>
        </is>
      </c>
      <c r="J1" s="1" t="inlineStr">
        <is>
          <t>LUCRO LÍQUIDO TTM</t>
        </is>
      </c>
      <c r="K1" s="1" t="inlineStr">
        <is>
          <t>LUCRO PROJETADO / FC1</t>
        </is>
      </c>
      <c r="L1" s="1" t="inlineStr">
        <is>
          <t>DESCONTO</t>
        </is>
      </c>
      <c r="M1" s="1" t="inlineStr">
        <is>
          <t>MARGEM SEGURANÇA</t>
        </is>
      </c>
      <c r="N1" s="1" t="inlineStr">
        <is>
          <t>VPL1</t>
        </is>
      </c>
      <c r="O1" s="1" t="inlineStr">
        <is>
          <t>FCA2</t>
        </is>
      </c>
      <c r="P1" s="1" t="inlineStr">
        <is>
          <t>VPL2</t>
        </is>
      </c>
      <c r="Q1" s="1" t="inlineStr">
        <is>
          <t>FCA3</t>
        </is>
      </c>
      <c r="R1" s="1" t="inlineStr">
        <is>
          <t>VPL3</t>
        </is>
      </c>
      <c r="S1" s="1" t="inlineStr">
        <is>
          <t>G PERPÉTUO</t>
        </is>
      </c>
      <c r="T1" s="1" t="inlineStr">
        <is>
          <t>FCAP</t>
        </is>
      </c>
      <c r="U1" s="1" t="inlineStr">
        <is>
          <t>VPLP</t>
        </is>
      </c>
      <c r="V1" s="1" t="inlineStr">
        <is>
          <t>MARKET CAP</t>
        </is>
      </c>
      <c r="W1" s="1" t="inlineStr">
        <is>
          <t>PREÇO ATUAL</t>
        </is>
      </c>
      <c r="X1" s="1" t="inlineStr">
        <is>
          <t>PREÇO TETO</t>
        </is>
      </c>
      <c r="Y1" s="1" t="inlineStr">
        <is>
          <t>MARGEM TETO</t>
        </is>
      </c>
      <c r="Z1" s="1" t="inlineStr">
        <is>
          <t>PREÇO IDEAL</t>
        </is>
      </c>
      <c r="AA1" s="1" t="inlineStr">
        <is>
          <t>MARGEM IDEAL</t>
        </is>
      </c>
      <c r="AB1" s="2" t="inlineStr">
        <is>
          <t>PV LL TTM</t>
        </is>
      </c>
      <c r="AC1" s="2" t="inlineStr">
        <is>
          <t>PV VALOR PATRIMÔNIO</t>
        </is>
      </c>
      <c r="AD1" s="2" t="inlineStr">
        <is>
          <t>PV PREÇO TETO</t>
        </is>
      </c>
      <c r="AE1" s="2" t="inlineStr">
        <is>
          <t>PV PREÇO IDEAL</t>
        </is>
      </c>
      <c r="AF1" s="2" t="inlineStr">
        <is>
          <t>PV MARGEM TETO</t>
        </is>
      </c>
      <c r="AG1" s="2" t="inlineStr">
        <is>
          <t>PV MARGEM IDEAL</t>
        </is>
      </c>
      <c r="AH1" s="2" t="inlineStr">
        <is>
          <t>DIF TETO (R$)</t>
        </is>
      </c>
      <c r="AI1" s="2" t="inlineStr">
        <is>
          <t>DIF IDEAL (R$)</t>
        </is>
      </c>
      <c r="AJ1" s="2" t="inlineStr">
        <is>
          <t>CONFERE?</t>
        </is>
      </c>
      <c r="AK1" s="2" t="inlineStr">
        <is>
          <t>ORIGEM</t>
        </is>
      </c>
    </row>
    <row r="2">
      <c r="A2" s="3" t="inlineStr">
        <is>
          <t>VALE3</t>
        </is>
      </c>
      <c r="B2" s="4" t="n">
        <v>4072366000</v>
      </c>
      <c r="C2" s="5" t="n">
        <v>0.9333</v>
      </c>
      <c r="D2" s="5" t="n">
        <v>0.1469</v>
      </c>
      <c r="E2" s="6">
        <f>D2*(1-C2)</f>
        <v/>
      </c>
      <c r="F2" s="4" t="n">
        <v>14617000000</v>
      </c>
      <c r="G2" s="4" t="n">
        <v>-21048000000</v>
      </c>
      <c r="H2" s="4" t="n">
        <v>9953000000</v>
      </c>
      <c r="I2" s="4" t="n">
        <v>6847000000</v>
      </c>
      <c r="J2" s="7">
        <f>IF(COUNT(F2:I2)=4,SUM(F2:I2),"")</f>
        <v/>
      </c>
      <c r="K2" s="7">
        <f>IF(J2&lt;&gt;"",J2,"")</f>
        <v/>
      </c>
      <c r="L2" s="5" t="n">
        <v>0.1375</v>
      </c>
      <c r="M2" s="5" t="n">
        <v>0.15</v>
      </c>
      <c r="N2" s="7">
        <f>IF(K2&lt;&gt;"",K2/(1+L2),"")</f>
        <v/>
      </c>
      <c r="O2" s="7">
        <f>IF(K2&lt;&gt;"",K2*(1+E2),"")</f>
        <v/>
      </c>
      <c r="P2" s="7">
        <f>IF(O2&lt;&gt;"",O2/(1+L2)^2,"")</f>
        <v/>
      </c>
      <c r="Q2" s="7">
        <f>IF(O2&lt;&gt;"",O2*(1+E2),"")</f>
        <v/>
      </c>
      <c r="R2" s="7">
        <f>IF(Q2&lt;&gt;"",Q2/(1+L2)^3,"")</f>
        <v/>
      </c>
      <c r="S2" s="5" t="n">
        <v>0.03</v>
      </c>
      <c r="T2" s="7">
        <f>IF(Q2&lt;&gt;"",Q2*(1+S2)/(L2-S2),"")</f>
        <v/>
      </c>
      <c r="U2" s="7">
        <f>IF(T2&lt;&gt;"",T2/(1+L2)^3,"")</f>
        <v/>
      </c>
      <c r="V2" s="7">
        <f>IF(COUNT(N2,P2,R2,U2)=4,SUM(N2,P2,R2,U2),"")</f>
        <v/>
      </c>
      <c r="W2" s="8" t="n">
        <v>67.90000000000001</v>
      </c>
      <c r="X2" s="9">
        <f>IF(AND(V2&lt;&gt;"",B2&gt;0),V2/B2,"")</f>
        <v/>
      </c>
      <c r="Y2" s="6">
        <f>IF(AND(X2&lt;&gt;"",W2&gt;0),X2/W2-1,"")</f>
        <v/>
      </c>
      <c r="Z2" s="9">
        <f>IF(AND(X2&lt;&gt;"",M2&gt;=0),X2*(1-M2),"")</f>
        <v/>
      </c>
      <c r="AA2" s="6">
        <f>IF(AND(Z2&lt;&gt;"",W2&gt;0),Z2/W2-1,"")</f>
        <v/>
      </c>
      <c r="AB2" s="10" t="n">
        <v>10369000000</v>
      </c>
      <c r="AC2" s="10" t="n">
        <v>93222056907.67</v>
      </c>
      <c r="AD2" s="11" t="n">
        <v>22.8914</v>
      </c>
      <c r="AE2" s="11" t="n">
        <v>19.4577</v>
      </c>
      <c r="AF2" s="12" t="n">
        <v>-0.6628660000000001</v>
      </c>
      <c r="AG2" s="12" t="n">
        <v>-0.713436</v>
      </c>
      <c r="AH2" s="9">
        <f>IF(AND(ISNUMBER(X2),ISNUMBER(AD2)),AD2-X2,"")</f>
        <v/>
      </c>
      <c r="AI2" s="9">
        <f>IF(AND(ISNUMBER(Z2),ISNUMBER(AE2)),AE2-Z2,"")</f>
        <v/>
      </c>
      <c r="AJ2">
        <f>IF(ISNUMBER(AH2),IF(ABS(AH2)&lt;0.0001,"SIM","NÃO"),"—")</f>
        <v/>
      </c>
      <c r="AK2" t="inlineStr">
        <is>
          <t>VALE3 (padroes do PrimeVest)</t>
        </is>
      </c>
    </row>
    <row r="3">
      <c r="A3" s="3" t="inlineStr">
        <is>
          <t>VALE3</t>
        </is>
      </c>
      <c r="B3" s="4" t="n">
        <v>4262140830</v>
      </c>
      <c r="C3" s="5" t="n">
        <v>0.4819</v>
      </c>
      <c r="D3" s="5" t="n">
        <v>0.1926</v>
      </c>
      <c r="E3" s="6">
        <f>D3*(1-C3)</f>
        <v/>
      </c>
      <c r="F3" s="4" t="n">
        <v>9956933910</v>
      </c>
      <c r="G3" s="4" t="n">
        <v>6940807500</v>
      </c>
      <c r="H3" s="4" t="n">
        <v>9956933910</v>
      </c>
      <c r="I3" s="4" t="n">
        <v>6940807500</v>
      </c>
      <c r="J3" s="7">
        <f>IF(COUNT(F3:I3)=4,SUM(F3:I3),"")</f>
        <v/>
      </c>
      <c r="K3" s="7">
        <f>IF(J3&lt;&gt;"",J3,"")</f>
        <v/>
      </c>
      <c r="L3" s="5" t="n">
        <v>0.1375</v>
      </c>
      <c r="M3" s="5" t="n">
        <v>0.15</v>
      </c>
      <c r="N3" s="7">
        <f>IF(K3&lt;&gt;"",K3/(1+L3),"")</f>
        <v/>
      </c>
      <c r="O3" s="7">
        <f>IF(K3&lt;&gt;"",K3*(1+E3),"")</f>
        <v/>
      </c>
      <c r="P3" s="7">
        <f>IF(O3&lt;&gt;"",O3/(1+L3)^2,"")</f>
        <v/>
      </c>
      <c r="Q3" s="7">
        <f>IF(O3&lt;&gt;"",O3*(1+E3),"")</f>
        <v/>
      </c>
      <c r="R3" s="7">
        <f>IF(Q3&lt;&gt;"",Q3/(1+L3)^3,"")</f>
        <v/>
      </c>
      <c r="S3" s="5" t="n">
        <v>0.03</v>
      </c>
      <c r="T3" s="7">
        <f>IF(Q3&lt;&gt;"",Q3*(1+S3)/(L3-S3),"")</f>
        <v/>
      </c>
      <c r="U3" s="7">
        <f>IF(T3&lt;&gt;"",T3/(1+L3)^3,"")</f>
        <v/>
      </c>
      <c r="V3" s="7">
        <f>IF(COUNT(N3,P3,R3,U3)=4,SUM(N3,P3,R3,U3),"")</f>
        <v/>
      </c>
      <c r="W3" s="8" t="n">
        <v>67.63</v>
      </c>
      <c r="X3" s="9">
        <f>IF(AND(V3&lt;&gt;"",B3&gt;0),V3/B3,"")</f>
        <v/>
      </c>
      <c r="Y3" s="6">
        <f>IF(AND(X3&lt;&gt;"",W3&gt;0),X3/W3-1,"")</f>
        <v/>
      </c>
      <c r="Z3" s="9">
        <f>IF(AND(X3&lt;&gt;"",M3&gt;=0),X3*(1-M3),"")</f>
        <v/>
      </c>
      <c r="AA3" s="6">
        <f>IF(AND(Z3&lt;&gt;"",W3&gt;0),Z3/W3-1,"")</f>
        <v/>
      </c>
      <c r="AB3" s="10" t="n">
        <v>33795482820</v>
      </c>
      <c r="AC3" s="10" t="n">
        <v>352311364973.54</v>
      </c>
      <c r="AD3" s="11" t="n">
        <v>82.66070000000001</v>
      </c>
      <c r="AE3" s="11" t="n">
        <v>70.2616</v>
      </c>
      <c r="AF3" s="12" t="n">
        <v>0.222248</v>
      </c>
      <c r="AG3" s="12" t="n">
        <v>0.038911</v>
      </c>
      <c r="AH3" s="9">
        <f>IF(AND(ISNUMBER(X3),ISNUMBER(AD3)),AD3-X3,"")</f>
        <v/>
      </c>
      <c r="AI3" s="9">
        <f>IF(AND(ISNUMBER(Z3),ISNUMBER(AE3)),AE3-Z3,"")</f>
        <v/>
      </c>
      <c r="AJ3">
        <f>IF(ISNUMBER(AH3),IF(ABS(AH3)&lt;0.0001,"SIM","NÃO"),"—")</f>
        <v/>
      </c>
      <c r="AK3" t="inlineStr">
        <is>
          <t>VALE3 (linha da planilha V2)</t>
        </is>
      </c>
    </row>
    <row r="4">
      <c r="A4" s="3" t="inlineStr">
        <is>
          <t>PETR4</t>
        </is>
      </c>
      <c r="B4" s="4" t="n">
        <v>12888732761</v>
      </c>
      <c r="C4" s="5" t="n">
        <v>1.3122</v>
      </c>
      <c r="D4" s="5" t="n">
        <v>0.2384</v>
      </c>
      <c r="E4" s="6">
        <f>D4*(1-C4)</f>
        <v/>
      </c>
      <c r="F4" s="4" t="n">
        <v>32705000000</v>
      </c>
      <c r="G4" s="4" t="n">
        <v>15563000000</v>
      </c>
      <c r="H4" s="4" t="n">
        <v>32663000000</v>
      </c>
      <c r="I4" s="4" t="n">
        <v>52445000000</v>
      </c>
      <c r="J4" s="7">
        <f>IF(COUNT(F4:I4)=4,SUM(F4:I4),"")</f>
        <v/>
      </c>
      <c r="K4" s="7">
        <f>IF(J4&lt;&gt;"",J4,"")</f>
        <v/>
      </c>
      <c r="L4" s="5" t="n">
        <v>0.1375</v>
      </c>
      <c r="M4" s="5" t="n">
        <v>0.15</v>
      </c>
      <c r="N4" s="7">
        <f>IF(K4&lt;&gt;"",K4/(1+L4),"")</f>
        <v/>
      </c>
      <c r="O4" s="7">
        <f>IF(K4&lt;&gt;"",K4*(1+E4),"")</f>
        <v/>
      </c>
      <c r="P4" s="7">
        <f>IF(O4&lt;&gt;"",O4/(1+L4)^2,"")</f>
        <v/>
      </c>
      <c r="Q4" s="7">
        <f>IF(O4&lt;&gt;"",O4*(1+E4),"")</f>
        <v/>
      </c>
      <c r="R4" s="7">
        <f>IF(Q4&lt;&gt;"",Q4/(1+L4)^3,"")</f>
        <v/>
      </c>
      <c r="S4" s="5" t="n">
        <v>0.03</v>
      </c>
      <c r="T4" s="7">
        <f>IF(Q4&lt;&gt;"",Q4*(1+S4)/(L4-S4),"")</f>
        <v/>
      </c>
      <c r="U4" s="7">
        <f>IF(T4&lt;&gt;"",T4/(1+L4)^3,"")</f>
        <v/>
      </c>
      <c r="V4" s="7">
        <f>IF(COUNT(N4,P4,R4,U4)=4,SUM(N4,P4,R4,U4),"")</f>
        <v/>
      </c>
      <c r="W4" s="8" t="n">
        <v>56</v>
      </c>
      <c r="X4" s="9">
        <f>IF(AND(V4&lt;&gt;"",B4&gt;0),V4/B4,"")</f>
        <v/>
      </c>
      <c r="Y4" s="6">
        <f>IF(AND(X4&lt;&gt;"",W4&gt;0),X4/W4-1,"")</f>
        <v/>
      </c>
      <c r="Z4" s="9">
        <f>IF(AND(X4&lt;&gt;"",M4&gt;=0),X4*(1-M4),"")</f>
        <v/>
      </c>
      <c r="AA4" s="6">
        <f>IF(AND(Z4&lt;&gt;"",W4&gt;0),Z4/W4-1,"")</f>
        <v/>
      </c>
      <c r="AB4" s="10" t="n">
        <v>133376000000</v>
      </c>
      <c r="AC4" s="10" t="n">
        <v>1034121563028.02</v>
      </c>
      <c r="AD4" s="11" t="n">
        <v>80.2345</v>
      </c>
      <c r="AE4" s="11" t="n">
        <v>68.1994</v>
      </c>
      <c r="AF4" s="12" t="n">
        <v>0.43276</v>
      </c>
      <c r="AG4" s="12" t="n">
        <v>0.217846</v>
      </c>
      <c r="AH4" s="9">
        <f>IF(AND(ISNUMBER(X4),ISNUMBER(AD4)),AD4-X4,"")</f>
        <v/>
      </c>
      <c r="AI4" s="9">
        <f>IF(AND(ISNUMBER(Z4),ISNUMBER(AE4)),AE4-Z4,"")</f>
        <v/>
      </c>
      <c r="AJ4">
        <f>IF(ISNUMBER(AH4),IF(ABS(AH4)&lt;0.0001,"SIM","NÃO"),"—")</f>
        <v/>
      </c>
      <c r="AK4" t="inlineStr">
        <is>
          <t>PETR4 (padroes do PrimeVest)</t>
        </is>
      </c>
    </row>
    <row r="5">
      <c r="A5" s="3" t="inlineStr">
        <is>
          <t>ITUB4</t>
        </is>
      </c>
      <c r="B5" s="4" t="n">
        <v>11021872000</v>
      </c>
      <c r="C5" s="5" t="n">
        <v>0.636</v>
      </c>
      <c r="D5" s="5" t="n">
        <v>0.2019</v>
      </c>
      <c r="E5" s="6">
        <f>D5*(1-C5)</f>
        <v/>
      </c>
      <c r="F5" s="4" t="n">
        <v>11306000000</v>
      </c>
      <c r="G5" s="4" t="n">
        <v>11907000000</v>
      </c>
      <c r="H5" s="4" t="n">
        <v>11636000000</v>
      </c>
      <c r="I5" s="4" t="n">
        <v>11979000000</v>
      </c>
      <c r="J5" s="7">
        <f>IF(COUNT(F5:I5)=4,SUM(F5:I5),"")</f>
        <v/>
      </c>
      <c r="K5" s="7">
        <f>IF(J5&lt;&gt;"",J5,"")</f>
        <v/>
      </c>
      <c r="L5" s="5" t="n">
        <v>0.1375</v>
      </c>
      <c r="M5" s="5" t="n">
        <v>0.15</v>
      </c>
      <c r="N5" s="7">
        <f>IF(K5&lt;&gt;"",K5/(1+L5),"")</f>
        <v/>
      </c>
      <c r="O5" s="7">
        <f>IF(K5&lt;&gt;"",K5*(1+E5),"")</f>
        <v/>
      </c>
      <c r="P5" s="7">
        <f>IF(O5&lt;&gt;"",O5/(1+L5)^2,"")</f>
        <v/>
      </c>
      <c r="Q5" s="7">
        <f>IF(O5&lt;&gt;"",O5*(1+E5),"")</f>
        <v/>
      </c>
      <c r="R5" s="7">
        <f>IF(Q5&lt;&gt;"",Q5/(1+L5)^3,"")</f>
        <v/>
      </c>
      <c r="S5" s="5" t="n">
        <v>0.03</v>
      </c>
      <c r="T5" s="7">
        <f>IF(Q5&lt;&gt;"",Q5*(1+S5)/(L5-S5),"")</f>
        <v/>
      </c>
      <c r="U5" s="7">
        <f>IF(T5&lt;&gt;"",T5/(1+L5)^3,"")</f>
        <v/>
      </c>
      <c r="V5" s="7">
        <f>IF(COUNT(N5,P5,R5,U5)=4,SUM(N5,P5,R5,U5),"")</f>
        <v/>
      </c>
      <c r="W5" s="8" t="n">
        <v>50.47</v>
      </c>
      <c r="X5" s="9">
        <f>IF(AND(V5&lt;&gt;"",B5&gt;0),V5/B5,"")</f>
        <v/>
      </c>
      <c r="Y5" s="6">
        <f>IF(AND(X5&lt;&gt;"",W5&gt;0),X5/W5-1,"")</f>
        <v/>
      </c>
      <c r="Z5" s="9">
        <f>IF(AND(X5&lt;&gt;"",M5&gt;=0),X5*(1-M5),"")</f>
        <v/>
      </c>
      <c r="AA5" s="6">
        <f>IF(AND(Z5&lt;&gt;"",W5&gt;0),Z5/W5-1,"")</f>
        <v/>
      </c>
      <c r="AB5" s="10" t="n">
        <v>46828000000</v>
      </c>
      <c r="AC5" s="10" t="n">
        <v>467982590446.43</v>
      </c>
      <c r="AD5" s="11" t="n">
        <v>42.4594</v>
      </c>
      <c r="AE5" s="11" t="n">
        <v>36.0905</v>
      </c>
      <c r="AF5" s="12" t="n">
        <v>-0.158719</v>
      </c>
      <c r="AG5" s="12" t="n">
        <v>-0.284911</v>
      </c>
      <c r="AH5" s="9">
        <f>IF(AND(ISNUMBER(X5),ISNUMBER(AD5)),AD5-X5,"")</f>
        <v/>
      </c>
      <c r="AI5" s="9">
        <f>IF(AND(ISNUMBER(Z5),ISNUMBER(AE5)),AE5-Z5,"")</f>
        <v/>
      </c>
      <c r="AJ5">
        <f>IF(ISNUMBER(AH5),IF(ABS(AH5)&lt;0.0001,"SIM","NÃO"),"—")</f>
        <v/>
      </c>
      <c r="AK5" t="inlineStr">
        <is>
          <t>ITUB4 (padroes do PrimeVest)</t>
        </is>
      </c>
    </row>
    <row r="6">
      <c r="A6" s="3" t="inlineStr">
        <is>
          <t>BBAS3</t>
        </is>
      </c>
      <c r="B6" s="4" t="n">
        <v>5708971478</v>
      </c>
      <c r="C6" s="5" t="n">
        <v>0.4947</v>
      </c>
      <c r="D6" s="5" t="n">
        <v>0.1358</v>
      </c>
      <c r="E6" s="6">
        <f>D6*(1-C6)</f>
        <v/>
      </c>
      <c r="F6" s="4" t="n">
        <v>2237301000</v>
      </c>
      <c r="G6" s="4" t="n">
        <v>5239936000</v>
      </c>
      <c r="H6" s="4" t="n">
        <v>2397165000</v>
      </c>
      <c r="I6" s="4" t="n">
        <v>2397643000</v>
      </c>
      <c r="J6" s="7">
        <f>IF(COUNT(F6:I6)=4,SUM(F6:I6),"")</f>
        <v/>
      </c>
      <c r="K6" s="7">
        <f>IF(J6&lt;&gt;"",J6,"")</f>
        <v/>
      </c>
      <c r="L6" s="5" t="n">
        <v>0.1375</v>
      </c>
      <c r="M6" s="5" t="n">
        <v>0.15</v>
      </c>
      <c r="N6" s="7">
        <f>IF(K6&lt;&gt;"",K6/(1+L6),"")</f>
        <v/>
      </c>
      <c r="O6" s="7">
        <f>IF(K6&lt;&gt;"",K6*(1+E6),"")</f>
        <v/>
      </c>
      <c r="P6" s="7">
        <f>IF(O6&lt;&gt;"",O6/(1+L6)^2,"")</f>
        <v/>
      </c>
      <c r="Q6" s="7">
        <f>IF(O6&lt;&gt;"",O6*(1+E6),"")</f>
        <v/>
      </c>
      <c r="R6" s="7">
        <f>IF(Q6&lt;&gt;"",Q6/(1+L6)^3,"")</f>
        <v/>
      </c>
      <c r="S6" s="5" t="n">
        <v>0.03</v>
      </c>
      <c r="T6" s="7">
        <f>IF(Q6&lt;&gt;"",Q6*(1+S6)/(L6-S6),"")</f>
        <v/>
      </c>
      <c r="U6" s="7">
        <f>IF(T6&lt;&gt;"",T6/(1+L6)^3,"")</f>
        <v/>
      </c>
      <c r="V6" s="7">
        <f>IF(COUNT(N6,P6,R6,U6)=4,SUM(N6,P6,R6,U6),"")</f>
        <v/>
      </c>
      <c r="W6" s="8" t="n">
        <v>24.64</v>
      </c>
      <c r="X6" s="9">
        <f>IF(AND(V6&lt;&gt;"",B6&gt;0),V6/B6,"")</f>
        <v/>
      </c>
      <c r="Y6" s="6">
        <f>IF(AND(X6&lt;&gt;"",W6&gt;0),X6/W6-1,"")</f>
        <v/>
      </c>
      <c r="Z6" s="9">
        <f>IF(AND(X6&lt;&gt;"",M6&gt;=0),X6*(1-M6),"")</f>
        <v/>
      </c>
      <c r="AA6" s="6">
        <f>IF(AND(Z6&lt;&gt;"",W6&gt;0),Z6/W6-1,"")</f>
        <v/>
      </c>
      <c r="AB6" s="10" t="n">
        <v>12272045000</v>
      </c>
      <c r="AC6" s="10" t="n">
        <v>121675550181.78</v>
      </c>
      <c r="AD6" s="11" t="n">
        <v>21.313</v>
      </c>
      <c r="AE6" s="11" t="n">
        <v>18.1161</v>
      </c>
      <c r="AF6" s="12" t="n">
        <v>-0.135023</v>
      </c>
      <c r="AG6" s="12" t="n">
        <v>-0.264769</v>
      </c>
      <c r="AH6" s="9">
        <f>IF(AND(ISNUMBER(X6),ISNUMBER(AD6)),AD6-X6,"")</f>
        <v/>
      </c>
      <c r="AI6" s="9">
        <f>IF(AND(ISNUMBER(Z6),ISNUMBER(AE6)),AE6-Z6,"")</f>
        <v/>
      </c>
      <c r="AJ6">
        <f>IF(ISNUMBER(AH6),IF(ABS(AH6)&lt;0.0001,"SIM","NÃO"),"—")</f>
        <v/>
      </c>
      <c r="AK6" t="inlineStr">
        <is>
          <t>BBAS3 (padroes do PrimeVest)</t>
        </is>
      </c>
    </row>
    <row r="7">
      <c r="A7" s="3" t="inlineStr">
        <is>
          <t>TAEE11</t>
        </is>
      </c>
      <c r="B7" s="4" t="n">
        <v>344499000</v>
      </c>
      <c r="C7" s="5" t="n">
        <v>0.6579999999999999</v>
      </c>
      <c r="D7" s="5" t="n">
        <v>0.2242</v>
      </c>
      <c r="E7" s="6">
        <f>D7*(1-C7)</f>
        <v/>
      </c>
      <c r="F7" s="4" t="n">
        <v>340606000</v>
      </c>
      <c r="G7" s="4" t="n">
        <v>364077000</v>
      </c>
      <c r="H7" s="4" t="n">
        <v>353646000</v>
      </c>
      <c r="I7" s="4" t="n">
        <v>567144000</v>
      </c>
      <c r="J7" s="7">
        <f>IF(COUNT(F7:I7)=4,SUM(F7:I7),"")</f>
        <v/>
      </c>
      <c r="K7" s="7">
        <f>IF(J7&lt;&gt;"",J7,"")</f>
        <v/>
      </c>
      <c r="L7" s="5" t="n">
        <v>0.1375</v>
      </c>
      <c r="M7" s="5" t="n">
        <v>0.15</v>
      </c>
      <c r="N7" s="7">
        <f>IF(K7&lt;&gt;"",K7/(1+L7),"")</f>
        <v/>
      </c>
      <c r="O7" s="7">
        <f>IF(K7&lt;&gt;"",K7*(1+E7),"")</f>
        <v/>
      </c>
      <c r="P7" s="7">
        <f>IF(O7&lt;&gt;"",O7/(1+L7)^2,"")</f>
        <v/>
      </c>
      <c r="Q7" s="7">
        <f>IF(O7&lt;&gt;"",O7*(1+E7),"")</f>
        <v/>
      </c>
      <c r="R7" s="7">
        <f>IF(Q7&lt;&gt;"",Q7/(1+L7)^3,"")</f>
        <v/>
      </c>
      <c r="S7" s="5" t="n">
        <v>0.03</v>
      </c>
      <c r="T7" s="7">
        <f>IF(Q7&lt;&gt;"",Q7*(1+S7)/(L7-S7),"")</f>
        <v/>
      </c>
      <c r="U7" s="7">
        <f>IF(T7&lt;&gt;"",T7/(1+L7)^3,"")</f>
        <v/>
      </c>
      <c r="V7" s="7">
        <f>IF(COUNT(N7,P7,R7,U7)=4,SUM(N7,P7,R7,U7),"")</f>
        <v/>
      </c>
      <c r="W7" s="8" t="n">
        <v>46.45</v>
      </c>
      <c r="X7" s="9">
        <f>IF(AND(V7&lt;&gt;"",B7&gt;0),V7/B7,"")</f>
        <v/>
      </c>
      <c r="Y7" s="6">
        <f>IF(AND(X7&lt;&gt;"",W7&gt;0),X7/W7-1,"")</f>
        <v/>
      </c>
      <c r="Z7" s="9">
        <f>IF(AND(X7&lt;&gt;"",M7&gt;=0),X7*(1-M7),"")</f>
        <v/>
      </c>
      <c r="AA7" s="6">
        <f>IF(AND(Z7&lt;&gt;"",W7&gt;0),Z7/W7-1,"")</f>
        <v/>
      </c>
      <c r="AB7" s="10" t="n">
        <v>1625473000</v>
      </c>
      <c r="AC7" s="10" t="n">
        <v>16328431876.79</v>
      </c>
      <c r="AD7" s="11" t="n">
        <v>47.3976</v>
      </c>
      <c r="AE7" s="11" t="n">
        <v>40.288</v>
      </c>
      <c r="AF7" s="12" t="n">
        <v>0.020401</v>
      </c>
      <c r="AG7" s="12" t="n">
        <v>-0.132659</v>
      </c>
      <c r="AH7" s="9">
        <f>IF(AND(ISNUMBER(X7),ISNUMBER(AD7)),AD7-X7,"")</f>
        <v/>
      </c>
      <c r="AI7" s="9">
        <f>IF(AND(ISNUMBER(Z7),ISNUMBER(AE7)),AE7-Z7,"")</f>
        <v/>
      </c>
      <c r="AJ7">
        <f>IF(ISNUMBER(AH7),IF(ABS(AH7)&lt;0.0001,"SIM","NÃO"),"—")</f>
        <v/>
      </c>
      <c r="AK7" t="inlineStr">
        <is>
          <t>TAEE11 (padroes do PrimeVest)</t>
        </is>
      </c>
    </row>
    <row r="8">
      <c r="A8" s="3" t="inlineStr">
        <is>
          <t>WEGE3</t>
        </is>
      </c>
      <c r="B8" s="4" t="n">
        <v>4195829691</v>
      </c>
      <c r="C8" s="5" t="n">
        <v>0.5777</v>
      </c>
      <c r="D8" s="5" t="n">
        <v>0.3279</v>
      </c>
      <c r="E8" s="6">
        <f>D8*(1-C8)</f>
        <v/>
      </c>
      <c r="F8" s="4" t="n">
        <v>1650469000</v>
      </c>
      <c r="G8" s="4" t="n">
        <v>1587762000</v>
      </c>
      <c r="H8" s="4" t="n">
        <v>1457187000</v>
      </c>
      <c r="I8" s="4" t="n">
        <v>1558633000</v>
      </c>
      <c r="J8" s="7">
        <f>IF(COUNT(F8:I8)=4,SUM(F8:I8),"")</f>
        <v/>
      </c>
      <c r="K8" s="7">
        <f>IF(J8&lt;&gt;"",J8,"")</f>
        <v/>
      </c>
      <c r="L8" s="5" t="n">
        <v>0.1375</v>
      </c>
      <c r="M8" s="5" t="n">
        <v>0.15</v>
      </c>
      <c r="N8" s="7">
        <f>IF(K8&lt;&gt;"",K8/(1+L8),"")</f>
        <v/>
      </c>
      <c r="O8" s="7">
        <f>IF(K8&lt;&gt;"",K8*(1+E8),"")</f>
        <v/>
      </c>
      <c r="P8" s="7">
        <f>IF(O8&lt;&gt;"",O8/(1+L8)^2,"")</f>
        <v/>
      </c>
      <c r="Q8" s="7">
        <f>IF(O8&lt;&gt;"",O8*(1+E8),"")</f>
        <v/>
      </c>
      <c r="R8" s="7">
        <f>IF(Q8&lt;&gt;"",Q8/(1+L8)^3,"")</f>
        <v/>
      </c>
      <c r="S8" s="5" t="n">
        <v>0.03</v>
      </c>
      <c r="T8" s="7">
        <f>IF(Q8&lt;&gt;"",Q8*(1+S8)/(L8-S8),"")</f>
        <v/>
      </c>
      <c r="U8" s="7">
        <f>IF(T8&lt;&gt;"",T8/(1+L8)^3,"")</f>
        <v/>
      </c>
      <c r="V8" s="7">
        <f>IF(COUNT(N8,P8,R8,U8)=4,SUM(N8,P8,R8,U8),"")</f>
        <v/>
      </c>
      <c r="W8" s="8" t="n">
        <v>51.47</v>
      </c>
      <c r="X8" s="9">
        <f>IF(AND(V8&lt;&gt;"",B8&gt;0),V8/B8,"")</f>
        <v/>
      </c>
      <c r="Y8" s="6">
        <f>IF(AND(X8&lt;&gt;"",W8&gt;0),X8/W8-1,"")</f>
        <v/>
      </c>
      <c r="Z8" s="9">
        <f>IF(AND(X8&lt;&gt;"",M8&gt;=0),X8*(1-M8),"")</f>
        <v/>
      </c>
      <c r="AA8" s="6">
        <f>IF(AND(Z8&lt;&gt;"",W8&gt;0),Z8/W8-1,"")</f>
        <v/>
      </c>
      <c r="AB8" s="10" t="n">
        <v>6254051000</v>
      </c>
      <c r="AC8" s="10" t="n">
        <v>69277536570.84</v>
      </c>
      <c r="AD8" s="11" t="n">
        <v>16.511</v>
      </c>
      <c r="AE8" s="11" t="n">
        <v>14.0344</v>
      </c>
      <c r="AF8" s="12" t="n">
        <v>-0.6792100000000001</v>
      </c>
      <c r="AG8" s="12" t="n">
        <v>-0.727329</v>
      </c>
      <c r="AH8" s="9">
        <f>IF(AND(ISNUMBER(X8),ISNUMBER(AD8)),AD8-X8,"")</f>
        <v/>
      </c>
      <c r="AI8" s="9">
        <f>IF(AND(ISNUMBER(Z8),ISNUMBER(AE8)),AE8-Z8,"")</f>
        <v/>
      </c>
      <c r="AJ8">
        <f>IF(ISNUMBER(AH8),IF(ABS(AH8)&lt;0.0001,"SIM","NÃO"),"—")</f>
        <v/>
      </c>
      <c r="AK8" t="inlineStr">
        <is>
          <t>WEGE3 (padroes do PrimeVest)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CONFERÊNCIA PREÇO TETO — PrimeVest × PREÇO TETO V2</t>
        </is>
      </c>
    </row>
    <row r="2">
      <c r="A2" t="inlineStr">
        <is>
          <t>Gerado em 2026-10-11T00:14:41.724Z a partir de http://localhost:8080.</t>
        </is>
      </c>
    </row>
    <row r="3">
      <c r="A3" t="inlineStr">
        <is>
          <t>Colunas A..AA: layout e fórmulas da aba Valuation V2 (entradas em amarelo).</t>
        </is>
      </c>
    </row>
    <row r="4">
      <c r="A4" t="inlineStr">
        <is>
          <t>TX CRES (E) = ROE × (1 − payout), como sugere o Leia-me da V2.</t>
        </is>
      </c>
    </row>
    <row r="5">
      <c r="A5" t="inlineStr">
        <is>
          <t>Colunas em azul: o resultado calculado pelo PrimeVest com as mesmas entradas.</t>
        </is>
      </c>
    </row>
    <row r="6">
      <c r="A6" t="inlineStr">
        <is>
          <t>DIF TETO/IDEAL = PrimeVest − planilha. CONFERE? = SIM quando a diferença do teto é menor que R$ 0,0001.</t>
        </is>
      </c>
    </row>
    <row r="7">
      <c r="A7" t="inlineStr">
        <is>
          <t>Linhas "(padrões do PrimeVest)": entradas padrão do sistema (CVM, Selic meta, 3%, 15%, último fechamento).</t>
        </is>
      </c>
    </row>
    <row r="8">
      <c r="A8" t="inlineStr">
        <is>
          <t>Linha "VALE3 (linha da planilha V2)": as entradas da planilha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2026-10-11T00:14:47Z</dcterms:created>
  <dcterms:modified xmlns:dcterms="http://purl.org/dc/terms/" xmlns:xsi="http://www.w3.org/2001/XMLSchema-instance" xsi:type="dcterms:W3CDTF">2026-10-11T00:14:47Z</dcterms:modified>
</cp:coreProperties>
</file>