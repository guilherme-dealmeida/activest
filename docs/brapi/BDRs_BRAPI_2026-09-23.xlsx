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BDRs (892)" sheetId="2" state="visible" r:id="rId4"/>
    <sheet name="Resumo" sheetId="3" state="visible" r:id="rId5"/>
  </sheets>
  <definedNames>
    <definedName function="false" hidden="true" localSheetId="1" name="_xlnm._FilterDatabase" vbProcedure="false">'BDRs (892)'!$A$1:$AD$893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Quantas ações (ou ADRs/cotas) do ativo lá fora cada BDR representa, conforme o texto "Repr X Sh" da BRAPI. Ex.: AAPL34 = 0,05 → 20 BDRs = 1 ação da Apple.</t>
        </r>
      </text>
    </comment>
    <comment ref="X1" authorId="0">
      <text>
        <r>
          <rPr>
            <sz val="10"/>
            <rFont val="Arial"/>
            <family val="2"/>
          </rPr>
          <t xml:space="preserve">Valor de mercado da empresa lá fora, convertido em reais pela BRAPI. Vazio para BDR de ETF.</t>
        </r>
      </text>
    </comment>
    <comment ref="Y1" authorId="0">
      <text>
        <r>
          <rPr>
            <sz val="10"/>
            <rFont val="Arial"/>
            <family val="2"/>
          </rPr>
          <t xml:space="preserve">Sugestão, seguindo a regra dos ETFs: description = setor em português (BDR de ação) ou "ETFs no exterior" (BDR de ETF); name = description em MAIÚSCULAS sem acento; segment = setor da BRAPI ou Indefinido. Não decidido.</t>
        </r>
      </text>
    </comment>
  </commentList>
</comments>
</file>

<file path=xl/sharedStrings.xml><?xml version="1.0" encoding="utf-8"?>
<sst xmlns="http://schemas.openxmlformats.org/spreadsheetml/2006/main" count="10791" uniqueCount="2817">
  <si>
    <t xml:space="preserve">BDRs da B3 — levantamento BRAPI</t>
  </si>
  <si>
    <t xml:space="preserve">Fonte</t>
  </si>
  <si>
    <t xml:space="preserve">BRAPI (brapi.dev) — /api/v2/tickers?subType=bdr e /api/v2/stocks/quote (1 ativo por chamada)</t>
  </si>
  <si>
    <t xml:space="preserve">Plano</t>
  </si>
  <si>
    <t xml:space="preserve">Gratuito (token do PrimeVest) — 892 requisições da cota mensal</t>
  </si>
  <si>
    <t xml:space="preserve">Coletado em</t>
  </si>
  <si>
    <t xml:space="preserve">24/09/2026 (madrugada), com a cotação do fechamento de 23/09/2026</t>
  </si>
  <si>
    <t xml:space="preserve">Horário da cotação</t>
  </si>
  <si>
    <t xml:space="preserve">23/09/2026 18:31 (Brasília) — regularMarketTime 21:31:30 UTC, igual para todos</t>
  </si>
  <si>
    <t xml:space="preserve">Universo</t>
  </si>
  <si>
    <t xml:space="preserve">892 BDRs: 657 de ação (sufixo 34), 223 de ETF (39), 6 com sufixo 31, 2 com 32, 2 com 33, 1 com 35 (Alphabet classe C) e 1 unit (PPLA11). Todos marcados ativos pela BRAPI</t>
  </si>
  <si>
    <t xml:space="preserve">Filtro</t>
  </si>
  <si>
    <t xml:space="preserve">Nenhum BDR excluído: diferente dos ETFs, a lista não trouxe duplicatas nem ativos de outro tipo. Casos estranhos estão na coluna "Observação"</t>
  </si>
  <si>
    <t xml:space="preserve">Catálogo PrimeVest</t>
  </si>
  <si>
    <t xml:space="preserve">O tipo BDR existe (price_source BRAPI), mas o catálogo não tem nenhum BDR cadastrado</t>
  </si>
  <si>
    <t xml:space="preserve">Setor</t>
  </si>
  <si>
    <t xml:space="preserve">A BRAPI dá o setor em inglês (padrão internacional); a coluna "Setor (pt-BR)" é tradução nossa. Subsetor vem vazio em 891 de 892</t>
  </si>
  <si>
    <t xml:space="preserve">Proporção</t>
  </si>
  <si>
    <t xml:space="preserve">"Ações por BDR" vem do texto "Repr X Sh" do nome longo da BRAPI; 18 BDRs não trazem a proporção</t>
  </si>
  <si>
    <t xml:space="preserve">Categorias</t>
  </si>
  <si>
    <t xml:space="preserve">Colunas "Sugestão — …" seguem a regra decidida para ETFs (description / name / segment). É sugestão: nada decidido para BDR ainda</t>
  </si>
  <si>
    <t xml:space="preserve">Dividendos</t>
  </si>
  <si>
    <t xml:space="preserve">Não disponíveis no plano gratuito</t>
  </si>
  <si>
    <t xml:space="preserve">Ticker</t>
  </si>
  <si>
    <t xml:space="preserve">Empresa / fundo</t>
  </si>
  <si>
    <t xml:space="preserve">Classe</t>
  </si>
  <si>
    <t xml:space="preserve">Sufixo</t>
  </si>
  <si>
    <t xml:space="preserve">Setor (pt-BR)</t>
  </si>
  <si>
    <t xml:space="preserve">Setor (BRAPI)</t>
  </si>
  <si>
    <t xml:space="preserve">Patrocínio (BRAPI)</t>
  </si>
  <si>
    <t xml:space="preserve">Lastro</t>
  </si>
  <si>
    <t xml:space="preserve">Ações por BDR</t>
  </si>
  <si>
    <t xml:space="preserve">BDRs por ação</t>
  </si>
  <si>
    <t xml:space="preserve">Preço (R$)</t>
  </si>
  <si>
    <t xml:space="preserve">Variação (R$)</t>
  </si>
  <si>
    <t xml:space="preserve">Variação dia</t>
  </si>
  <si>
    <t xml:space="preserve">Abertura (R$)</t>
  </si>
  <si>
    <t xml:space="preserve">Mínima dia (R$)</t>
  </si>
  <si>
    <t xml:space="preserve">Máxima dia (R$)</t>
  </si>
  <si>
    <t xml:space="preserve">Fech. anterior (R$)</t>
  </si>
  <si>
    <t xml:space="preserve">Volume (BDRs)</t>
  </si>
  <si>
    <t xml:space="preserve">Volume financeiro aprox. (R$)</t>
  </si>
  <si>
    <t xml:space="preserve">Mín. 52 semanas (R$)</t>
  </si>
  <si>
    <t xml:space="preserve">Máx. 52 semanas (R$)</t>
  </si>
  <si>
    <t xml:space="preserve">Posição na faixa 52s</t>
  </si>
  <si>
    <t xml:space="preserve">Distância da máx. 52s</t>
  </si>
  <si>
    <t xml:space="preserve">Valor de mercado da empresa (R$ mi)</t>
  </si>
  <si>
    <t xml:space="preserve">Sugestão — categoria description</t>
  </si>
  <si>
    <t xml:space="preserve">Sugestão — categoria name</t>
  </si>
  <si>
    <t xml:space="preserve">Sugestão — segment</t>
  </si>
  <si>
    <t xml:space="preserve">Observação</t>
  </si>
  <si>
    <t xml:space="preserve">Logo (URL)</t>
  </si>
  <si>
    <t xml:space="preserve">Cotação em</t>
  </si>
  <si>
    <t xml:space="preserve">A1AP34</t>
  </si>
  <si>
    <t xml:space="preserve">Advance Auto Parts, Inc.</t>
  </si>
  <si>
    <t xml:space="preserve">BDR de ação</t>
  </si>
  <si>
    <t xml:space="preserve">34</t>
  </si>
  <si>
    <t xml:space="preserve">Varejo</t>
  </si>
  <si>
    <t xml:space="preserve">Retail Trade</t>
  </si>
  <si>
    <t xml:space="preserve">Não patrocinado</t>
  </si>
  <si>
    <t xml:space="preserve">Ação</t>
  </si>
  <si>
    <t xml:space="preserve">VAREJO</t>
  </si>
  <si>
    <t xml:space="preserve">https://icons.brapi.dev/icons/A1AP34.svg</t>
  </si>
  <si>
    <t xml:space="preserve">A1CR34</t>
  </si>
  <si>
    <t xml:space="preserve">Amcor PLC</t>
  </si>
  <si>
    <t xml:space="preserve">Indústria de transformação</t>
  </si>
  <si>
    <t xml:space="preserve">Process Industries</t>
  </si>
  <si>
    <t xml:space="preserve">INDUSTRIA_DE_TRANSFORMACAO</t>
  </si>
  <si>
    <t xml:space="preserve">https://icons.brapi.dev/icons/A1CR34.svg</t>
  </si>
  <si>
    <t xml:space="preserve">A1DC34</t>
  </si>
  <si>
    <t xml:space="preserve">Agree Realty Corp</t>
  </si>
  <si>
    <t xml:space="preserve">Finanças</t>
  </si>
  <si>
    <t xml:space="preserve">Finance</t>
  </si>
  <si>
    <t xml:space="preserve">FINANCAS</t>
  </si>
  <si>
    <t xml:space="preserve">https://icons.brapi.dev/icons/A1DC34.svg</t>
  </si>
  <si>
    <t xml:space="preserve">A1DI34</t>
  </si>
  <si>
    <t xml:space="preserve">Analog Devices Inc</t>
  </si>
  <si>
    <t xml:space="preserve">Tecnologia eletrônica</t>
  </si>
  <si>
    <t xml:space="preserve">Electronic Technology</t>
  </si>
  <si>
    <t xml:space="preserve">TECNOLOGIA_ELETRONICA</t>
  </si>
  <si>
    <t xml:space="preserve">https://icons.brapi.dev/icons/A1DI34.svg</t>
  </si>
  <si>
    <t xml:space="preserve">A1DM34</t>
  </si>
  <si>
    <t xml:space="preserve">Archer Daniels Midland Company</t>
  </si>
  <si>
    <t xml:space="preserve">https://icons.brapi.dev/icons/A1DM34.svg</t>
  </si>
  <si>
    <t xml:space="preserve">A1EG34</t>
  </si>
  <si>
    <t xml:space="preserve">Aegon Ltd.</t>
  </si>
  <si>
    <t xml:space="preserve">ADR</t>
  </si>
  <si>
    <t xml:space="preserve">https://icons.brapi.dev/icons/A1EG34.svg</t>
  </si>
  <si>
    <t xml:space="preserve">A1EP34</t>
  </si>
  <si>
    <t xml:space="preserve">American Electric Power Inc</t>
  </si>
  <si>
    <t xml:space="preserve">Utilidade pública</t>
  </si>
  <si>
    <t xml:space="preserve">Utilities</t>
  </si>
  <si>
    <t xml:space="preserve">UTILIDADE_PUBLICA</t>
  </si>
  <si>
    <t xml:space="preserve">https://icons.brapi.dev/icons/A1EP34.svg</t>
  </si>
  <si>
    <t xml:space="preserve">A1ES34</t>
  </si>
  <si>
    <t xml:space="preserve">AES Corporation</t>
  </si>
  <si>
    <t xml:space="preserve">https://icons.brapi.dev/icons/A1ES34.svg</t>
  </si>
  <si>
    <t xml:space="preserve">A1GI34</t>
  </si>
  <si>
    <t xml:space="preserve">Agilent Technologies Inc</t>
  </si>
  <si>
    <t xml:space="preserve">Tecnologia em saúde</t>
  </si>
  <si>
    <t xml:space="preserve">Health Technology</t>
  </si>
  <si>
    <t xml:space="preserve">TECNOLOGIA_EM_SAUDE</t>
  </si>
  <si>
    <t xml:space="preserve">https://icons.brapi.dev/icons/A1GI34.svg</t>
  </si>
  <si>
    <t xml:space="preserve">A1GN34</t>
  </si>
  <si>
    <t xml:space="preserve">Allegion PLC</t>
  </si>
  <si>
    <t xml:space="preserve">Bens de consumo duráveis</t>
  </si>
  <si>
    <t xml:space="preserve">Consumer Durables</t>
  </si>
  <si>
    <t xml:space="preserve">BENS_DE_CONSUMO_DURAVEIS</t>
  </si>
  <si>
    <t xml:space="preserve">https://icons.brapi.dev/icons/A1GN34.svg</t>
  </si>
  <si>
    <t xml:space="preserve">A1IV34</t>
  </si>
  <si>
    <t xml:space="preserve">Apartment Investment and Management Company -A-</t>
  </si>
  <si>
    <t xml:space="preserve">Proporção não informada pela BRAPI.</t>
  </si>
  <si>
    <t xml:space="preserve">https://icons.brapi.dev/icons/A1IV34.svg</t>
  </si>
  <si>
    <t xml:space="preserve">A1KA34</t>
  </si>
  <si>
    <t xml:space="preserve">Akamai Technologies, Inc.</t>
  </si>
  <si>
    <t xml:space="preserve">Serviços de tecnologia</t>
  </si>
  <si>
    <t xml:space="preserve">Technology Services</t>
  </si>
  <si>
    <t xml:space="preserve">SERVICOS_DE_TECNOLOGIA</t>
  </si>
  <si>
    <t xml:space="preserve">https://icons.brapi.dev/icons/A1KA34.svg</t>
  </si>
  <si>
    <t xml:space="preserve">A1LB34</t>
  </si>
  <si>
    <t xml:space="preserve">Albemarle Corporation</t>
  </si>
  <si>
    <t xml:space="preserve">https://icons.brapi.dev/icons/A1LB34.svg</t>
  </si>
  <si>
    <t xml:space="preserve">A1LG34</t>
  </si>
  <si>
    <t xml:space="preserve">Align Technology, Inc.</t>
  </si>
  <si>
    <t xml:space="preserve">https://icons.brapi.dev/icons/A1LG34.svg</t>
  </si>
  <si>
    <t xml:space="preserve">A1LK34</t>
  </si>
  <si>
    <t xml:space="preserve">Alaska Air Group, Inc.</t>
  </si>
  <si>
    <t xml:space="preserve">Transporte</t>
  </si>
  <si>
    <t xml:space="preserve">Transportation</t>
  </si>
  <si>
    <t xml:space="preserve">TRANSPORTE</t>
  </si>
  <si>
    <t xml:space="preserve">https://icons.brapi.dev/icons/A1LK34.svg</t>
  </si>
  <si>
    <t xml:space="preserve">A1LL34</t>
  </si>
  <si>
    <t xml:space="preserve">Bread Financial Holdings, Inc.</t>
  </si>
  <si>
    <t xml:space="preserve">https://icons.brapi.dev/icons/A1LL34.svg</t>
  </si>
  <si>
    <t xml:space="preserve">A1LN34</t>
  </si>
  <si>
    <t xml:space="preserve">Alnylam Pharmaceuticals, Inc</t>
  </si>
  <si>
    <t xml:space="preserve">https://icons.brapi.dev/icons/A1LN34.svg</t>
  </si>
  <si>
    <t xml:space="preserve">A1MD34</t>
  </si>
  <si>
    <t xml:space="preserve">Advanced Micro Devices, Inc.</t>
  </si>
  <si>
    <t xml:space="preserve">https://icons.brapi.dev/icons/A1MD34.svg</t>
  </si>
  <si>
    <t xml:space="preserve">A1ME34</t>
  </si>
  <si>
    <t xml:space="preserve">AMETEK, Inc.</t>
  </si>
  <si>
    <t xml:space="preserve">Bens de produção</t>
  </si>
  <si>
    <t xml:space="preserve">Producer Manufacturing</t>
  </si>
  <si>
    <t xml:space="preserve">BENS_DE_PRODUCAO</t>
  </si>
  <si>
    <t xml:space="preserve">https://icons.brapi.dev/icons/A1ME34.svg</t>
  </si>
  <si>
    <t xml:space="preserve">A1MP34</t>
  </si>
  <si>
    <t xml:space="preserve">Ameriprise Financial Inc</t>
  </si>
  <si>
    <t xml:space="preserve">https://icons.brapi.dev/icons/A1MP34.svg</t>
  </si>
  <si>
    <t xml:space="preserve">A1MT34</t>
  </si>
  <si>
    <t xml:space="preserve">Applied Materials, Inc.</t>
  </si>
  <si>
    <t xml:space="preserve">https://icons.brapi.dev/icons/A1MT34.svg</t>
  </si>
  <si>
    <t xml:space="preserve">A1NE34</t>
  </si>
  <si>
    <t xml:space="preserve">Arista Networks Inc</t>
  </si>
  <si>
    <t xml:space="preserve">https://icons.brapi.dev/icons/A1NE34.svg</t>
  </si>
  <si>
    <t xml:space="preserve">A1ON34</t>
  </si>
  <si>
    <t xml:space="preserve">Aon PLC</t>
  </si>
  <si>
    <t xml:space="preserve">https://icons.brapi.dev/icons/A1ON34.svg</t>
  </si>
  <si>
    <t xml:space="preserve">A1PA34</t>
  </si>
  <si>
    <t xml:space="preserve">APA Corporation</t>
  </si>
  <si>
    <t xml:space="preserve">Energia (petróleo, gás e carvão)</t>
  </si>
  <si>
    <t xml:space="preserve">Energy Minerals</t>
  </si>
  <si>
    <t xml:space="preserve">ENERGIA</t>
  </si>
  <si>
    <t xml:space="preserve">https://icons.brapi.dev/icons/A1PA34.svg</t>
  </si>
  <si>
    <t xml:space="preserve">A1PD34</t>
  </si>
  <si>
    <t xml:space="preserve">Air Products &amp; Chemicals Inc</t>
  </si>
  <si>
    <t xml:space="preserve">https://icons.brapi.dev/icons/A1PD34.svg</t>
  </si>
  <si>
    <t xml:space="preserve">A1PH34</t>
  </si>
  <si>
    <t xml:space="preserve">Amphenol Corporation (New)</t>
  </si>
  <si>
    <t xml:space="preserve">https://icons.brapi.dev/icons/A1PH34.svg</t>
  </si>
  <si>
    <t xml:space="preserve">A1PL34</t>
  </si>
  <si>
    <t xml:space="preserve">Applied Digital Corporation</t>
  </si>
  <si>
    <t xml:space="preserve">https://icons.brapi.dev/icons/A1PL34.svg</t>
  </si>
  <si>
    <t xml:space="preserve">A1PO34</t>
  </si>
  <si>
    <t xml:space="preserve">Apollo Global Management Inc</t>
  </si>
  <si>
    <t xml:space="preserve">https://icons.brapi.dev/icons/A1PO34.svg</t>
  </si>
  <si>
    <t xml:space="preserve">A1PP34</t>
  </si>
  <si>
    <t xml:space="preserve">AppLovin Corp.</t>
  </si>
  <si>
    <t xml:space="preserve">(não informado)</t>
  </si>
  <si>
    <t xml:space="preserve">https://icons.brapi.dev/icons/A1PP34.svg</t>
  </si>
  <si>
    <t xml:space="preserve">A1RC34</t>
  </si>
  <si>
    <t xml:space="preserve">Arcos Dorados Holdings Inc</t>
  </si>
  <si>
    <t xml:space="preserve">Serviços ao consumidor</t>
  </si>
  <si>
    <t xml:space="preserve">Consumer Services</t>
  </si>
  <si>
    <t xml:space="preserve">SERVICOS_AO_CONSUMIDOR</t>
  </si>
  <si>
    <t xml:space="preserve">https://icons.brapi.dev/icons/A1RC34.svg</t>
  </si>
  <si>
    <t xml:space="preserve">A1RE34</t>
  </si>
  <si>
    <t xml:space="preserve">Alexandria Real Estate Equities Inc</t>
  </si>
  <si>
    <t xml:space="preserve">https://icons.brapi.dev/icons/A1RE34.svg</t>
  </si>
  <si>
    <t xml:space="preserve">A1RG34</t>
  </si>
  <si>
    <t xml:space="preserve">argenx SE</t>
  </si>
  <si>
    <t xml:space="preserve">https://icons.brapi.dev/icons/A1RG34.svg</t>
  </si>
  <si>
    <t xml:space="preserve">A1SN34</t>
  </si>
  <si>
    <t xml:space="preserve">Ascendis Pharma A/S</t>
  </si>
  <si>
    <t xml:space="preserve">https://icons.brapi.dev/icons/A1SN34.svg</t>
  </si>
  <si>
    <t xml:space="preserve">A1SU34</t>
  </si>
  <si>
    <t xml:space="preserve">Assurant, Inc.</t>
  </si>
  <si>
    <t xml:space="preserve">https://icons.brapi.dev/icons/A1SU34.svg</t>
  </si>
  <si>
    <t xml:space="preserve">A1TH34</t>
  </si>
  <si>
    <t xml:space="preserve">Autohome Inc.</t>
  </si>
  <si>
    <t xml:space="preserve">https://icons.brapi.dev/icons/A1TH34.svg</t>
  </si>
  <si>
    <t xml:space="preserve">A1TM34</t>
  </si>
  <si>
    <t xml:space="preserve">Atmos Energy Corporation</t>
  </si>
  <si>
    <t xml:space="preserve">https://icons.brapi.dev/icons/A1TM34.svg</t>
  </si>
  <si>
    <t xml:space="preserve">A1TT34</t>
  </si>
  <si>
    <t xml:space="preserve">Allstate Corporation</t>
  </si>
  <si>
    <t xml:space="preserve">https://icons.brapi.dev/icons/A1TT34.svg</t>
  </si>
  <si>
    <t xml:space="preserve">A1UT34</t>
  </si>
  <si>
    <t xml:space="preserve">Autodesk Inc</t>
  </si>
  <si>
    <t xml:space="preserve">https://icons.brapi.dev/icons/A1UT34.svg</t>
  </si>
  <si>
    <t xml:space="preserve">A1WK34</t>
  </si>
  <si>
    <t xml:space="preserve">American Water Works Co Inc</t>
  </si>
  <si>
    <t xml:space="preserve">https://icons.brapi.dev/icons/A1WK34.svg</t>
  </si>
  <si>
    <t xml:space="preserve">A1ZN34</t>
  </si>
  <si>
    <t xml:space="preserve">AstraZeneca PLC</t>
  </si>
  <si>
    <t xml:space="preserve">https://icons.brapi.dev/icons/A1ZN34.svg</t>
  </si>
  <si>
    <t xml:space="preserve">A2FY34</t>
  </si>
  <si>
    <t xml:space="preserve">Afya Limited</t>
  </si>
  <si>
    <t xml:space="preserve">https://icons.brapi.dev/icons/A2FY34.svg</t>
  </si>
  <si>
    <t xml:space="preserve">A2MB34</t>
  </si>
  <si>
    <t xml:space="preserve">Ambarella, Inc.</t>
  </si>
  <si>
    <t xml:space="preserve">https://icons.brapi.dev/icons/A2MB34.svg</t>
  </si>
  <si>
    <t xml:space="preserve">A2RE34</t>
  </si>
  <si>
    <t xml:space="preserve">Ares Management Corporation</t>
  </si>
  <si>
    <t xml:space="preserve">https://icons.brapi.dev/icons/A2RE34.svg</t>
  </si>
  <si>
    <t xml:space="preserve">A2RR34</t>
  </si>
  <si>
    <t xml:space="preserve">Arrowhead Pharmaceuticals, Inc.</t>
  </si>
  <si>
    <t xml:space="preserve">https://icons.brapi.dev/icons/A2RR34.svg</t>
  </si>
  <si>
    <t xml:space="preserve">A2RW34</t>
  </si>
  <si>
    <t xml:space="preserve">Arrows Electronics Inc</t>
  </si>
  <si>
    <t xml:space="preserve">Distribuição</t>
  </si>
  <si>
    <t xml:space="preserve">Distribution Services</t>
  </si>
  <si>
    <t xml:space="preserve">DISTRIBUICAO</t>
  </si>
  <si>
    <t xml:space="preserve">https://icons.brapi.dev/icons/A2RW34.svg</t>
  </si>
  <si>
    <t xml:space="preserve">A2SO34</t>
  </si>
  <si>
    <t xml:space="preserve">Academy Sports and Outdoors Inc</t>
  </si>
  <si>
    <t xml:space="preserve">https://icons.brapi.dev/icons/A2SO34.svg</t>
  </si>
  <si>
    <t xml:space="preserve">A2XO34</t>
  </si>
  <si>
    <t xml:space="preserve">Axon Enterprise Inc</t>
  </si>
  <si>
    <t xml:space="preserve">https://icons.brapi.dev/icons/A2XO34.svg</t>
  </si>
  <si>
    <t xml:space="preserve">A2ZT34</t>
  </si>
  <si>
    <t xml:space="preserve">Azenta Inc</t>
  </si>
  <si>
    <t xml:space="preserve">Serviços de saúde</t>
  </si>
  <si>
    <t xml:space="preserve">Health Services</t>
  </si>
  <si>
    <t xml:space="preserve">SERVICOS_DE_SAUDE</t>
  </si>
  <si>
    <t xml:space="preserve">https://icons.brapi.dev/icons/A2ZT34.svg</t>
  </si>
  <si>
    <t xml:space="preserve">AADA39</t>
  </si>
  <si>
    <t xml:space="preserve">21SHARES CARDANO ETP</t>
  </si>
  <si>
    <t xml:space="preserve">BDR de ETF</t>
  </si>
  <si>
    <t xml:space="preserve">39</t>
  </si>
  <si>
    <t xml:space="preserve">Diversos</t>
  </si>
  <si>
    <t xml:space="preserve">Miscellaneous</t>
  </si>
  <si>
    <t xml:space="preserve">ETP</t>
  </si>
  <si>
    <t xml:space="preserve">ETFs no exterior</t>
  </si>
  <si>
    <t xml:space="preserve">ETFS_NO_EXTERIOR</t>
  </si>
  <si>
    <t xml:space="preserve">https://icons.brapi.dev/icons/AADA39.svg</t>
  </si>
  <si>
    <t xml:space="preserve">AALL34</t>
  </si>
  <si>
    <t xml:space="preserve">American Airlines Group Inc.</t>
  </si>
  <si>
    <t xml:space="preserve">https://icons.brapi.dev/icons/AALL34.svg</t>
  </si>
  <si>
    <t xml:space="preserve">AAPL34</t>
  </si>
  <si>
    <t xml:space="preserve">Apple Inc.</t>
  </si>
  <si>
    <t xml:space="preserve">https://icons.brapi.dev/icons/AAPL34.svg</t>
  </si>
  <si>
    <t xml:space="preserve">ABBV34</t>
  </si>
  <si>
    <t xml:space="preserve">AbbVie, Inc.</t>
  </si>
  <si>
    <t xml:space="preserve">https://icons.brapi.dev/icons/ABBV34.svg</t>
  </si>
  <si>
    <t xml:space="preserve">ABGD39</t>
  </si>
  <si>
    <t xml:space="preserve">ABRDN PHYSICAL GOLD SHARES ETF</t>
  </si>
  <si>
    <t xml:space="preserve">https://icons.brapi.dev/icons/ABGD39.svg</t>
  </si>
  <si>
    <t xml:space="preserve">ABTT34</t>
  </si>
  <si>
    <t xml:space="preserve">Abbott Laboratories</t>
  </si>
  <si>
    <t xml:space="preserve">https://icons.brapi.dev/icons/ABTT34.svg</t>
  </si>
  <si>
    <t xml:space="preserve">ABUD34</t>
  </si>
  <si>
    <t xml:space="preserve">Anheuser-Busch InBev SA/NV</t>
  </si>
  <si>
    <t xml:space="preserve">Bens de consumo não duráveis</t>
  </si>
  <si>
    <t xml:space="preserve">Consumer Non-Durables</t>
  </si>
  <si>
    <t xml:space="preserve">BENS_DE_CONSUMO_NAO_DURAVEIS</t>
  </si>
  <si>
    <t xml:space="preserve">https://icons.brapi.dev/icons/ABUD34.svg</t>
  </si>
  <si>
    <t xml:space="preserve">ACNB34</t>
  </si>
  <si>
    <t xml:space="preserve">Accenture PLC</t>
  </si>
  <si>
    <t xml:space="preserve">https://icons.brapi.dev/icons/ACNB34.svg</t>
  </si>
  <si>
    <t xml:space="preserve">ACWX39</t>
  </si>
  <si>
    <t xml:space="preserve">ISHARES MSCI ACWI EX U.S. ETF</t>
  </si>
  <si>
    <t xml:space="preserve">https://icons.brapi.dev/icons/ACWX39.svg</t>
  </si>
  <si>
    <t xml:space="preserve">ADBE34</t>
  </si>
  <si>
    <t xml:space="preserve">Adobe Inc.</t>
  </si>
  <si>
    <t xml:space="preserve">https://icons.brapi.dev/icons/ADBE34.svg</t>
  </si>
  <si>
    <t xml:space="preserve">ADPR34</t>
  </si>
  <si>
    <t xml:space="preserve">Automatic Data Processing, Inc.</t>
  </si>
  <si>
    <t xml:space="preserve">https://icons.brapi.dev/icons/ADPR34.svg</t>
  </si>
  <si>
    <t xml:space="preserve">AIGB34</t>
  </si>
  <si>
    <t xml:space="preserve">American International Group, Inc.</t>
  </si>
  <si>
    <t xml:space="preserve">https://icons.brapi.dev/icons/AIGB34.svg</t>
  </si>
  <si>
    <t xml:space="preserve">AIRB34</t>
  </si>
  <si>
    <t xml:space="preserve">Airbnb, Inc.</t>
  </si>
  <si>
    <t xml:space="preserve">https://icons.brapi.dev/icons/AIRB34.svg</t>
  </si>
  <si>
    <t xml:space="preserve">AMGN34</t>
  </si>
  <si>
    <t xml:space="preserve">Amgen Inc.</t>
  </si>
  <si>
    <t xml:space="preserve">https://icons.brapi.dev/icons/AMGN34.svg</t>
  </si>
  <si>
    <t xml:space="preserve">AMZO34</t>
  </si>
  <si>
    <t xml:space="preserve">Amazon.com, Inc.</t>
  </si>
  <si>
    <t xml:space="preserve">https://icons.brapi.dev/icons/AMZO34.svg</t>
  </si>
  <si>
    <t xml:space="preserve">ANGV39</t>
  </si>
  <si>
    <t xml:space="preserve">VANECK FALLEN ANGEL HIGH YIELD BOND ETF</t>
  </si>
  <si>
    <t xml:space="preserve">https://icons.brapi.dev/icons/ANGV39.svg</t>
  </si>
  <si>
    <t xml:space="preserve">APTV34</t>
  </si>
  <si>
    <t xml:space="preserve">Aptiv PLC</t>
  </si>
  <si>
    <t xml:space="preserve">https://icons.brapi.dev/icons/APTV34.svg</t>
  </si>
  <si>
    <t xml:space="preserve">ARGT39</t>
  </si>
  <si>
    <t xml:space="preserve">GLOBAL X MSCI ARGENTINA ETF</t>
  </si>
  <si>
    <t xml:space="preserve">https://icons.brapi.dev/icons/ARGT39.svg</t>
  </si>
  <si>
    <t xml:space="preserve">ARMT34</t>
  </si>
  <si>
    <t xml:space="preserve">ArcelorMittal SA</t>
  </si>
  <si>
    <t xml:space="preserve">Mineração e metais</t>
  </si>
  <si>
    <t xml:space="preserve">Non-Energy Minerals</t>
  </si>
  <si>
    <t xml:space="preserve">MINERACAO_METAIS</t>
  </si>
  <si>
    <t xml:space="preserve">https://icons.brapi.dev/icons/ARMT34.svg</t>
  </si>
  <si>
    <t xml:space="preserve">ARNC34</t>
  </si>
  <si>
    <t xml:space="preserve">Howmet Aerospace Inc</t>
  </si>
  <si>
    <t xml:space="preserve">https://icons.brapi.dev/icons/ARNC34.svg</t>
  </si>
  <si>
    <t xml:space="preserve">ASML34</t>
  </si>
  <si>
    <t xml:space="preserve">ASML Holding NV</t>
  </si>
  <si>
    <t xml:space="preserve">https://icons.brapi.dev/icons/ASML34.svg</t>
  </si>
  <si>
    <t xml:space="preserve">ATTB34</t>
  </si>
  <si>
    <t xml:space="preserve">AT&amp;T Inc</t>
  </si>
  <si>
    <t xml:space="preserve">Comunicações</t>
  </si>
  <si>
    <t xml:space="preserve">Communications</t>
  </si>
  <si>
    <t xml:space="preserve">COMUNICACOES</t>
  </si>
  <si>
    <t xml:space="preserve">https://icons.brapi.dev/icons/ATTB34.svg</t>
  </si>
  <si>
    <t xml:space="preserve">AURA33</t>
  </si>
  <si>
    <t xml:space="preserve">AURA MINERALS INC.</t>
  </si>
  <si>
    <t xml:space="preserve">33</t>
  </si>
  <si>
    <t xml:space="preserve">https://icons.brapi.dev/icons/AURA33.svg</t>
  </si>
  <si>
    <t xml:space="preserve">AVGO34</t>
  </si>
  <si>
    <t xml:space="preserve">Broadcom Inc.</t>
  </si>
  <si>
    <t xml:space="preserve">https://icons.brapi.dev/icons/AVGO34.svg</t>
  </si>
  <si>
    <t xml:space="preserve">AXPB34</t>
  </si>
  <si>
    <t xml:space="preserve">American Express Co</t>
  </si>
  <si>
    <t xml:space="preserve">https://icons.brapi.dev/icons/AXPB34.svg</t>
  </si>
  <si>
    <t xml:space="preserve">AXRP39</t>
  </si>
  <si>
    <t xml:space="preserve">21SHARES XRP ETP</t>
  </si>
  <si>
    <t xml:space="preserve">https://icons.brapi.dev/icons/AXRP39.svg</t>
  </si>
  <si>
    <t xml:space="preserve">AZOI34</t>
  </si>
  <si>
    <t xml:space="preserve">AutoZone, Inc.</t>
  </si>
  <si>
    <t xml:space="preserve">https://icons.brapi.dev/icons/AZOI34.svg</t>
  </si>
  <si>
    <t xml:space="preserve">B1AM34</t>
  </si>
  <si>
    <t xml:space="preserve">Brookfield Corporation</t>
  </si>
  <si>
    <t xml:space="preserve">https://icons.brapi.dev/icons/B1AM34.svg</t>
  </si>
  <si>
    <t xml:space="preserve">B1AX34</t>
  </si>
  <si>
    <t xml:space="preserve">Baxter International Inc.</t>
  </si>
  <si>
    <t xml:space="preserve">https://icons.brapi.dev/icons/B1AX34.svg</t>
  </si>
  <si>
    <t xml:space="preserve">B1BT34</t>
  </si>
  <si>
    <t xml:space="preserve">Truist Financial Corporation</t>
  </si>
  <si>
    <t xml:space="preserve">https://icons.brapi.dev/icons/B1BT34.svg</t>
  </si>
  <si>
    <t xml:space="preserve">B1BW34</t>
  </si>
  <si>
    <t xml:space="preserve">Bath &amp; Body Works, Inc.</t>
  </si>
  <si>
    <t xml:space="preserve">https://icons.brapi.dev/icons/B1BW34.svg</t>
  </si>
  <si>
    <t xml:space="preserve">B1CS34</t>
  </si>
  <si>
    <t xml:space="preserve">Barclays PLC</t>
  </si>
  <si>
    <t xml:space="preserve">https://icons.brapi.dev/icons/B1CS34.svg</t>
  </si>
  <si>
    <t xml:space="preserve">B1DX34</t>
  </si>
  <si>
    <t xml:space="preserve">Becton, Dickinson and Company</t>
  </si>
  <si>
    <t xml:space="preserve">https://icons.brapi.dev/icons/B1DX34.svg</t>
  </si>
  <si>
    <t xml:space="preserve">B1FC34</t>
  </si>
  <si>
    <t xml:space="preserve">Brown-Forman Corporation</t>
  </si>
  <si>
    <t xml:space="preserve">https://icons.brapi.dev/icons/B1FC34.svg</t>
  </si>
  <si>
    <t xml:space="preserve">B1IL34</t>
  </si>
  <si>
    <t xml:space="preserve">Bilibili Inc.</t>
  </si>
  <si>
    <t xml:space="preserve">https://icons.brapi.dev/icons/B1IL34.svg</t>
  </si>
  <si>
    <t xml:space="preserve">B1KR34</t>
  </si>
  <si>
    <t xml:space="preserve">Baker Hughes Company Class A</t>
  </si>
  <si>
    <t xml:space="preserve">Serviços industriais</t>
  </si>
  <si>
    <t xml:space="preserve">Industrial Services</t>
  </si>
  <si>
    <t xml:space="preserve">SERVICOS_INDUSTRIAIS</t>
  </si>
  <si>
    <t xml:space="preserve">https://icons.brapi.dev/icons/B1KR34.svg</t>
  </si>
  <si>
    <t xml:space="preserve">B1LL34</t>
  </si>
  <si>
    <t xml:space="preserve">Ball Corporation</t>
  </si>
  <si>
    <t xml:space="preserve">https://icons.brapi.dev/icons/B1LL34.svg</t>
  </si>
  <si>
    <t xml:space="preserve">B1ME34</t>
  </si>
  <si>
    <t xml:space="preserve">BeOne Medicines Ltd.</t>
  </si>
  <si>
    <t xml:space="preserve">https://icons.brapi.dev/icons/B1ME34.svg</t>
  </si>
  <si>
    <t xml:space="preserve">B1MR34</t>
  </si>
  <si>
    <t xml:space="preserve">Biomarin Pharmaceutical Inc.</t>
  </si>
  <si>
    <t xml:space="preserve">https://icons.brapi.dev/icons/B1MR34.svg</t>
  </si>
  <si>
    <t xml:space="preserve">B1NT34</t>
  </si>
  <si>
    <t xml:space="preserve">BioNTech SE</t>
  </si>
  <si>
    <t xml:space="preserve">https://icons.brapi.dev/icons/B1NT34.svg</t>
  </si>
  <si>
    <t xml:space="preserve">B1PP34</t>
  </si>
  <si>
    <t xml:space="preserve">BP PLC</t>
  </si>
  <si>
    <t xml:space="preserve">https://icons.brapi.dev/icons/B1PP34.svg</t>
  </si>
  <si>
    <t xml:space="preserve">B1RF34</t>
  </si>
  <si>
    <t xml:space="preserve">Broadridge Financial Solutions, Inc.</t>
  </si>
  <si>
    <t xml:space="preserve">https://icons.brapi.dev/icons/B1RF34.svg</t>
  </si>
  <si>
    <t xml:space="preserve">B1SA34</t>
  </si>
  <si>
    <t xml:space="preserve">Banco Santander-Chile</t>
  </si>
  <si>
    <t xml:space="preserve">https://icons.brapi.dev/icons/B1SA34.svg</t>
  </si>
  <si>
    <t xml:space="preserve">B1SX34</t>
  </si>
  <si>
    <t xml:space="preserve">Boston Scientific Corp</t>
  </si>
  <si>
    <t xml:space="preserve">https://icons.brapi.dev/icons/B1SX34.svg</t>
  </si>
  <si>
    <t xml:space="preserve">B1TI34</t>
  </si>
  <si>
    <t xml:space="preserve">British American Tobacco PLC</t>
  </si>
  <si>
    <t xml:space="preserve">https://icons.brapi.dev/icons/B1TI34.svg</t>
  </si>
  <si>
    <t xml:space="preserve">B1ZE34</t>
  </si>
  <si>
    <t xml:space="preserve">Braze, Inc.</t>
  </si>
  <si>
    <t xml:space="preserve">https://icons.brapi.dev/icons/B1ZE34.svg</t>
  </si>
  <si>
    <t xml:space="preserve">B2AP34</t>
  </si>
  <si>
    <t xml:space="preserve">Credicorp Ltd.</t>
  </si>
  <si>
    <t xml:space="preserve">https://icons.brapi.dev/icons/B2AP34.svg</t>
  </si>
  <si>
    <t xml:space="preserve">B2HI34</t>
  </si>
  <si>
    <t xml:space="preserve">BILL Holdings, Inc.</t>
  </si>
  <si>
    <t xml:space="preserve">https://icons.brapi.dev/icons/B2HI34.svg</t>
  </si>
  <si>
    <t xml:space="preserve">B2LN34</t>
  </si>
  <si>
    <t xml:space="preserve">BlackLine, Inc.</t>
  </si>
  <si>
    <t xml:space="preserve">https://icons.brapi.dev/icons/B2LN34.svg</t>
  </si>
  <si>
    <t xml:space="preserve">B2MB34</t>
  </si>
  <si>
    <t xml:space="preserve">Bumble, Inc.</t>
  </si>
  <si>
    <t xml:space="preserve">https://icons.brapi.dev/icons/B2MB34.svg</t>
  </si>
  <si>
    <t xml:space="preserve">B2RK34</t>
  </si>
  <si>
    <t xml:space="preserve">Bruker Corporation</t>
  </si>
  <si>
    <t xml:space="preserve">https://icons.brapi.dev/icons/B2RK34.svg</t>
  </si>
  <si>
    <t xml:space="preserve">B2UR34</t>
  </si>
  <si>
    <t xml:space="preserve">Burlington Stores, Inc.</t>
  </si>
  <si>
    <t xml:space="preserve">https://icons.brapi.dev/icons/B2UR34.svg</t>
  </si>
  <si>
    <t xml:space="preserve">B2YN34</t>
  </si>
  <si>
    <t xml:space="preserve">Beyond Meat, Inc.</t>
  </si>
  <si>
    <t xml:space="preserve">https://icons.brapi.dev/icons/B2YN34.svg</t>
  </si>
  <si>
    <t xml:space="preserve">BAAX39</t>
  </si>
  <si>
    <t xml:space="preserve">ISHARES MSCI ALL COUNTRY ASIA EX JAPAN ETF</t>
  </si>
  <si>
    <t xml:space="preserve">https://icons.brapi.dev/icons/BAAX39.svg</t>
  </si>
  <si>
    <t xml:space="preserve">BABA34</t>
  </si>
  <si>
    <t xml:space="preserve">Alibaba Group Holding Limited</t>
  </si>
  <si>
    <t xml:space="preserve">https://icons.brapi.dev/icons/BABA34.svg</t>
  </si>
  <si>
    <t xml:space="preserve">BACW39</t>
  </si>
  <si>
    <t xml:space="preserve">ISHARES MSCI ACWI ETF</t>
  </si>
  <si>
    <t xml:space="preserve">https://icons.brapi.dev/icons/BACW39.svg</t>
  </si>
  <si>
    <t xml:space="preserve">BAER39</t>
  </si>
  <si>
    <t xml:space="preserve">ISHARES US AEROSPACE &amp; DEFENSE ETF</t>
  </si>
  <si>
    <t xml:space="preserve">https://icons.brapi.dev/icons/BAER39.svg</t>
  </si>
  <si>
    <t xml:space="preserve">BAGG39</t>
  </si>
  <si>
    <t xml:space="preserve">ISHARES CORE U.S. AGGREGATE BOND ETF</t>
  </si>
  <si>
    <t xml:space="preserve">https://icons.brapi.dev/icons/BAGG39.svg</t>
  </si>
  <si>
    <t xml:space="preserve">BAIQ39</t>
  </si>
  <si>
    <t xml:space="preserve">GLOBAL X ARTIFICIAL INTELLIGENCE &amp; TECHNOLOGY ETF</t>
  </si>
  <si>
    <t xml:space="preserve">https://icons.brapi.dev/icons/BAIQ39.svg</t>
  </si>
  <si>
    <t xml:space="preserve">BAOA39</t>
  </si>
  <si>
    <t xml:space="preserve">ISHARES CORE 80/20 AGGRESSIVE ALLOCATION ETF</t>
  </si>
  <si>
    <t xml:space="preserve">https://icons.brapi.dev/icons/BAOA39.svg</t>
  </si>
  <si>
    <t xml:space="preserve">BAOR39</t>
  </si>
  <si>
    <t xml:space="preserve">ISHARES CORE 60/40 BALANCED ALLOCATION ETF</t>
  </si>
  <si>
    <t xml:space="preserve">https://icons.brapi.dev/icons/BAOR39.svg</t>
  </si>
  <si>
    <t xml:space="preserve">BARY39</t>
  </si>
  <si>
    <t xml:space="preserve">ISHARES FUTURE AI &amp; TECH ETF</t>
  </si>
  <si>
    <t xml:space="preserve">https://icons.brapi.dev/icons/BARY39.svg</t>
  </si>
  <si>
    <t xml:space="preserve">BASK39</t>
  </si>
  <si>
    <t xml:space="preserve">21SHARES CRYPTO BASKET INDEX ETP</t>
  </si>
  <si>
    <t xml:space="preserve">https://icons.brapi.dev/icons/BASK39.svg</t>
  </si>
  <si>
    <t xml:space="preserve">BBAX39</t>
  </si>
  <si>
    <t xml:space="preserve">JPMorgan BetaBuilders USD Investment Grade Corporate Bond ETF</t>
  </si>
  <si>
    <t xml:space="preserve">https://icons.brapi.dev/icons/BBAX39.svg</t>
  </si>
  <si>
    <t xml:space="preserve">BBEU39</t>
  </si>
  <si>
    <t xml:space="preserve">JPMorgan BetaBuilders Europe Fund</t>
  </si>
  <si>
    <t xml:space="preserve">https://icons.brapi.dev/icons/BBEU39.svg</t>
  </si>
  <si>
    <t xml:space="preserve">BBIL39</t>
  </si>
  <si>
    <t xml:space="preserve">JPMORGAN BETABUILDERS INTERNATIONAL EQUITY ETF</t>
  </si>
  <si>
    <t xml:space="preserve">https://icons.brapi.dev/icons/BBIL39.svg</t>
  </si>
  <si>
    <t xml:space="preserve">BBJP39</t>
  </si>
  <si>
    <t xml:space="preserve">JPMORGAN BETABUILDERS JAPAN ETF</t>
  </si>
  <si>
    <t xml:space="preserve">https://icons.brapi.dev/icons/BBJP39.svg</t>
  </si>
  <si>
    <t xml:space="preserve">BBMC39</t>
  </si>
  <si>
    <t xml:space="preserve">JPMorgan BetaBuilders U.S. Mid Cap Equity ETF</t>
  </si>
  <si>
    <t xml:space="preserve">https://icons.brapi.dev/icons/BBMC39.svg</t>
  </si>
  <si>
    <t xml:space="preserve">BBMR39</t>
  </si>
  <si>
    <t xml:space="preserve">JPMORGAN BETABUILDERS MSCI US REIT ETF</t>
  </si>
  <si>
    <t xml:space="preserve">https://icons.brapi.dev/icons/BBMR39.svg</t>
  </si>
  <si>
    <t xml:space="preserve">BBUG39</t>
  </si>
  <si>
    <t xml:space="preserve">GLOBAL X CYBERSECURITY ETF</t>
  </si>
  <si>
    <t xml:space="preserve">https://icons.brapi.dev/icons/BBUG39.svg</t>
  </si>
  <si>
    <t xml:space="preserve">BBUS39</t>
  </si>
  <si>
    <t xml:space="preserve">JPMORGAN BETABUILDERS US EQUITY ETF</t>
  </si>
  <si>
    <t xml:space="preserve">https://icons.brapi.dev/icons/BBUS39.svg</t>
  </si>
  <si>
    <t xml:space="preserve">BBYY34</t>
  </si>
  <si>
    <t xml:space="preserve">Best Buy Co Inc</t>
  </si>
  <si>
    <t xml:space="preserve">https://icons.brapi.dev/icons/BBYY34.svg</t>
  </si>
  <si>
    <t xml:space="preserve">BCAT39</t>
  </si>
  <si>
    <t xml:space="preserve">GLOBAL X S&amp;P 500 CATHOLIC VALUES ETF</t>
  </si>
  <si>
    <t xml:space="preserve">https://icons.brapi.dev/icons/BCAT39.svg</t>
  </si>
  <si>
    <t xml:space="preserve">BCHI39</t>
  </si>
  <si>
    <t xml:space="preserve">ISHARES MSCI CHINA ETF</t>
  </si>
  <si>
    <t xml:space="preserve">https://icons.brapi.dev/icons/BCHI39.svg</t>
  </si>
  <si>
    <t xml:space="preserve">BCHQ39</t>
  </si>
  <si>
    <t xml:space="preserve">GLOBAL X MSCI CHINA CONSUMER DISCRETIONARY ETF</t>
  </si>
  <si>
    <t xml:space="preserve">https://icons.brapi.dev/icons/BCHQ39.svg</t>
  </si>
  <si>
    <t xml:space="preserve">BCIR39</t>
  </si>
  <si>
    <t xml:space="preserve">FIRST TRUST NASDAQ CYBERSECURITY ETF</t>
  </si>
  <si>
    <t xml:space="preserve">https://icons.brapi.dev/icons/BCIR39.svg</t>
  </si>
  <si>
    <t xml:space="preserve">BCLO39</t>
  </si>
  <si>
    <t xml:space="preserve">GLOBAL X CLOUD COMPUTING ETF</t>
  </si>
  <si>
    <t xml:space="preserve">https://icons.brapi.dev/icons/BCLO39.svg</t>
  </si>
  <si>
    <t xml:space="preserve">BCNY39</t>
  </si>
  <si>
    <t xml:space="preserve">ISHARES MSCI CHINA A ETF</t>
  </si>
  <si>
    <t xml:space="preserve">https://icons.brapi.dev/icons/BCNY39.svg</t>
  </si>
  <si>
    <t xml:space="preserve">BCOM39</t>
  </si>
  <si>
    <t xml:space="preserve">ISHARES GSCI COMMODITY DYNAMIC ROLL STRATEGY ETF</t>
  </si>
  <si>
    <t xml:space="preserve">https://icons.brapi.dev/icons/BCOM39.svg</t>
  </si>
  <si>
    <t xml:space="preserve">BCPX39</t>
  </si>
  <si>
    <t xml:space="preserve">GLOBAL X COPPER MINERS ETF</t>
  </si>
  <si>
    <t xml:space="preserve">https://icons.brapi.dev/icons/BCPX39.svg</t>
  </si>
  <si>
    <t xml:space="preserve">BCSA34</t>
  </si>
  <si>
    <t xml:space="preserve">Banco Santander SA</t>
  </si>
  <si>
    <t xml:space="preserve">https://icons.brapi.dev/icons/BCSA34.svg</t>
  </si>
  <si>
    <t xml:space="preserve">BCTE39</t>
  </si>
  <si>
    <t xml:space="preserve">GLOBAL X CLIMATETECH ETF</t>
  </si>
  <si>
    <t xml:space="preserve">https://icons.brapi.dev/icons/BCTE39.svg</t>
  </si>
  <si>
    <t xml:space="preserve">BCWV39</t>
  </si>
  <si>
    <t xml:space="preserve">ISHARES MSCI GLOBAL MIN VOL FACTOR ETF</t>
  </si>
  <si>
    <t xml:space="preserve">https://icons.brapi.dev/icons/BCWV39.svg</t>
  </si>
  <si>
    <t xml:space="preserve">BDRI39</t>
  </si>
  <si>
    <t xml:space="preserve">GLOBAL X AUTONOMOUS &amp; ELECTRIC VEHICLES ETF</t>
  </si>
  <si>
    <t xml:space="preserve">https://icons.brapi.dev/icons/BDRI39.svg</t>
  </si>
  <si>
    <t xml:space="preserve">BDVD39</t>
  </si>
  <si>
    <t xml:space="preserve">GLOBAL X SUPERDIVIDEND US ETF</t>
  </si>
  <si>
    <t xml:space="preserve">https://icons.brapi.dev/icons/BDVD39.svg</t>
  </si>
  <si>
    <t xml:space="preserve">BDVE39</t>
  </si>
  <si>
    <t xml:space="preserve">ISHARES EMERGING MARKETS DIVIDEND ETF</t>
  </si>
  <si>
    <t xml:space="preserve">https://icons.brapi.dev/icons/BDVE39.svg</t>
  </si>
  <si>
    <t xml:space="preserve">BDVY39</t>
  </si>
  <si>
    <t xml:space="preserve">ISHARES SELECT DIVIDEND ETF</t>
  </si>
  <si>
    <t xml:space="preserve">https://icons.brapi.dev/icons/BDVY39.svg</t>
  </si>
  <si>
    <t xml:space="preserve">BECH39</t>
  </si>
  <si>
    <t xml:space="preserve">ISHARES MSCI CHILE ETF</t>
  </si>
  <si>
    <t xml:space="preserve">https://icons.brapi.dev/icons/BECH39.svg</t>
  </si>
  <si>
    <t xml:space="preserve">BEEM39</t>
  </si>
  <si>
    <t xml:space="preserve">ISHARES MSCI EMERGING MARKETS ETF</t>
  </si>
  <si>
    <t xml:space="preserve">https://icons.brapi.dev/icons/BEEM39.svg</t>
  </si>
  <si>
    <t xml:space="preserve">BEFA39</t>
  </si>
  <si>
    <t xml:space="preserve">ISHARES MSCI EAFE ETF</t>
  </si>
  <si>
    <t xml:space="preserve">https://icons.brapi.dev/icons/BEFA39.svg</t>
  </si>
  <si>
    <t xml:space="preserve">BEFG39</t>
  </si>
  <si>
    <t xml:space="preserve">ISHARES MSCI EAFE GROWTH ETF</t>
  </si>
  <si>
    <t xml:space="preserve">https://icons.brapi.dev/icons/BEFG39.svg</t>
  </si>
  <si>
    <t xml:space="preserve">BEFV39</t>
  </si>
  <si>
    <t xml:space="preserve">ISHARES MSCI EAFE VALUE ETF</t>
  </si>
  <si>
    <t xml:space="preserve">https://icons.brapi.dev/icons/BEFV39.svg</t>
  </si>
  <si>
    <t xml:space="preserve">BEGD39</t>
  </si>
  <si>
    <t xml:space="preserve">ISHARES ESG AWARE MSCI EAFE ETF</t>
  </si>
  <si>
    <t xml:space="preserve">https://icons.brapi.dev/icons/BEGD39.svg</t>
  </si>
  <si>
    <t xml:space="preserve">BEGU39</t>
  </si>
  <si>
    <t xml:space="preserve">ISHARES ESG AWARE MSCI USA ETF</t>
  </si>
  <si>
    <t xml:space="preserve">https://icons.brapi.dev/icons/BEGU39.svg</t>
  </si>
  <si>
    <t xml:space="preserve">BEIS39</t>
  </si>
  <si>
    <t xml:space="preserve">ISHARES MSCI ISRAEL ETF</t>
  </si>
  <si>
    <t xml:space="preserve">https://icons.brapi.dev/icons/BEIS39.svg</t>
  </si>
  <si>
    <t xml:space="preserve">BEMC39</t>
  </si>
  <si>
    <t xml:space="preserve">ISHARES MSCI EMERGING MARKETS EX CHINA ETF</t>
  </si>
  <si>
    <t xml:space="preserve">https://icons.brapi.dev/icons/BEMC39.svg</t>
  </si>
  <si>
    <t xml:space="preserve">BEMV39</t>
  </si>
  <si>
    <t xml:space="preserve">ISHARES MSCI EMERGING MARKETS MIN VOL FACTOR ETF</t>
  </si>
  <si>
    <t xml:space="preserve">https://icons.brapi.dev/icons/BEMV39.svg</t>
  </si>
  <si>
    <t xml:space="preserve">BEPP39</t>
  </si>
  <si>
    <t xml:space="preserve">ISHARES MSCI PACIFIC EX JAPAN ETF</t>
  </si>
  <si>
    <t xml:space="preserve">https://icons.brapi.dev/icons/BEPP39.svg</t>
  </si>
  <si>
    <t xml:space="preserve">BERK34</t>
  </si>
  <si>
    <t xml:space="preserve">Berkshire Hathaway Inc. B</t>
  </si>
  <si>
    <t xml:space="preserve">https://icons.brapi.dev/icons/BERK34.svg</t>
  </si>
  <si>
    <t xml:space="preserve">BEUW39</t>
  </si>
  <si>
    <t xml:space="preserve">ISHARES MSCI USA EQUAL WEIGHTED ETF</t>
  </si>
  <si>
    <t xml:space="preserve">https://icons.brapi.dev/icons/BEUW39.svg</t>
  </si>
  <si>
    <t xml:space="preserve">BEWA39</t>
  </si>
  <si>
    <t xml:space="preserve">ISHARES MSCI AUSTRALIA ETF</t>
  </si>
  <si>
    <t xml:space="preserve">https://icons.brapi.dev/icons/BEWA39.svg</t>
  </si>
  <si>
    <t xml:space="preserve">BEWC39</t>
  </si>
  <si>
    <t xml:space="preserve">ISHARES MSCI CANADA ETF</t>
  </si>
  <si>
    <t xml:space="preserve">https://icons.brapi.dev/icons/BEWC39.svg</t>
  </si>
  <si>
    <t xml:space="preserve">BEWG39</t>
  </si>
  <si>
    <t xml:space="preserve">ISHARES MSCI GERMANY ETF</t>
  </si>
  <si>
    <t xml:space="preserve">https://icons.brapi.dev/icons/BEWG39.svg</t>
  </si>
  <si>
    <t xml:space="preserve">BEWH39</t>
  </si>
  <si>
    <t xml:space="preserve">ISHARES MSCI HONG KONG ETF</t>
  </si>
  <si>
    <t xml:space="preserve">https://icons.brapi.dev/icons/BEWH39.svg</t>
  </si>
  <si>
    <t xml:space="preserve">BEWI39</t>
  </si>
  <si>
    <t xml:space="preserve">ISHARES MSCI ITALY ETF</t>
  </si>
  <si>
    <t xml:space="preserve">https://icons.brapi.dev/icons/BEWI39.svg</t>
  </si>
  <si>
    <t xml:space="preserve">BEWJ39</t>
  </si>
  <si>
    <t xml:space="preserve">ISHARES MSCI JAPAN ETF</t>
  </si>
  <si>
    <t xml:space="preserve">https://icons.brapi.dev/icons/BEWJ39.svg</t>
  </si>
  <si>
    <t xml:space="preserve">BEWL39</t>
  </si>
  <si>
    <t xml:space="preserve">ISHARES MSCI SWITZERLAND ETF</t>
  </si>
  <si>
    <t xml:space="preserve">https://icons.brapi.dev/icons/BEWL39.svg</t>
  </si>
  <si>
    <t xml:space="preserve">BEWN39</t>
  </si>
  <si>
    <t xml:space="preserve">ISHARES MSCI NETHERLANDS ETF</t>
  </si>
  <si>
    <t xml:space="preserve">https://icons.brapi.dev/icons/BEWN39.svg</t>
  </si>
  <si>
    <t xml:space="preserve">BEWO39</t>
  </si>
  <si>
    <t xml:space="preserve">ISHARES MSCI AUSTRIA ETF</t>
  </si>
  <si>
    <t xml:space="preserve">https://icons.brapi.dev/icons/BEWO39.svg</t>
  </si>
  <si>
    <t xml:space="preserve">BEWP39</t>
  </si>
  <si>
    <t xml:space="preserve">ISHARES MSCI SPAIN ETF</t>
  </si>
  <si>
    <t xml:space="preserve">https://icons.brapi.dev/icons/BEWP39.svg</t>
  </si>
  <si>
    <t xml:space="preserve">BEWQ39</t>
  </si>
  <si>
    <t xml:space="preserve">ISHARES MSCI FRANCE ETF</t>
  </si>
  <si>
    <t xml:space="preserve">https://icons.brapi.dev/icons/BEWQ39.svg</t>
  </si>
  <si>
    <t xml:space="preserve">BEWS39</t>
  </si>
  <si>
    <t xml:space="preserve">ISHARES MSCI SINGAPORE ETF</t>
  </si>
  <si>
    <t xml:space="preserve">https://icons.brapi.dev/icons/BEWS39.svg</t>
  </si>
  <si>
    <t xml:space="preserve">BEWT39</t>
  </si>
  <si>
    <t xml:space="preserve">ISHARES MSCI TAIWAN ETF</t>
  </si>
  <si>
    <t xml:space="preserve">https://icons.brapi.dev/icons/BEWT39.svg</t>
  </si>
  <si>
    <t xml:space="preserve">BEWU39</t>
  </si>
  <si>
    <t xml:space="preserve">ISHARES MSCI UNITED KINGDOM ETF</t>
  </si>
  <si>
    <t xml:space="preserve">https://icons.brapi.dev/icons/BEWU39.svg</t>
  </si>
  <si>
    <t xml:space="preserve">BEWW39</t>
  </si>
  <si>
    <t xml:space="preserve">ISHARES MSCI MEXICO ETF</t>
  </si>
  <si>
    <t xml:space="preserve">https://icons.brapi.dev/icons/BEWW39.svg</t>
  </si>
  <si>
    <t xml:space="preserve">BEWY39</t>
  </si>
  <si>
    <t xml:space="preserve">ISHARES MSCI SOUTH KOREA ETF</t>
  </si>
  <si>
    <t xml:space="preserve">https://icons.brapi.dev/icons/BEWY39.svg</t>
  </si>
  <si>
    <t xml:space="preserve">BEWZ39</t>
  </si>
  <si>
    <t xml:space="preserve">ISHARES MSCI BRAZIL ETF</t>
  </si>
  <si>
    <t xml:space="preserve">https://icons.brapi.dev/icons/BEWZ39.svg</t>
  </si>
  <si>
    <t xml:space="preserve">BEZA39</t>
  </si>
  <si>
    <t xml:space="preserve">ISHARES MSCI SOUTH AFRICA ETF</t>
  </si>
  <si>
    <t xml:space="preserve">https://icons.brapi.dev/icons/BEZA39.svg</t>
  </si>
  <si>
    <t xml:space="preserve">BEZU39</t>
  </si>
  <si>
    <t xml:space="preserve">ISHARES MSCI EUROZONE ETF</t>
  </si>
  <si>
    <t xml:space="preserve">https://icons.brapi.dev/icons/BEZU39.svg</t>
  </si>
  <si>
    <t xml:space="preserve">BFAV39</t>
  </si>
  <si>
    <t xml:space="preserve">ISHARES MSCI EAFE MIN VOL FACTOR ETF</t>
  </si>
  <si>
    <t xml:space="preserve">https://icons.brapi.dev/icons/BFAV39.svg</t>
  </si>
  <si>
    <t xml:space="preserve">BFBI39</t>
  </si>
  <si>
    <t xml:space="preserve">FIRST TRUST NYSE ARCA BIOTECHNOLOGY INDEX FUND</t>
  </si>
  <si>
    <t xml:space="preserve">https://icons.brapi.dev/icons/BFBI39.svg</t>
  </si>
  <si>
    <t xml:space="preserve">BFCG39</t>
  </si>
  <si>
    <t xml:space="preserve">FIRST TRUST NATURAL GAS ETF</t>
  </si>
  <si>
    <t xml:space="preserve">https://icons.brapi.dev/icons/BFCG39.svg</t>
  </si>
  <si>
    <t xml:space="preserve">BFNX39</t>
  </si>
  <si>
    <t xml:space="preserve">GLOBAL X FINTECH ETF</t>
  </si>
  <si>
    <t xml:space="preserve">https://icons.brapi.dev/icons/BFNX39.svg</t>
  </si>
  <si>
    <t xml:space="preserve">BFPX39</t>
  </si>
  <si>
    <t xml:space="preserve">FIRST TRUST US EQUITY OPPORTUNITIES ETF</t>
  </si>
  <si>
    <t xml:space="preserve">https://icons.brapi.dev/icons/BFPX39.svg</t>
  </si>
  <si>
    <t xml:space="preserve">BFXI39</t>
  </si>
  <si>
    <t xml:space="preserve">ISHARES CHINA LARGE-CAP ETF</t>
  </si>
  <si>
    <t xml:space="preserve">https://icons.brapi.dev/icons/BFXI39.svg</t>
  </si>
  <si>
    <t xml:space="preserve">BGAR39</t>
  </si>
  <si>
    <t xml:space="preserve">ISHARES MSCI USA QUALITY GARP ETF</t>
  </si>
  <si>
    <t xml:space="preserve">https://icons.brapi.dev/icons/BGAR39.svg</t>
  </si>
  <si>
    <t xml:space="preserve">BGLC39</t>
  </si>
  <si>
    <t xml:space="preserve">ISHARES GLOBAL 100 ETF</t>
  </si>
  <si>
    <t xml:space="preserve">https://icons.brapi.dev/icons/BGLC39.svg</t>
  </si>
  <si>
    <t xml:space="preserve">BGNO39</t>
  </si>
  <si>
    <t xml:space="preserve">GLOBAL X GENOMICS &amp; BIOTECHNOLOGY ETF</t>
  </si>
  <si>
    <t xml:space="preserve">https://icons.brapi.dev/icons/BGNO39.svg</t>
  </si>
  <si>
    <t xml:space="preserve">BGOV39</t>
  </si>
  <si>
    <t xml:space="preserve">ISHARES US TREASURY BOND ETF</t>
  </si>
  <si>
    <t xml:space="preserve">https://icons.brapi.dev/icons/BGOV39.svg</t>
  </si>
  <si>
    <t xml:space="preserve">BGOZ39</t>
  </si>
  <si>
    <t xml:space="preserve">ISHARES 25 YEAR TREASURY STRIPS BOND ETF</t>
  </si>
  <si>
    <t xml:space="preserve">https://icons.brapi.dev/icons/BGOZ39.svg</t>
  </si>
  <si>
    <t xml:space="preserve">BGRI39</t>
  </si>
  <si>
    <t xml:space="preserve">FIRST TRUST NASDAQ CLEANEDGE SMART GRID INFRA FUND</t>
  </si>
  <si>
    <t xml:space="preserve">https://icons.brapi.dev/icons/BGRI39.svg</t>
  </si>
  <si>
    <t xml:space="preserve">BGRT39</t>
  </si>
  <si>
    <t xml:space="preserve">ISHARES GLOBAL REIT ETF</t>
  </si>
  <si>
    <t xml:space="preserve">https://icons.brapi.dev/icons/BGRT39.svg</t>
  </si>
  <si>
    <t xml:space="preserve">BGWH39</t>
  </si>
  <si>
    <t xml:space="preserve">ISHARES CORE DIVIDEND GROWTH ETF</t>
  </si>
  <si>
    <t xml:space="preserve">https://icons.brapi.dev/icons/BGWH39.svg</t>
  </si>
  <si>
    <t xml:space="preserve">BHDV39</t>
  </si>
  <si>
    <t xml:space="preserve">ISHARES CORE HIGH DIVIDEND ETF</t>
  </si>
  <si>
    <t xml:space="preserve">https://icons.brapi.dev/icons/BHDV39.svg</t>
  </si>
  <si>
    <t xml:space="preserve">BHEF39</t>
  </si>
  <si>
    <t xml:space="preserve">ISHARES CURRENCY HEDGED MSCI EAFE ETF</t>
  </si>
  <si>
    <t xml:space="preserve">https://icons.brapi.dev/icons/BHEF39.svg</t>
  </si>
  <si>
    <t xml:space="preserve">BHER39</t>
  </si>
  <si>
    <t xml:space="preserve">GLOBAL X VIDEO GAMES &amp; ESPORTS ETF</t>
  </si>
  <si>
    <t xml:space="preserve">https://icons.brapi.dev/icons/BHER39.svg</t>
  </si>
  <si>
    <t xml:space="preserve">BHEW39</t>
  </si>
  <si>
    <t xml:space="preserve">ISHARES CURRENCY HEDGED MSCI JAPAN ETF</t>
  </si>
  <si>
    <t xml:space="preserve">https://icons.brapi.dev/icons/BHEW39.svg</t>
  </si>
  <si>
    <t xml:space="preserve">BHVN34</t>
  </si>
  <si>
    <t xml:space="preserve">Biohaven Research Ltd</t>
  </si>
  <si>
    <t xml:space="preserve">https://icons.brapi.dev/icons/BHVN34.svg</t>
  </si>
  <si>
    <t xml:space="preserve">BHYG39</t>
  </si>
  <si>
    <t xml:space="preserve">ISHARES IBOXX HIGH YIELD CORPORATE BOND ETF</t>
  </si>
  <si>
    <t xml:space="preserve">https://icons.brapi.dev/icons/BHYG39.svg</t>
  </si>
  <si>
    <t xml:space="preserve">BIAT39</t>
  </si>
  <si>
    <t xml:space="preserve">ISHARES U.S. REGIONAL BANKS ETF</t>
  </si>
  <si>
    <t xml:space="preserve">https://icons.brapi.dev/icons/BIAT39.svg</t>
  </si>
  <si>
    <t xml:space="preserve">BIAU39</t>
  </si>
  <si>
    <t xml:space="preserve">ISHARES GOLD TRUST</t>
  </si>
  <si>
    <t xml:space="preserve">https://icons.brapi.dev/icons/BIAU39.svg</t>
  </si>
  <si>
    <t xml:space="preserve">BIBB39</t>
  </si>
  <si>
    <t xml:space="preserve">ISHARES BIOTECHNOLOGY ETF</t>
  </si>
  <si>
    <t xml:space="preserve">https://icons.brapi.dev/icons/BIBB39.svg</t>
  </si>
  <si>
    <t xml:space="preserve">BICL39</t>
  </si>
  <si>
    <t xml:space="preserve">ISHARES GLOBAL CLEAN ENERGY ETF</t>
  </si>
  <si>
    <t xml:space="preserve">https://icons.brapi.dev/icons/BICL39.svg</t>
  </si>
  <si>
    <t xml:space="preserve">BICV39</t>
  </si>
  <si>
    <t xml:space="preserve">ISHARES CONVERTIBLE BOND ETF</t>
  </si>
  <si>
    <t xml:space="preserve">https://icons.brapi.dev/icons/BICV39.svg</t>
  </si>
  <si>
    <t xml:space="preserve">BIDR39</t>
  </si>
  <si>
    <t xml:space="preserve">ISHARES SELF-DRIVING EV AND TECH ETF</t>
  </si>
  <si>
    <t xml:space="preserve">https://icons.brapi.dev/icons/BIDR39.svg</t>
  </si>
  <si>
    <t xml:space="preserve">BIDU34</t>
  </si>
  <si>
    <t xml:space="preserve">Baidu, Inc.</t>
  </si>
  <si>
    <t xml:space="preserve">https://icons.brapi.dev/icons/BIDU34.svg</t>
  </si>
  <si>
    <t xml:space="preserve">BIDV39</t>
  </si>
  <si>
    <t xml:space="preserve">ISHARES INTERNATIONAL SELECT DIVIDEND ETF</t>
  </si>
  <si>
    <t xml:space="preserve">https://icons.brapi.dev/icons/BIDV39.svg</t>
  </si>
  <si>
    <t xml:space="preserve">BIEF39</t>
  </si>
  <si>
    <t xml:space="preserve">ISHARES CORE MSCI EAFE ETF</t>
  </si>
  <si>
    <t xml:space="preserve">https://icons.brapi.dev/icons/BIEF39.svg</t>
  </si>
  <si>
    <t xml:space="preserve">BIEI39</t>
  </si>
  <si>
    <t xml:space="preserve">ISHARES 3-7 YEAR TREASURY BOND ETF</t>
  </si>
  <si>
    <t xml:space="preserve">https://icons.brapi.dev/icons/BIEI39.svg</t>
  </si>
  <si>
    <t xml:space="preserve">BIEM39</t>
  </si>
  <si>
    <t xml:space="preserve">ISHARES CORE MSCI EMERGING MARKETS ETF</t>
  </si>
  <si>
    <t xml:space="preserve">https://icons.brapi.dev/icons/BIEM39.svg</t>
  </si>
  <si>
    <t xml:space="preserve">BIEO39</t>
  </si>
  <si>
    <t xml:space="preserve">ISHARES US OIL &amp; GAS EXPLORATION &amp; PRODUCTION ETF</t>
  </si>
  <si>
    <t xml:space="preserve">https://icons.brapi.dev/icons/BIEO39.svg</t>
  </si>
  <si>
    <t xml:space="preserve">BIET39</t>
  </si>
  <si>
    <t xml:space="preserve">ISHARES EXPANDED TECH-SOFTWARE SECTOR ETF</t>
  </si>
  <si>
    <t xml:space="preserve">https://icons.brapi.dev/icons/BIET39.svg</t>
  </si>
  <si>
    <t xml:space="preserve">BIEU39</t>
  </si>
  <si>
    <t xml:space="preserve">ISHARES CORE MSCI EUROPE ETF</t>
  </si>
  <si>
    <t xml:space="preserve">https://icons.brapi.dev/icons/BIEU39.svg</t>
  </si>
  <si>
    <t xml:space="preserve">BIEV39</t>
  </si>
  <si>
    <t xml:space="preserve">ISHARES EUROPE ETF</t>
  </si>
  <si>
    <t xml:space="preserve">https://icons.brapi.dev/icons/BIEV39.svg</t>
  </si>
  <si>
    <t xml:space="preserve">BIEZ39</t>
  </si>
  <si>
    <t xml:space="preserve">ISHARES U.S. OIL EQUIPMENT &amp; SERVICES ETF</t>
  </si>
  <si>
    <t xml:space="preserve">https://icons.brapi.dev/icons/BIEZ39.svg</t>
  </si>
  <si>
    <t xml:space="preserve">BIFR39</t>
  </si>
  <si>
    <t xml:space="preserve">ISHARES US INFRASTRUCTURE ETF</t>
  </si>
  <si>
    <t xml:space="preserve">https://icons.brapi.dev/icons/BIFR39.svg</t>
  </si>
  <si>
    <t xml:space="preserve">BIGF39</t>
  </si>
  <si>
    <t xml:space="preserve">ISHARES GLOBAL INFRASTRUCTURE ETF</t>
  </si>
  <si>
    <t xml:space="preserve">https://icons.brapi.dev/icons/BIGF39.svg</t>
  </si>
  <si>
    <t xml:space="preserve">BIGO39</t>
  </si>
  <si>
    <t xml:space="preserve">ISHARES INTERNATIONAL TREASURY BOND ETF</t>
  </si>
  <si>
    <t xml:space="preserve">https://icons.brapi.dev/icons/BIGO39.svg</t>
  </si>
  <si>
    <t xml:space="preserve">BIGS39</t>
  </si>
  <si>
    <t xml:space="preserve">ISHARES 1-5 YEAR INVESTM GRADE CORPORATE BOND ETF</t>
  </si>
  <si>
    <t xml:space="preserve">https://icons.brapi.dev/icons/BIGS39.svg</t>
  </si>
  <si>
    <t xml:space="preserve">BIHA39</t>
  </si>
  <si>
    <t xml:space="preserve">ISHARES CYBERSECURITY AND TECH ETF</t>
  </si>
  <si>
    <t xml:space="preserve">https://icons.brapi.dev/icons/BIHA39.svg</t>
  </si>
  <si>
    <t xml:space="preserve">BIHE39</t>
  </si>
  <si>
    <t xml:space="preserve">ISHARES US PHARMACEUTICALS ETF</t>
  </si>
  <si>
    <t xml:space="preserve">https://icons.brapi.dev/icons/BIHE39.svg</t>
  </si>
  <si>
    <t xml:space="preserve">BIHF39</t>
  </si>
  <si>
    <t xml:space="preserve">ISHARES U.S. HEALTHCARE PROVIDERS ETF</t>
  </si>
  <si>
    <t xml:space="preserve">https://icons.brapi.dev/icons/BIHF39.svg</t>
  </si>
  <si>
    <t xml:space="preserve">BIHI39</t>
  </si>
  <si>
    <t xml:space="preserve">ISHARES U.S. MEDICAL DEVICES ETF</t>
  </si>
  <si>
    <t xml:space="preserve">https://icons.brapi.dev/icons/BIHI39.svg</t>
  </si>
  <si>
    <t xml:space="preserve">BIIB34</t>
  </si>
  <si>
    <t xml:space="preserve">Biogen Inc.</t>
  </si>
  <si>
    <t xml:space="preserve">https://icons.brapi.dev/icons/BIIB34.svg</t>
  </si>
  <si>
    <t xml:space="preserve">BIJH39</t>
  </si>
  <si>
    <t xml:space="preserve">ISHARES CORE S&amp;P MID-CAP ETF</t>
  </si>
  <si>
    <t xml:space="preserve">https://icons.brapi.dev/icons/BIJH39.svg</t>
  </si>
  <si>
    <t xml:space="preserve">BIJR39</t>
  </si>
  <si>
    <t xml:space="preserve">ISHARES CORE S&amp;P SMALL-CAP ETF</t>
  </si>
  <si>
    <t xml:space="preserve">https://icons.brapi.dev/icons/BIJR39.svg</t>
  </si>
  <si>
    <t xml:space="preserve">BIJS39</t>
  </si>
  <si>
    <t xml:space="preserve">ISHARES S&amp;P SMALL-CAP 600 VALUE ETF</t>
  </si>
  <si>
    <t xml:space="preserve">https://icons.brapi.dev/icons/BIJS39.svg</t>
  </si>
  <si>
    <t xml:space="preserve">BIJT39</t>
  </si>
  <si>
    <t xml:space="preserve">ISHARES S&amp;P SMALL-CAP 600 GROWTH ETF</t>
  </si>
  <si>
    <t xml:space="preserve">https://icons.brapi.dev/icons/BIJT39.svg</t>
  </si>
  <si>
    <t xml:space="preserve">BILB34</t>
  </si>
  <si>
    <t xml:space="preserve">Banco Bilbao Vizcaya Argentaria, S.A.</t>
  </si>
  <si>
    <t xml:space="preserve">https://icons.brapi.dev/icons/BILB34.svg</t>
  </si>
  <si>
    <t xml:space="preserve">BILF39</t>
  </si>
  <si>
    <t xml:space="preserve">ISHARES LATIN AMERICA 40 ETF</t>
  </si>
  <si>
    <t xml:space="preserve">https://icons.brapi.dev/icons/BILF39.svg</t>
  </si>
  <si>
    <t xml:space="preserve">BIPC39</t>
  </si>
  <si>
    <t xml:space="preserve">ISHARES CORE MSCI PACIFIC ETF</t>
  </si>
  <si>
    <t xml:space="preserve">https://icons.brapi.dev/icons/BIPC39.svg</t>
  </si>
  <si>
    <t xml:space="preserve">BIPZ39</t>
  </si>
  <si>
    <t xml:space="preserve">PIMCO BROAD U.S. TIPS INDEX EXCHANGE-TF</t>
  </si>
  <si>
    <t xml:space="preserve">https://icons.brapi.dev/icons/BIPZ39.svg</t>
  </si>
  <si>
    <t xml:space="preserve">BITB39</t>
  </si>
  <si>
    <t xml:space="preserve">ISHARES U.S. HOME CONSTRUCTION ETF</t>
  </si>
  <si>
    <t xml:space="preserve">https://icons.brapi.dev/icons/BITB39.svg</t>
  </si>
  <si>
    <t xml:space="preserve">BITO39</t>
  </si>
  <si>
    <t xml:space="preserve">ISHARES CORE S&amp;P TOTAL US STOCK MARKET ETF</t>
  </si>
  <si>
    <t xml:space="preserve">https://icons.brapi.dev/icons/BITO39.svg</t>
  </si>
  <si>
    <t xml:space="preserve">BIUS39</t>
  </si>
  <si>
    <t xml:space="preserve">ISHARES CORE UNIVERSAL USD BOND ETF</t>
  </si>
  <si>
    <t xml:space="preserve">https://icons.brapi.dev/icons/BIUS39.svg</t>
  </si>
  <si>
    <t xml:space="preserve">BIVB39</t>
  </si>
  <si>
    <t xml:space="preserve">ISHARES CORE S&amp;P 500 ETF</t>
  </si>
  <si>
    <t xml:space="preserve">https://icons.brapi.dev/icons/BIVB39.svg</t>
  </si>
  <si>
    <t xml:space="preserve">BIVE39</t>
  </si>
  <si>
    <t xml:space="preserve">ISHARES S&amp;P 500 VALUE ETF</t>
  </si>
  <si>
    <t xml:space="preserve">https://icons.brapi.dev/icons/BIVE39.svg</t>
  </si>
  <si>
    <t xml:space="preserve">BIVW39</t>
  </si>
  <si>
    <t xml:space="preserve">ISHARES S&amp;P 500 GROWTH ETF</t>
  </si>
  <si>
    <t xml:space="preserve">https://icons.brapi.dev/icons/BIVW39.svg</t>
  </si>
  <si>
    <t xml:space="preserve">BIWF39</t>
  </si>
  <si>
    <t xml:space="preserve">ISHARES RUSSELL 1000 GROWTH ETF</t>
  </si>
  <si>
    <t xml:space="preserve">https://icons.brapi.dev/icons/BIWF39.svg</t>
  </si>
  <si>
    <t xml:space="preserve">BIWM39</t>
  </si>
  <si>
    <t xml:space="preserve">ISHARES RUSSELL 2000 ETF</t>
  </si>
  <si>
    <t xml:space="preserve">https://icons.brapi.dev/icons/BIWM39.svg</t>
  </si>
  <si>
    <t xml:space="preserve">BIXC39</t>
  </si>
  <si>
    <t xml:space="preserve">ISHARES GLOBAL ENERGY ETF</t>
  </si>
  <si>
    <t xml:space="preserve">https://icons.brapi.dev/icons/BIXC39.svg</t>
  </si>
  <si>
    <t xml:space="preserve">BIXG39</t>
  </si>
  <si>
    <t xml:space="preserve">ISHARES GLOBAL FINANCIALS ETF</t>
  </si>
  <si>
    <t xml:space="preserve">https://icons.brapi.dev/icons/BIXG39.svg</t>
  </si>
  <si>
    <t xml:space="preserve">BIXJ39</t>
  </si>
  <si>
    <t xml:space="preserve">ISHARES GLOBAL HEALTHCARE ETF</t>
  </si>
  <si>
    <t xml:space="preserve">https://icons.brapi.dev/icons/BIXJ39.svg</t>
  </si>
  <si>
    <t xml:space="preserve">BIXN39</t>
  </si>
  <si>
    <t xml:space="preserve">ISHARES GLOBAL TECH ETF</t>
  </si>
  <si>
    <t xml:space="preserve">https://icons.brapi.dev/icons/BIXN39.svg</t>
  </si>
  <si>
    <t xml:space="preserve">BIXU39</t>
  </si>
  <si>
    <t xml:space="preserve">ISHARES CORE MSCI TOTAL INTERNATIONAL STOCK ETF</t>
  </si>
  <si>
    <t xml:space="preserve">https://icons.brapi.dev/icons/BIXU39.svg</t>
  </si>
  <si>
    <t xml:space="preserve">BIYC39</t>
  </si>
  <si>
    <t xml:space="preserve">ISHARES US CONSUMER DISCRETIONARY ETF</t>
  </si>
  <si>
    <t xml:space="preserve">https://icons.brapi.dev/icons/BIYC39.svg</t>
  </si>
  <si>
    <t xml:space="preserve">BIYE39</t>
  </si>
  <si>
    <t xml:space="preserve">ISHARES U.S. ENERGY ETF</t>
  </si>
  <si>
    <t xml:space="preserve">https://icons.brapi.dev/icons/BIYE39.svg</t>
  </si>
  <si>
    <t xml:space="preserve">BIYF39</t>
  </si>
  <si>
    <t xml:space="preserve">ISHARES US FINANCIALS ETF</t>
  </si>
  <si>
    <t xml:space="preserve">https://icons.brapi.dev/icons/BIYF39.svg</t>
  </si>
  <si>
    <t xml:space="preserve">BIYG39</t>
  </si>
  <si>
    <t xml:space="preserve">ISHARES U.S. FINANCIAL SERVICES ETF</t>
  </si>
  <si>
    <t xml:space="preserve">https://icons.brapi.dev/icons/BIYG39.svg</t>
  </si>
  <si>
    <t xml:space="preserve">BIYJ39</t>
  </si>
  <si>
    <t xml:space="preserve">ISHARES U.S. INDUSTRIALS ETF</t>
  </si>
  <si>
    <t xml:space="preserve">https://icons.brapi.dev/icons/BIYJ39.svg</t>
  </si>
  <si>
    <t xml:space="preserve">BIYK39</t>
  </si>
  <si>
    <t xml:space="preserve">ISHARES US CONSUMER STAPLES ETF</t>
  </si>
  <si>
    <t xml:space="preserve">https://icons.brapi.dev/icons/BIYK39.svg</t>
  </si>
  <si>
    <t xml:space="preserve">BIYM39</t>
  </si>
  <si>
    <t xml:space="preserve">ISHARES U.S. BASIC MATERIALS ETF</t>
  </si>
  <si>
    <t xml:space="preserve">https://icons.brapi.dev/icons/BIYM39.svg</t>
  </si>
  <si>
    <t xml:space="preserve">BIYP39</t>
  </si>
  <si>
    <t xml:space="preserve">ISHARES US TRANSPORTATION ETF</t>
  </si>
  <si>
    <t xml:space="preserve">https://icons.brapi.dev/icons/BIYP39.svg</t>
  </si>
  <si>
    <t xml:space="preserve">BIYT39</t>
  </si>
  <si>
    <t xml:space="preserve">ISHARES 7-10 YEAR TREASURY BOND ETF</t>
  </si>
  <si>
    <t xml:space="preserve">https://icons.brapi.dev/icons/BIYT39.svg</t>
  </si>
  <si>
    <t xml:space="preserve">BIYW39</t>
  </si>
  <si>
    <t xml:space="preserve">ISHARES US TECHNOLOGY ETF</t>
  </si>
  <si>
    <t xml:space="preserve">https://icons.brapi.dev/icons/BIYW39.svg</t>
  </si>
  <si>
    <t xml:space="preserve">BIYZ39</t>
  </si>
  <si>
    <t xml:space="preserve">ISHARES U.S. TELECOMMUNICATIONS ETF</t>
  </si>
  <si>
    <t xml:space="preserve">https://icons.brapi.dev/icons/BIYZ39.svg</t>
  </si>
  <si>
    <t xml:space="preserve">BKCH39</t>
  </si>
  <si>
    <t xml:space="preserve">GLOBAL X BLOCKCHAIN ETF</t>
  </si>
  <si>
    <t xml:space="preserve">https://icons.brapi.dev/icons/BKCH39.svg</t>
  </si>
  <si>
    <t xml:space="preserve">BKNG34</t>
  </si>
  <si>
    <t xml:space="preserve">Booking Holdings Inc.</t>
  </si>
  <si>
    <t xml:space="preserve">https://icons.brapi.dev/icons/BKNG34.svg</t>
  </si>
  <si>
    <t xml:space="preserve">BKSA39</t>
  </si>
  <si>
    <t xml:space="preserve">ISHARES MSCI SAUDI ARABIA ETF</t>
  </si>
  <si>
    <t xml:space="preserve">https://icons.brapi.dev/icons/BKSA39.svg</t>
  </si>
  <si>
    <t xml:space="preserve">BKWB39</t>
  </si>
  <si>
    <t xml:space="preserve">KRANESHARES CSI CHINA INTERNET ETF</t>
  </si>
  <si>
    <t xml:space="preserve">https://icons.brapi.dev/icons/BKWB39.svg</t>
  </si>
  <si>
    <t xml:space="preserve">BKXI39</t>
  </si>
  <si>
    <t xml:space="preserve">ISHARES GLOBAL CONSUMER STAPLES ETF</t>
  </si>
  <si>
    <t xml:space="preserve">https://icons.brapi.dev/icons/BKXI39.svg</t>
  </si>
  <si>
    <t xml:space="preserve">BKYY39</t>
  </si>
  <si>
    <t xml:space="preserve">FIRST TRUST CLOUD COMPUTING ETF</t>
  </si>
  <si>
    <t xml:space="preserve">https://icons.brapi.dev/icons/BKYY39.svg</t>
  </si>
  <si>
    <t xml:space="preserve">BLAK34</t>
  </si>
  <si>
    <t xml:space="preserve">BlackRock, Inc.</t>
  </si>
  <si>
    <t xml:space="preserve">https://icons.brapi.dev/icons/BLAK34.svg</t>
  </si>
  <si>
    <t xml:space="preserve">BLBT39</t>
  </si>
  <si>
    <t xml:space="preserve">GLOBAL X LITHIUM &amp; BATTERY TECH ETF</t>
  </si>
  <si>
    <t xml:space="preserve">https://icons.brapi.dev/icons/BLBT39.svg</t>
  </si>
  <si>
    <t xml:space="preserve">BLPA39</t>
  </si>
  <si>
    <t xml:space="preserve">GLOBAL X MLP ETF</t>
  </si>
  <si>
    <t xml:space="preserve">https://icons.brapi.dev/icons/BLPA39.svg</t>
  </si>
  <si>
    <t xml:space="preserve">BLPX39</t>
  </si>
  <si>
    <t xml:space="preserve">GLOBAL X MLP &amp; ENERGY INFRASTRUCTURE ETF</t>
  </si>
  <si>
    <t xml:space="preserve">https://icons.brapi.dev/icons/BLPX39.svg</t>
  </si>
  <si>
    <t xml:space="preserve">BLQD39</t>
  </si>
  <si>
    <t xml:space="preserve">ISHARES IBOXX INVESTMENT GRADE CORPORATE BOND ETF</t>
  </si>
  <si>
    <t xml:space="preserve">https://icons.brapi.dev/icons/BLQD39.svg</t>
  </si>
  <si>
    <t xml:space="preserve">BLTP39</t>
  </si>
  <si>
    <t xml:space="preserve">PIMCO 15 YEAR U.S. TIPS INDEX EXCHANGE-TF</t>
  </si>
  <si>
    <t xml:space="preserve">https://icons.brapi.dev/icons/BLTP39.svg</t>
  </si>
  <si>
    <t xml:space="preserve">BMBB39</t>
  </si>
  <si>
    <t xml:space="preserve">ISHARES MBS ETF</t>
  </si>
  <si>
    <t xml:space="preserve">https://icons.brapi.dev/icons/BMBB39.svg</t>
  </si>
  <si>
    <t xml:space="preserve">BMIL39</t>
  </si>
  <si>
    <t xml:space="preserve">GLOBAL X MILLENNIAL CONSUMER ETF</t>
  </si>
  <si>
    <t xml:space="preserve">https://icons.brapi.dev/icons/BMIL39.svg</t>
  </si>
  <si>
    <t xml:space="preserve">BMRE39</t>
  </si>
  <si>
    <t xml:space="preserve">ISHARES MORTGAGE REAL ESTATE ETF</t>
  </si>
  <si>
    <t xml:space="preserve">https://icons.brapi.dev/icons/BMRE39.svg</t>
  </si>
  <si>
    <t xml:space="preserve">BMTU39</t>
  </si>
  <si>
    <t xml:space="preserve">ISHARES MSCI USA MOMENTUM FACTOR ETF</t>
  </si>
  <si>
    <t xml:space="preserve">https://icons.brapi.dev/icons/BMTU39.svg</t>
  </si>
  <si>
    <t xml:space="preserve">BMYB34</t>
  </si>
  <si>
    <t xml:space="preserve">Bristol-Myers Squibb Company</t>
  </si>
  <si>
    <t xml:space="preserve">https://icons.brapi.dev/icons/BMYB34.svg</t>
  </si>
  <si>
    <t xml:space="preserve">BNDA39</t>
  </si>
  <si>
    <t xml:space="preserve">ISHARES MSCI INDIA ETF</t>
  </si>
  <si>
    <t xml:space="preserve">https://icons.brapi.dev/icons/BNDA39.svg</t>
  </si>
  <si>
    <t xml:space="preserve">BOAC34</t>
  </si>
  <si>
    <t xml:space="preserve">Bank of America Corp</t>
  </si>
  <si>
    <t xml:space="preserve">https://icons.brapi.dev/icons/BOAC34.svg</t>
  </si>
  <si>
    <t xml:space="preserve">BOEF39</t>
  </si>
  <si>
    <t xml:space="preserve">ISHARES S&amp;P 100 ETF</t>
  </si>
  <si>
    <t xml:space="preserve">https://icons.brapi.dev/icons/BOEF39.svg</t>
  </si>
  <si>
    <t xml:space="preserve">BOEI34</t>
  </si>
  <si>
    <t xml:space="preserve">Boeing Company</t>
  </si>
  <si>
    <t xml:space="preserve">https://icons.brapi.dev/icons/BOEI34.svg</t>
  </si>
  <si>
    <t xml:space="preserve">BONY34</t>
  </si>
  <si>
    <t xml:space="preserve">Bank of New York Mellon Corp</t>
  </si>
  <si>
    <t xml:space="preserve">https://icons.brapi.dev/icons/BONY34.svg</t>
  </si>
  <si>
    <t xml:space="preserve">BOTZ39</t>
  </si>
  <si>
    <t xml:space="preserve">GLOBAL X ROBOTICS &amp; ARTIFICIAL INTELLIGENCE ETF</t>
  </si>
  <si>
    <t xml:space="preserve">https://icons.brapi.dev/icons/BOTZ39.svg</t>
  </si>
  <si>
    <t xml:space="preserve">BOXP34</t>
  </si>
  <si>
    <t xml:space="preserve">BXP Inc</t>
  </si>
  <si>
    <t xml:space="preserve">https://icons.brapi.dev/icons/BOXP34.svg</t>
  </si>
  <si>
    <t xml:space="preserve">BPIC39</t>
  </si>
  <si>
    <t xml:space="preserve">ISHARES MSCI GLOBAL METALS &amp; MINING PRODUCERS ETF</t>
  </si>
  <si>
    <t xml:space="preserve">https://icons.brapi.dev/icons/BPIC39.svg</t>
  </si>
  <si>
    <t xml:space="preserve">BPVE39</t>
  </si>
  <si>
    <t xml:space="preserve">GLOBAL X US INFRASTRUCTURE DEVELOPMENT ETF</t>
  </si>
  <si>
    <t xml:space="preserve">https://icons.brapi.dev/icons/BPVE39.svg</t>
  </si>
  <si>
    <t xml:space="preserve">BQCL39</t>
  </si>
  <si>
    <t xml:space="preserve">FIRST TRUST NASDAQ CLEAN EDGE GREEN ENERGY INDEX</t>
  </si>
  <si>
    <t xml:space="preserve">https://icons.brapi.dev/icons/BQCL39.svg</t>
  </si>
  <si>
    <t xml:space="preserve">BQQW39</t>
  </si>
  <si>
    <t xml:space="preserve">FIRST TRUST NASDAQ-100 SELECT EQUAL WEIGHT ETF</t>
  </si>
  <si>
    <t xml:space="preserve">https://icons.brapi.dev/icons/BQQW39.svg</t>
  </si>
  <si>
    <t xml:space="preserve">BQTC39</t>
  </si>
  <si>
    <t xml:space="preserve">FIRST TRUST NASDAQ-100-TECHNOLOGY SECTOR INDEX</t>
  </si>
  <si>
    <t xml:space="preserve">https://icons.brapi.dev/icons/BQTC39.svg</t>
  </si>
  <si>
    <t xml:space="preserve">BQUA39</t>
  </si>
  <si>
    <t xml:space="preserve">ISHARES MSCI USA QUALITY FACTOR ETF</t>
  </si>
  <si>
    <t xml:space="preserve">https://icons.brapi.dev/icons/BQUA39.svg</t>
  </si>
  <si>
    <t xml:space="preserve">BQYL39</t>
  </si>
  <si>
    <t xml:space="preserve">GLOBAL X NASDAQ 100 COVERED CALL ETF</t>
  </si>
  <si>
    <t xml:space="preserve">https://icons.brapi.dev/icons/BQYL39.svg</t>
  </si>
  <si>
    <t xml:space="preserve">BROB39</t>
  </si>
  <si>
    <t xml:space="preserve">FIRST TRUST NASDAQ AI AND ROBOTICS ETF</t>
  </si>
  <si>
    <t xml:space="preserve">https://icons.brapi.dev/icons/BROB39.svg</t>
  </si>
  <si>
    <t xml:space="preserve">BSCZ39</t>
  </si>
  <si>
    <t xml:space="preserve">ISHARES MSCI EAFE SMALL-CAP ETF</t>
  </si>
  <si>
    <t xml:space="preserve">https://icons.brapi.dev/icons/BSCZ39.svg</t>
  </si>
  <si>
    <t xml:space="preserve">BSDV39</t>
  </si>
  <si>
    <t xml:space="preserve">GLOBAL X SUPERDIVIDEND ETF</t>
  </si>
  <si>
    <t xml:space="preserve">https://icons.brapi.dev/icons/BSDV39.svg</t>
  </si>
  <si>
    <t xml:space="preserve">BSHV39</t>
  </si>
  <si>
    <t xml:space="preserve">ISHARES 0-1 YEAR TREASURY BOND ETF</t>
  </si>
  <si>
    <t xml:space="preserve">https://icons.brapi.dev/icons/BSHV39.svg</t>
  </si>
  <si>
    <t xml:space="preserve">BSHY39</t>
  </si>
  <si>
    <t xml:space="preserve">ISHARES 1-3 YEAR TREASURY BOND ETF</t>
  </si>
  <si>
    <t xml:space="preserve">https://icons.brapi.dev/icons/BSHY39.svg</t>
  </si>
  <si>
    <t xml:space="preserve">BSIL39</t>
  </si>
  <si>
    <t xml:space="preserve">GLOBAL X SILVER MINERS ETF</t>
  </si>
  <si>
    <t xml:space="preserve">https://icons.brapi.dev/icons/BSIL39.svg</t>
  </si>
  <si>
    <t xml:space="preserve">BSIZ39</t>
  </si>
  <si>
    <t xml:space="preserve">ISHARES MSCI USA SIZE FACTOR ETF</t>
  </si>
  <si>
    <t xml:space="preserve">https://icons.brapi.dev/icons/BSIZ39.svg</t>
  </si>
  <si>
    <t xml:space="preserve">BSLV39</t>
  </si>
  <si>
    <t xml:space="preserve">ISHARES SILVER TRUST</t>
  </si>
  <si>
    <t xml:space="preserve">https://icons.brapi.dev/icons/BSLV39.svg</t>
  </si>
  <si>
    <t xml:space="preserve">BSNS39</t>
  </si>
  <si>
    <t xml:space="preserve">GLOBAL X INTERNET OF THINGS ETF</t>
  </si>
  <si>
    <t xml:space="preserve">https://icons.brapi.dev/icons/BSNS39.svg</t>
  </si>
  <si>
    <t xml:space="preserve">BSOX39</t>
  </si>
  <si>
    <t xml:space="preserve">ISHARES SEMICONDUCTOR ETF</t>
  </si>
  <si>
    <t xml:space="preserve">https://icons.brapi.dev/icons/BSOX39.svg</t>
  </si>
  <si>
    <t xml:space="preserve">BSRE39</t>
  </si>
  <si>
    <t xml:space="preserve">GLOBAL X SUPERDIVIDEND REIT ETF</t>
  </si>
  <si>
    <t xml:space="preserve">https://icons.brapi.dev/icons/BSRE39.svg</t>
  </si>
  <si>
    <t xml:space="preserve">BSTI39</t>
  </si>
  <si>
    <t xml:space="preserve">ISHARES 0-5 YEAR TIPS BOND ETF</t>
  </si>
  <si>
    <t xml:space="preserve">https://icons.brapi.dev/icons/BSTI39.svg</t>
  </si>
  <si>
    <t xml:space="preserve">BSUS39</t>
  </si>
  <si>
    <t xml:space="preserve">ISHARES ESG MSCI USA LEADERS ETF</t>
  </si>
  <si>
    <t xml:space="preserve">https://icons.brapi.dev/icons/BSUS39.svg</t>
  </si>
  <si>
    <t xml:space="preserve">BTCV39</t>
  </si>
  <si>
    <t xml:space="preserve">VALOUR BITCOIN (BTC) ZERO SEK</t>
  </si>
  <si>
    <t xml:space="preserve">Indefinido</t>
  </si>
  <si>
    <t xml:space="preserve">(vazio)</t>
  </si>
  <si>
    <t xml:space="preserve">ETP de bitcoin cotado em coroa sueca (SEK) na origem; proporção não informada.</t>
  </si>
  <si>
    <t xml:space="preserve">https://icons.brapi.dev/icons/BTCV39.svg</t>
  </si>
  <si>
    <t xml:space="preserve">BTFL39</t>
  </si>
  <si>
    <t xml:space="preserve">ISHARES TREASURY FLOATING RATE BOND ETF</t>
  </si>
  <si>
    <t xml:space="preserve">https://icons.brapi.dev/icons/BTFL39.svg</t>
  </si>
  <si>
    <t xml:space="preserve">BTIP39</t>
  </si>
  <si>
    <t xml:space="preserve">ISHARES TIPS BOND ETF</t>
  </si>
  <si>
    <t xml:space="preserve">https://icons.brapi.dev/icons/BTIP39.svg</t>
  </si>
  <si>
    <t xml:space="preserve">BTLH39</t>
  </si>
  <si>
    <t xml:space="preserve">ISHARES 10-20 YEAR TREASURY BOND ETF</t>
  </si>
  <si>
    <t xml:space="preserve">https://icons.brapi.dev/icons/BTLH39.svg</t>
  </si>
  <si>
    <t xml:space="preserve">BTLT39</t>
  </si>
  <si>
    <t xml:space="preserve">ISHARES 20 YEAR TREASURY BOND ETF</t>
  </si>
  <si>
    <t xml:space="preserve">https://icons.brapi.dev/icons/BTLT39.svg</t>
  </si>
  <si>
    <t xml:space="preserve">BURA39</t>
  </si>
  <si>
    <t xml:space="preserve">GLOBAL X URANIUM ETF</t>
  </si>
  <si>
    <t xml:space="preserve">https://icons.brapi.dev/icons/BURA39.svg</t>
  </si>
  <si>
    <t xml:space="preserve">BURT39</t>
  </si>
  <si>
    <t xml:space="preserve">ISHARES MSCI WORLD ETF</t>
  </si>
  <si>
    <t xml:space="preserve">https://icons.brapi.dev/icons/BURT39.svg</t>
  </si>
  <si>
    <t xml:space="preserve">BUSM39</t>
  </si>
  <si>
    <t xml:space="preserve">ISHARES MSCI USA MIN VOL FACTOR ETF</t>
  </si>
  <si>
    <t xml:space="preserve">https://icons.brapi.dev/icons/BUSM39.svg</t>
  </si>
  <si>
    <t xml:space="preserve">BUSR39</t>
  </si>
  <si>
    <t xml:space="preserve">ISHARES CORE US REIT ETF</t>
  </si>
  <si>
    <t xml:space="preserve">https://icons.brapi.dev/icons/BUSR39.svg</t>
  </si>
  <si>
    <t xml:space="preserve">BUTL39</t>
  </si>
  <si>
    <t xml:space="preserve">ISHARES US UTILITIES ETF</t>
  </si>
  <si>
    <t xml:space="preserve">https://icons.brapi.dev/icons/BUTL39.svg</t>
  </si>
  <si>
    <t xml:space="preserve">BUZZ39</t>
  </si>
  <si>
    <t xml:space="preserve">VANECK SOCIAL SENTIMENT ETF</t>
  </si>
  <si>
    <t xml:space="preserve">Variação de +96,6% no dia — provável ajuste de preço/proporção; conferir antes de usar.</t>
  </si>
  <si>
    <t xml:space="preserve">https://icons.brapi.dev/icons/BUZZ39.svg</t>
  </si>
  <si>
    <t xml:space="preserve">BVEG39</t>
  </si>
  <si>
    <t xml:space="preserve">ISHARES MSCI AGRICULTURE PRODUCERS ETF</t>
  </si>
  <si>
    <t xml:space="preserve">https://icons.brapi.dev/icons/BVEG39.svg</t>
  </si>
  <si>
    <t xml:space="preserve">BVLU39</t>
  </si>
  <si>
    <t xml:space="preserve">ISHARES MSCI USA VALUE FACTOR ETF</t>
  </si>
  <si>
    <t xml:space="preserve">https://icons.brapi.dev/icons/BVLU39.svg</t>
  </si>
  <si>
    <t xml:space="preserve">BXTC39</t>
  </si>
  <si>
    <t xml:space="preserve">ISHARES FUTURE EXPONENTIAL TECHNOLOGIES ETF</t>
  </si>
  <si>
    <t xml:space="preserve">https://icons.brapi.dev/icons/BXTC39.svg</t>
  </si>
  <si>
    <t xml:space="preserve">C1AB34</t>
  </si>
  <si>
    <t xml:space="preserve">Cable One, Inc.</t>
  </si>
  <si>
    <t xml:space="preserve">https://icons.brapi.dev/icons/C1AB34.svg</t>
  </si>
  <si>
    <t xml:space="preserve">C1AG34</t>
  </si>
  <si>
    <t xml:space="preserve">Conagra Brands, Inc.</t>
  </si>
  <si>
    <t xml:space="preserve">https://icons.brapi.dev/icons/C1AG34.svg</t>
  </si>
  <si>
    <t xml:space="preserve">C1AH34</t>
  </si>
  <si>
    <t xml:space="preserve">Cardinal Health, Inc.</t>
  </si>
  <si>
    <t xml:space="preserve">https://icons.brapi.dev/icons/C1AH34.svg</t>
  </si>
  <si>
    <t xml:space="preserve">C1BL34</t>
  </si>
  <si>
    <t xml:space="preserve">Chubb Limited</t>
  </si>
  <si>
    <t xml:space="preserve">https://icons.brapi.dev/icons/C1BL34.svg</t>
  </si>
  <si>
    <t xml:space="preserve">C1BO34</t>
  </si>
  <si>
    <t xml:space="preserve">Cboe Global Markets Inc</t>
  </si>
  <si>
    <t xml:space="preserve">https://icons.brapi.dev/icons/C1BO34.svg</t>
  </si>
  <si>
    <t xml:space="preserve">C1BR34</t>
  </si>
  <si>
    <t xml:space="preserve">CBRE Group, Inc.</t>
  </si>
  <si>
    <t xml:space="preserve">https://icons.brapi.dev/icons/C1BR34.svg</t>
  </si>
  <si>
    <t xml:space="preserve">C1CI34</t>
  </si>
  <si>
    <t xml:space="preserve">Crown Castle Inc.</t>
  </si>
  <si>
    <t xml:space="preserve">https://icons.brapi.dev/icons/C1CI34.svg</t>
  </si>
  <si>
    <t xml:space="preserve">C1CJ34</t>
  </si>
  <si>
    <t xml:space="preserve">Cameco Corporation</t>
  </si>
  <si>
    <t xml:space="preserve">https://icons.brapi.dev/icons/C1CJ34.svg</t>
  </si>
  <si>
    <t xml:space="preserve">C1CL34</t>
  </si>
  <si>
    <t xml:space="preserve">Carnival Corporation Ltd.</t>
  </si>
  <si>
    <t xml:space="preserve">https://icons.brapi.dev/icons/C1CL34.svg</t>
  </si>
  <si>
    <t xml:space="preserve">C1CO34</t>
  </si>
  <si>
    <t xml:space="preserve">Cencora, Inc.</t>
  </si>
  <si>
    <t xml:space="preserve">https://icons.brapi.dev/icons/C1CO34.svg</t>
  </si>
  <si>
    <t xml:space="preserve">C1DN34</t>
  </si>
  <si>
    <t xml:space="preserve">Cadence Design Systems Inc</t>
  </si>
  <si>
    <t xml:space="preserve">https://icons.brapi.dev/icons/C1DN34.svg</t>
  </si>
  <si>
    <t xml:space="preserve">C1DW34</t>
  </si>
  <si>
    <t xml:space="preserve">CDW Corporation</t>
  </si>
  <si>
    <t xml:space="preserve">https://icons.brapi.dev/icons/C1DW34.svg</t>
  </si>
  <si>
    <t xml:space="preserve">C1FG34</t>
  </si>
  <si>
    <t xml:space="preserve">Citizens Financial Group, Inc.</t>
  </si>
  <si>
    <t xml:space="preserve">https://icons.brapi.dev/icons/C1FG34.svg</t>
  </si>
  <si>
    <t xml:space="preserve">C1FI34</t>
  </si>
  <si>
    <t xml:space="preserve">CF Industries Holdings, Inc.</t>
  </si>
  <si>
    <t xml:space="preserve">https://icons.brapi.dev/icons/C1FI34.svg</t>
  </si>
  <si>
    <t xml:space="preserve">C1GP34</t>
  </si>
  <si>
    <t xml:space="preserve">CoStar Group, Inc.</t>
  </si>
  <si>
    <t xml:space="preserve">https://icons.brapi.dev/icons/C1GP34.svg</t>
  </si>
  <si>
    <t xml:space="preserve">C1HK34</t>
  </si>
  <si>
    <t xml:space="preserve">Check Point Software Technologies Ltd</t>
  </si>
  <si>
    <t xml:space="preserve">https://icons.brapi.dev/icons/C1HK34.svg</t>
  </si>
  <si>
    <t xml:space="preserve">C1HR34</t>
  </si>
  <si>
    <t xml:space="preserve">C.H.Robinson Worldwide Inc</t>
  </si>
  <si>
    <t xml:space="preserve">https://icons.brapi.dev/icons/C1HR34.svg</t>
  </si>
  <si>
    <t xml:space="preserve">C1HT34</t>
  </si>
  <si>
    <t xml:space="preserve">Chunghwa Telecom Co., Ltd</t>
  </si>
  <si>
    <t xml:space="preserve">https://icons.brapi.dev/icons/C1HT34.svg</t>
  </si>
  <si>
    <t xml:space="preserve">C1IC34</t>
  </si>
  <si>
    <t xml:space="preserve">Cigna Group</t>
  </si>
  <si>
    <t xml:space="preserve">https://icons.brapi.dev/icons/C1IC34.svg</t>
  </si>
  <si>
    <t xml:space="preserve">C1MG34</t>
  </si>
  <si>
    <t xml:space="preserve">Chipotle Mexican Grill, Inc.</t>
  </si>
  <si>
    <t xml:space="preserve">https://icons.brapi.dev/icons/C1MG34.svg</t>
  </si>
  <si>
    <t xml:space="preserve">C1MI34</t>
  </si>
  <si>
    <t xml:space="preserve">Cummins Inc (Ex. Cummins Engine Inc)</t>
  </si>
  <si>
    <t xml:space="preserve">https://icons.brapi.dev/icons/C1MI34.svg</t>
  </si>
  <si>
    <t xml:space="preserve">C1MS34</t>
  </si>
  <si>
    <t xml:space="preserve">CMS Energy Corporation</t>
  </si>
  <si>
    <t xml:space="preserve">https://icons.brapi.dev/icons/C1MS34.svg</t>
  </si>
  <si>
    <t xml:space="preserve">C1NC34</t>
  </si>
  <si>
    <t xml:space="preserve">Centene Corporation</t>
  </si>
  <si>
    <t xml:space="preserve">https://icons.brapi.dev/icons/C1NC34.svg</t>
  </si>
  <si>
    <t xml:space="preserve">C1NS34</t>
  </si>
  <si>
    <t xml:space="preserve">Celanese Corporation</t>
  </si>
  <si>
    <t xml:space="preserve">https://icons.brapi.dev/icons/C1NS34.svg</t>
  </si>
  <si>
    <t xml:space="preserve">C1OO34</t>
  </si>
  <si>
    <t xml:space="preserve">Cooper Companies, Inc.</t>
  </si>
  <si>
    <t xml:space="preserve">https://icons.brapi.dev/icons/C1OO34.svg</t>
  </si>
  <si>
    <t xml:space="preserve">C1PB34</t>
  </si>
  <si>
    <t xml:space="preserve">Campbell's Company</t>
  </si>
  <si>
    <t xml:space="preserve">https://icons.brapi.dev/icons/C1PB34.svg</t>
  </si>
  <si>
    <t xml:space="preserve">C1PR34</t>
  </si>
  <si>
    <t xml:space="preserve">Copart, Inc.</t>
  </si>
  <si>
    <t xml:space="preserve">https://icons.brapi.dev/icons/C1PR34.svg</t>
  </si>
  <si>
    <t xml:space="preserve">C1RB34</t>
  </si>
  <si>
    <t xml:space="preserve">Cerebras Systems, Inc.</t>
  </si>
  <si>
    <t xml:space="preserve">https://icons.brapi.dev/icons/C1RB34.svg</t>
  </si>
  <si>
    <t xml:space="preserve">C1RH34</t>
  </si>
  <si>
    <t xml:space="preserve">CRH public limited company</t>
  </si>
  <si>
    <t xml:space="preserve">https://icons.brapi.dev/icons/C1RH34.svg</t>
  </si>
  <si>
    <t xml:space="preserve">C1RR34</t>
  </si>
  <si>
    <t xml:space="preserve">Carrier Global Corp.</t>
  </si>
  <si>
    <t xml:space="preserve">https://icons.brapi.dev/icons/C1RR34.svg</t>
  </si>
  <si>
    <t xml:space="preserve">C1TV34</t>
  </si>
  <si>
    <t xml:space="preserve">Corteva Inc</t>
  </si>
  <si>
    <t xml:space="preserve">https://icons.brapi.dev/icons/C1TV34.svg</t>
  </si>
  <si>
    <t xml:space="preserve">C2AC34</t>
  </si>
  <si>
    <t xml:space="preserve">CACI International Inc</t>
  </si>
  <si>
    <t xml:space="preserve">https://icons.brapi.dev/icons/C2AC34.svg</t>
  </si>
  <si>
    <t xml:space="preserve">C2CA34</t>
  </si>
  <si>
    <t xml:space="preserve">Coca-Cola Femsa SAB de CV</t>
  </si>
  <si>
    <t xml:space="preserve">https://icons.brapi.dev/icons/C2CA34.svg</t>
  </si>
  <si>
    <t xml:space="preserve">C2EM34</t>
  </si>
  <si>
    <t xml:space="preserve">Cemex SAB de CV</t>
  </si>
  <si>
    <t xml:space="preserve">https://icons.brapi.dev/icons/C2EM34.svg</t>
  </si>
  <si>
    <t xml:space="preserve">C2GN34</t>
  </si>
  <si>
    <t xml:space="preserve">Cognex Corp</t>
  </si>
  <si>
    <t xml:space="preserve">https://icons.brapi.dev/icons/C2GN34.svg</t>
  </si>
  <si>
    <t xml:space="preserve">C2HP34</t>
  </si>
  <si>
    <t xml:space="preserve">ChargePoint Holdings, Inc.</t>
  </si>
  <si>
    <t xml:space="preserve">https://icons.brapi.dev/icons/C2HP34.svg</t>
  </si>
  <si>
    <t xml:space="preserve">C2OI34</t>
  </si>
  <si>
    <t xml:space="preserve">Coinbase Global, Inc.</t>
  </si>
  <si>
    <t xml:space="preserve">https://icons.brapi.dev/icons/C2OI34.svg</t>
  </si>
  <si>
    <t xml:space="preserve">C2OL34</t>
  </si>
  <si>
    <t xml:space="preserve">Grupo Cibest S.A.</t>
  </si>
  <si>
    <t xml:space="preserve">https://icons.brapi.dev/icons/C2OL34.svg</t>
  </si>
  <si>
    <t xml:space="preserve">C2PT34</t>
  </si>
  <si>
    <t xml:space="preserve">Camden Property Trust</t>
  </si>
  <si>
    <t xml:space="preserve">https://icons.brapi.dev/icons/C2PT34.svg</t>
  </si>
  <si>
    <t xml:space="preserve">C2RN34</t>
  </si>
  <si>
    <t xml:space="preserve">Cerence Inc.</t>
  </si>
  <si>
    <t xml:space="preserve">https://icons.brapi.dev/icons/C2RN34.svg</t>
  </si>
  <si>
    <t xml:space="preserve">C2RS34</t>
  </si>
  <si>
    <t xml:space="preserve">CRISPR Therapeutics AG</t>
  </si>
  <si>
    <t xml:space="preserve">https://icons.brapi.dev/icons/C2RS34.svg</t>
  </si>
  <si>
    <t xml:space="preserve">C2RW34</t>
  </si>
  <si>
    <t xml:space="preserve">CrowdStrike Holdings, Inc.</t>
  </si>
  <si>
    <t xml:space="preserve">https://icons.brapi.dev/icons/C2RW34.svg</t>
  </si>
  <si>
    <t xml:space="preserve">C2ZR34</t>
  </si>
  <si>
    <t xml:space="preserve">Caesars Entertainment, Inc.</t>
  </si>
  <si>
    <t xml:space="preserve">https://icons.brapi.dev/icons/C2ZR34.svg</t>
  </si>
  <si>
    <t xml:space="preserve">CAON34</t>
  </si>
  <si>
    <t xml:space="preserve">Capital One Financial Corp</t>
  </si>
  <si>
    <t xml:space="preserve">https://icons.brapi.dev/icons/CAON34.svg</t>
  </si>
  <si>
    <t xml:space="preserve">CAPH34</t>
  </si>
  <si>
    <t xml:space="preserve">Capri Holdings Limited</t>
  </si>
  <si>
    <t xml:space="preserve">https://icons.brapi.dev/icons/CAPH34.svg</t>
  </si>
  <si>
    <t xml:space="preserve">CATP34</t>
  </si>
  <si>
    <t xml:space="preserve">Caterpillar Inc.</t>
  </si>
  <si>
    <t xml:space="preserve">https://icons.brapi.dev/icons/CATP34.svg</t>
  </si>
  <si>
    <t xml:space="preserve">CBTC39</t>
  </si>
  <si>
    <t xml:space="preserve">21SHARES BITCOIN CORE ETP</t>
  </si>
  <si>
    <t xml:space="preserve">https://icons.brapi.dev/icons/CBTC39.svg</t>
  </si>
  <si>
    <t xml:space="preserve">CHCM34</t>
  </si>
  <si>
    <t xml:space="preserve">Charter Communications, Inc.</t>
  </si>
  <si>
    <t xml:space="preserve">https://icons.brapi.dev/icons/CHCM34.svg</t>
  </si>
  <si>
    <t xml:space="preserve">CHME34</t>
  </si>
  <si>
    <t xml:space="preserve">CME Group Inc</t>
  </si>
  <si>
    <t xml:space="preserve">https://icons.brapi.dev/icons/CHME34.svg</t>
  </si>
  <si>
    <t xml:space="preserve">CHPX39</t>
  </si>
  <si>
    <t xml:space="preserve">Global X AI Semiconductor &amp; Quantum ETF</t>
  </si>
  <si>
    <t xml:space="preserve">https://icons.brapi.dev/icons/CHPX39.svg</t>
  </si>
  <si>
    <t xml:space="preserve">CHVX34</t>
  </si>
  <si>
    <t xml:space="preserve">Chevron Corporation</t>
  </si>
  <si>
    <t xml:space="preserve">https://icons.brapi.dev/icons/CHVX34.svg</t>
  </si>
  <si>
    <t xml:space="preserve">CINF34</t>
  </si>
  <si>
    <t xml:space="preserve">Cincinnati Financial Corp</t>
  </si>
  <si>
    <t xml:space="preserve">https://icons.brapi.dev/icons/CINF34.svg</t>
  </si>
  <si>
    <t xml:space="preserve">CLOV34</t>
  </si>
  <si>
    <t xml:space="preserve">Clover Health Investments Corp.</t>
  </si>
  <si>
    <t xml:space="preserve">https://icons.brapi.dev/icons/CLOV34.svg</t>
  </si>
  <si>
    <t xml:space="preserve">CLXC34</t>
  </si>
  <si>
    <t xml:space="preserve">Clorox Co</t>
  </si>
  <si>
    <t xml:space="preserve">https://icons.brapi.dev/icons/CLXC34.svg</t>
  </si>
  <si>
    <t xml:space="preserve">CMCS34</t>
  </si>
  <si>
    <t xml:space="preserve">Comcast Corp</t>
  </si>
  <si>
    <t xml:space="preserve">https://icons.brapi.dev/icons/CMCS34.svg</t>
  </si>
  <si>
    <t xml:space="preserve">CNIC34</t>
  </si>
  <si>
    <t xml:space="preserve">Canadian National Railway Co</t>
  </si>
  <si>
    <t xml:space="preserve">https://icons.brapi.dev/icons/CNIC34.svg</t>
  </si>
  <si>
    <t xml:space="preserve">COCA34</t>
  </si>
  <si>
    <t xml:space="preserve">Coca-Cola Company</t>
  </si>
  <si>
    <t xml:space="preserve">https://icons.brapi.dev/icons/COCA34.svg</t>
  </si>
  <si>
    <t xml:space="preserve">COLD34</t>
  </si>
  <si>
    <t xml:space="preserve">Americold Realty Trust Inc</t>
  </si>
  <si>
    <t xml:space="preserve">https://icons.brapi.dev/icons/COLD34.svg</t>
  </si>
  <si>
    <t xml:space="preserve">COLG34</t>
  </si>
  <si>
    <t xml:space="preserve">Colgate-Palmolive Co</t>
  </si>
  <si>
    <t xml:space="preserve">https://icons.brapi.dev/icons/COLG34.svg</t>
  </si>
  <si>
    <t xml:space="preserve">COLO39</t>
  </si>
  <si>
    <t xml:space="preserve">GLOBAL X MSCI COLOMBIA ETF</t>
  </si>
  <si>
    <t xml:space="preserve">https://icons.brapi.dev/icons/COLO39.svg</t>
  </si>
  <si>
    <t xml:space="preserve">COPH34</t>
  </si>
  <si>
    <t xml:space="preserve">ConocoPhillips</t>
  </si>
  <si>
    <t xml:space="preserve">https://icons.brapi.dev/icons/COPH34.svg</t>
  </si>
  <si>
    <t xml:space="preserve">COTY34</t>
  </si>
  <si>
    <t xml:space="preserve">Coty Inc.</t>
  </si>
  <si>
    <t xml:space="preserve">https://icons.brapi.dev/icons/COTY34.svg</t>
  </si>
  <si>
    <t xml:space="preserve">COWC34</t>
  </si>
  <si>
    <t xml:space="preserve">Costco Wholesale Corporation</t>
  </si>
  <si>
    <t xml:space="preserve">https://icons.brapi.dev/icons/COWC34.svg</t>
  </si>
  <si>
    <t xml:space="preserve">CPRL34</t>
  </si>
  <si>
    <t xml:space="preserve">Canadian Pacific Kansas City Limited</t>
  </si>
  <si>
    <t xml:space="preserve">https://icons.brapi.dev/icons/CPRL34.svg</t>
  </si>
  <si>
    <t xml:space="preserve">CRIN34</t>
  </si>
  <si>
    <t xml:space="preserve">Carter's Incorporated</t>
  </si>
  <si>
    <t xml:space="preserve">https://icons.brapi.dev/icons/CRIN34.svg</t>
  </si>
  <si>
    <t xml:space="preserve">CRIP34</t>
  </si>
  <si>
    <t xml:space="preserve">Trip.com Group Ltd.</t>
  </si>
  <si>
    <t xml:space="preserve">https://icons.brapi.dev/icons/CRIP34.svg</t>
  </si>
  <si>
    <t xml:space="preserve">CSCO34</t>
  </si>
  <si>
    <t xml:space="preserve">Cisco Systems, Inc.</t>
  </si>
  <si>
    <t xml:space="preserve">https://icons.brapi.dev/icons/CSCO34.svg</t>
  </si>
  <si>
    <t xml:space="preserve">CSXC34</t>
  </si>
  <si>
    <t xml:space="preserve">CSX Corporation</t>
  </si>
  <si>
    <t xml:space="preserve">https://icons.brapi.dev/icons/CSXC34.svg</t>
  </si>
  <si>
    <t xml:space="preserve">CTGP34</t>
  </si>
  <si>
    <t xml:space="preserve">Citigroup Inc.</t>
  </si>
  <si>
    <t xml:space="preserve">https://icons.brapi.dev/icons/CTGP34.svg</t>
  </si>
  <si>
    <t xml:space="preserve">CTSH34</t>
  </si>
  <si>
    <t xml:space="preserve">Cognizant Technology Solutions Corporation</t>
  </si>
  <si>
    <t xml:space="preserve">https://icons.brapi.dev/icons/CTSH34.svg</t>
  </si>
  <si>
    <t xml:space="preserve">CVSH34</t>
  </si>
  <si>
    <t xml:space="preserve">CVS Health Corp</t>
  </si>
  <si>
    <t xml:space="preserve">https://icons.brapi.dev/icons/CVSH34.svg</t>
  </si>
  <si>
    <t xml:space="preserve">D1DG34</t>
  </si>
  <si>
    <t xml:space="preserve">Datadog, Inc.</t>
  </si>
  <si>
    <t xml:space="preserve">https://icons.brapi.dev/icons/D1DG34.svg</t>
  </si>
  <si>
    <t xml:space="preserve">D1EL34</t>
  </si>
  <si>
    <t xml:space="preserve">Dell Technologies Inc</t>
  </si>
  <si>
    <t xml:space="preserve">https://icons.brapi.dev/icons/D1EL34.svg</t>
  </si>
  <si>
    <t xml:space="preserve">D1EX34</t>
  </si>
  <si>
    <t xml:space="preserve">DexCom, Inc.</t>
  </si>
  <si>
    <t xml:space="preserve">https://icons.brapi.dev/icons/D1EX34.svg</t>
  </si>
  <si>
    <t xml:space="preserve">D1LR34</t>
  </si>
  <si>
    <t xml:space="preserve">Digital Realty Trust Inc</t>
  </si>
  <si>
    <t xml:space="preserve">https://icons.brapi.dev/icons/D1LR34.svg</t>
  </si>
  <si>
    <t xml:space="preserve">D1OC34</t>
  </si>
  <si>
    <t xml:space="preserve">DocuSign, Inc.</t>
  </si>
  <si>
    <t xml:space="preserve">https://icons.brapi.dev/icons/D1OC34.svg</t>
  </si>
  <si>
    <t xml:space="preserve">D1OM34</t>
  </si>
  <si>
    <t xml:space="preserve">Dominion Energy Inc</t>
  </si>
  <si>
    <t xml:space="preserve">https://icons.brapi.dev/icons/D1OM34.svg</t>
  </si>
  <si>
    <t xml:space="preserve">D1OV34</t>
  </si>
  <si>
    <t xml:space="preserve">Dover Corp</t>
  </si>
  <si>
    <t xml:space="preserve">https://icons.brapi.dev/icons/D1OV34.svg</t>
  </si>
  <si>
    <t xml:space="preserve">D1OW34</t>
  </si>
  <si>
    <t xml:space="preserve">Dow, Inc.</t>
  </si>
  <si>
    <t xml:space="preserve">https://icons.brapi.dev/icons/D1OW34.svg</t>
  </si>
  <si>
    <t xml:space="preserve">D1TE34</t>
  </si>
  <si>
    <t xml:space="preserve">DTE Energy Company</t>
  </si>
  <si>
    <t xml:space="preserve">https://icons.brapi.dev/icons/D1TE34.svg</t>
  </si>
  <si>
    <t xml:space="preserve">D1VN34</t>
  </si>
  <si>
    <t xml:space="preserve">Devon Energy Corporation</t>
  </si>
  <si>
    <t xml:space="preserve">https://icons.brapi.dev/icons/D1VN34.svg</t>
  </si>
  <si>
    <t xml:space="preserve">D2AR34</t>
  </si>
  <si>
    <t xml:space="preserve">Darling Ingredients Inc</t>
  </si>
  <si>
    <t xml:space="preserve">https://icons.brapi.dev/icons/D2AR34.svg</t>
  </si>
  <si>
    <t xml:space="preserve">D2AS34</t>
  </si>
  <si>
    <t xml:space="preserve">DoorDash, Inc.</t>
  </si>
  <si>
    <t xml:space="preserve">https://icons.brapi.dev/icons/D2AS34.svg</t>
  </si>
  <si>
    <t xml:space="preserve">D2KN34</t>
  </si>
  <si>
    <t xml:space="preserve">DraftKings, Inc.</t>
  </si>
  <si>
    <t xml:space="preserve">https://icons.brapi.dev/icons/D2KN34.svg</t>
  </si>
  <si>
    <t xml:space="preserve">D2KS34</t>
  </si>
  <si>
    <t xml:space="preserve">Dick's Sporting Goods, Inc.</t>
  </si>
  <si>
    <t xml:space="preserve">https://icons.brapi.dev/icons/D2KS34.svg</t>
  </si>
  <si>
    <t xml:space="preserve">D2OC34</t>
  </si>
  <si>
    <t xml:space="preserve">Doximity, Inc.</t>
  </si>
  <si>
    <t xml:space="preserve">https://icons.brapi.dev/icons/D2OC34.svg</t>
  </si>
  <si>
    <t xml:space="preserve">D2OX34</t>
  </si>
  <si>
    <t xml:space="preserve">Amdocs Ltd</t>
  </si>
  <si>
    <t xml:space="preserve">https://icons.brapi.dev/icons/D2OX34.svg</t>
  </si>
  <si>
    <t xml:space="preserve">D2PZ34</t>
  </si>
  <si>
    <t xml:space="preserve">Domino's Pizza, Inc.</t>
  </si>
  <si>
    <t xml:space="preserve">https://icons.brapi.dev/icons/D2PZ34.svg</t>
  </si>
  <si>
    <t xml:space="preserve">D2TC34</t>
  </si>
  <si>
    <t xml:space="preserve">Dynatrace Inc</t>
  </si>
  <si>
    <t xml:space="preserve">https://icons.brapi.dev/icons/D2TC34.svg</t>
  </si>
  <si>
    <t xml:space="preserve">DBAG34</t>
  </si>
  <si>
    <t xml:space="preserve">Deutsche Bank Aktiengesellschaft</t>
  </si>
  <si>
    <t xml:space="preserve">https://icons.brapi.dev/icons/DBAG34.svg</t>
  </si>
  <si>
    <t xml:space="preserve">DDNB34</t>
  </si>
  <si>
    <t xml:space="preserve">DuPont de Nemours, Inc.</t>
  </si>
  <si>
    <t xml:space="preserve">https://icons.brapi.dev/icons/DDNB34.svg</t>
  </si>
  <si>
    <t xml:space="preserve">DEAI34</t>
  </si>
  <si>
    <t xml:space="preserve">Delta Air Lines Inc (DE)</t>
  </si>
  <si>
    <t xml:space="preserve">https://icons.brapi.dev/icons/DEAI34.svg</t>
  </si>
  <si>
    <t xml:space="preserve">DEEC34</t>
  </si>
  <si>
    <t xml:space="preserve">Deere &amp; Co</t>
  </si>
  <si>
    <t xml:space="preserve">https://icons.brapi.dev/icons/DEEC34.svg</t>
  </si>
  <si>
    <t xml:space="preserve">DEOP34</t>
  </si>
  <si>
    <t xml:space="preserve">Diageo PLC</t>
  </si>
  <si>
    <t xml:space="preserve">https://icons.brapi.dev/icons/DEOP34.svg</t>
  </si>
  <si>
    <t xml:space="preserve">DGCO34</t>
  </si>
  <si>
    <t xml:space="preserve">Dollar General Corporation</t>
  </si>
  <si>
    <t xml:space="preserve">https://icons.brapi.dev/icons/DGCO34.svg</t>
  </si>
  <si>
    <t xml:space="preserve">DHER34</t>
  </si>
  <si>
    <t xml:space="preserve">Danaher Corp</t>
  </si>
  <si>
    <t xml:space="preserve">https://icons.brapi.dev/icons/DHER34.svg</t>
  </si>
  <si>
    <t xml:space="preserve">DISB34</t>
  </si>
  <si>
    <t xml:space="preserve">Walt Disney Company</t>
  </si>
  <si>
    <t xml:space="preserve">https://icons.brapi.dev/icons/DISB34.svg</t>
  </si>
  <si>
    <t xml:space="preserve">DLTR34</t>
  </si>
  <si>
    <t xml:space="preserve">Dollar Tree, Inc.</t>
  </si>
  <si>
    <t xml:space="preserve">https://icons.brapi.dev/icons/DLTR34.svg</t>
  </si>
  <si>
    <t xml:space="preserve">DOLL39</t>
  </si>
  <si>
    <t xml:space="preserve">ISHARES 0-3 MONTH TREASURY BOND ETF</t>
  </si>
  <si>
    <t xml:space="preserve">https://icons.brapi.dev/icons/DOLL39.svg</t>
  </si>
  <si>
    <t xml:space="preserve">DTCR39</t>
  </si>
  <si>
    <t xml:space="preserve">GLOBAL X DATA CENTER &amp; DIGITAL INFRASTRUCTURE ETF</t>
  </si>
  <si>
    <t xml:space="preserve">https://icons.brapi.dev/icons/DTCR39.svg</t>
  </si>
  <si>
    <t xml:space="preserve">DUKB34</t>
  </si>
  <si>
    <t xml:space="preserve">Duke Energy Corp</t>
  </si>
  <si>
    <t xml:space="preserve">https://icons.brapi.dev/icons/DUKB34.svg</t>
  </si>
  <si>
    <t xml:space="preserve">DUOL34</t>
  </si>
  <si>
    <t xml:space="preserve">Duolingo, Inc.</t>
  </si>
  <si>
    <t xml:space="preserve">https://icons.brapi.dev/icons/DUOL34.svg</t>
  </si>
  <si>
    <t xml:space="preserve">DVAI34</t>
  </si>
  <si>
    <t xml:space="preserve">DaVita Inc.</t>
  </si>
  <si>
    <t xml:space="preserve">https://icons.brapi.dev/icons/DVAI34.svg</t>
  </si>
  <si>
    <t xml:space="preserve">E1CL34</t>
  </si>
  <si>
    <t xml:space="preserve">Ecolab Inc</t>
  </si>
  <si>
    <t xml:space="preserve">https://icons.brapi.dev/icons/E1CL34.svg</t>
  </si>
  <si>
    <t xml:space="preserve">E1CO34</t>
  </si>
  <si>
    <t xml:space="preserve">Ecopetrol SA</t>
  </si>
  <si>
    <t xml:space="preserve">https://icons.brapi.dev/icons/E1CO34.svg</t>
  </si>
  <si>
    <t xml:space="preserve">E1DI34</t>
  </si>
  <si>
    <t xml:space="preserve">Consolidated Edison, Inc.</t>
  </si>
  <si>
    <t xml:space="preserve">https://icons.brapi.dev/icons/E1DI34.svg</t>
  </si>
  <si>
    <t xml:space="preserve">E1DU34</t>
  </si>
  <si>
    <t xml:space="preserve">New Oriental Education &amp; Technology Group, Inc.</t>
  </si>
  <si>
    <t xml:space="preserve">https://icons.brapi.dev/icons/E1DU34.svg</t>
  </si>
  <si>
    <t xml:space="preserve">E1IX34</t>
  </si>
  <si>
    <t xml:space="preserve">Edison International</t>
  </si>
  <si>
    <t xml:space="preserve">https://icons.brapi.dev/icons/E1IX34.svg</t>
  </si>
  <si>
    <t xml:space="preserve">E1MN34</t>
  </si>
  <si>
    <t xml:space="preserve">Eastman Chemical Company</t>
  </si>
  <si>
    <t xml:space="preserve">https://icons.brapi.dev/icons/E1MN34.svg</t>
  </si>
  <si>
    <t xml:space="preserve">E1MR34</t>
  </si>
  <si>
    <t xml:space="preserve">Emerson Electric Co</t>
  </si>
  <si>
    <t xml:space="preserve">https://icons.brapi.dev/icons/E1MR34.svg</t>
  </si>
  <si>
    <t xml:space="preserve">E1OG34</t>
  </si>
  <si>
    <t xml:space="preserve">EOG Resources Inc</t>
  </si>
  <si>
    <t xml:space="preserve">https://icons.brapi.dev/icons/E1OG34.svg</t>
  </si>
  <si>
    <t xml:space="preserve">E1QN34</t>
  </si>
  <si>
    <t xml:space="preserve">Equinor ASA</t>
  </si>
  <si>
    <t xml:space="preserve">https://icons.brapi.dev/icons/E1QN34.svg</t>
  </si>
  <si>
    <t xml:space="preserve">E1RI34</t>
  </si>
  <si>
    <t xml:space="preserve">Telefonaktiebolaget LM Ericsson</t>
  </si>
  <si>
    <t xml:space="preserve">https://icons.brapi.dev/icons/E1RI34.svg</t>
  </si>
  <si>
    <t xml:space="preserve">E1SS34</t>
  </si>
  <si>
    <t xml:space="preserve">Essex Property Trust</t>
  </si>
  <si>
    <t xml:space="preserve">https://icons.brapi.dev/icons/E1SS34.svg</t>
  </si>
  <si>
    <t xml:space="preserve">E1TN34</t>
  </si>
  <si>
    <t xml:space="preserve">Eaton Corp. Plc</t>
  </si>
  <si>
    <t xml:space="preserve">https://icons.brapi.dev/icons/E1TN34.svg</t>
  </si>
  <si>
    <t xml:space="preserve">E1WL34</t>
  </si>
  <si>
    <t xml:space="preserve">Edwards Lifesciences Corp</t>
  </si>
  <si>
    <t xml:space="preserve">https://icons.brapi.dev/icons/E1WL34.svg</t>
  </si>
  <si>
    <t xml:space="preserve">E1XC34</t>
  </si>
  <si>
    <t xml:space="preserve">Exelon Corp</t>
  </si>
  <si>
    <t xml:space="preserve">https://icons.brapi.dev/icons/E1XC34.svg</t>
  </si>
  <si>
    <t xml:space="preserve">E1XR34</t>
  </si>
  <si>
    <t xml:space="preserve">Extra Space Storage Inc.</t>
  </si>
  <si>
    <t xml:space="preserve">https://icons.brapi.dev/icons/E1XR34.svg</t>
  </si>
  <si>
    <t xml:space="preserve">E2EF34</t>
  </si>
  <si>
    <t xml:space="preserve">Euronet Worldwide Inc</t>
  </si>
  <si>
    <t xml:space="preserve">Serviços comerciais</t>
  </si>
  <si>
    <t xml:space="preserve">Commercial Services</t>
  </si>
  <si>
    <t xml:space="preserve">SERVICOS_COMERCIAIS</t>
  </si>
  <si>
    <t xml:space="preserve">https://icons.brapi.dev/icons/E2EF34.svg</t>
  </si>
  <si>
    <t xml:space="preserve">E2NO34</t>
  </si>
  <si>
    <t xml:space="preserve">Enovis Corporation</t>
  </si>
  <si>
    <t xml:space="preserve">https://icons.brapi.dev/icons/E2NO34.svg</t>
  </si>
  <si>
    <t xml:space="preserve">E2NP34</t>
  </si>
  <si>
    <t xml:space="preserve">Enphase Energy, Inc.</t>
  </si>
  <si>
    <t xml:space="preserve">https://icons.brapi.dev/icons/E2NP34.svg</t>
  </si>
  <si>
    <t xml:space="preserve">E2NT34</t>
  </si>
  <si>
    <t xml:space="preserve">Entegris, Inc.</t>
  </si>
  <si>
    <t xml:space="preserve">https://icons.brapi.dev/icons/E2NT34.svg</t>
  </si>
  <si>
    <t xml:space="preserve">E2PA34</t>
  </si>
  <si>
    <t xml:space="preserve">EPAM Systems, Inc.</t>
  </si>
  <si>
    <t xml:space="preserve">https://icons.brapi.dev/icons/E2PA34.svg</t>
  </si>
  <si>
    <t xml:space="preserve">E2ST34</t>
  </si>
  <si>
    <t xml:space="preserve">Elastic NV</t>
  </si>
  <si>
    <t xml:space="preserve">https://icons.brapi.dev/icons/E2ST34.svg</t>
  </si>
  <si>
    <t xml:space="preserve">E2TS34</t>
  </si>
  <si>
    <t xml:space="preserve">Etsy, Inc.</t>
  </si>
  <si>
    <t xml:space="preserve">https://icons.brapi.dev/icons/E2TS34.svg</t>
  </si>
  <si>
    <t xml:space="preserve">EART39</t>
  </si>
  <si>
    <t xml:space="preserve">Global X Funds Global X Rare Earth &amp; Critical Materials ETF</t>
  </si>
  <si>
    <t xml:space="preserve">https://icons.brapi.dev/icons/EART39.svg</t>
  </si>
  <si>
    <t xml:space="preserve">EBAY34</t>
  </si>
  <si>
    <t xml:space="preserve">eBay Inc.</t>
  </si>
  <si>
    <t xml:space="preserve">https://icons.brapi.dev/icons/EBAY34.svg</t>
  </si>
  <si>
    <t xml:space="preserve">EIDO39</t>
  </si>
  <si>
    <t xml:space="preserve">ISHARES MSCI INDONESIA ETF</t>
  </si>
  <si>
    <t xml:space="preserve">https://icons.brapi.dev/icons/EIDO39.svg</t>
  </si>
  <si>
    <t xml:space="preserve">ELCI34</t>
  </si>
  <si>
    <t xml:space="preserve">Estee Lauder Companies Inc</t>
  </si>
  <si>
    <t xml:space="preserve">https://icons.brapi.dev/icons/ELCI34.svg</t>
  </si>
  <si>
    <t xml:space="preserve">EQIX34</t>
  </si>
  <si>
    <t xml:space="preserve">Equinix Inc</t>
  </si>
  <si>
    <t xml:space="preserve">https://icons.brapi.dev/icons/EQIX34.svg</t>
  </si>
  <si>
    <t xml:space="preserve">ETHA39</t>
  </si>
  <si>
    <t xml:space="preserve">ISHARES ETHEREUM TRUST ETF</t>
  </si>
  <si>
    <t xml:space="preserve">https://icons.brapi.dev/icons/ETHA39.svg</t>
  </si>
  <si>
    <t xml:space="preserve">ETHV39</t>
  </si>
  <si>
    <t xml:space="preserve">VALOUR ETHEREUM (ETH) ZERO SEK</t>
  </si>
  <si>
    <t xml:space="preserve">ETP de ethereum cotado em coroa sueca (SEK) na origem; sem negócio (preço repetido).</t>
  </si>
  <si>
    <t xml:space="preserve">https://icons.brapi.dev/icons/ETHV39.svg</t>
  </si>
  <si>
    <t xml:space="preserve">EVEB31</t>
  </si>
  <si>
    <t xml:space="preserve">EVE HOLDING. INC.</t>
  </si>
  <si>
    <t xml:space="preserve">31</t>
  </si>
  <si>
    <t xml:space="preserve">https://icons.brapi.dev/icons/EVEB31.svg</t>
  </si>
  <si>
    <t xml:space="preserve">EVTC31</t>
  </si>
  <si>
    <t xml:space="preserve">EVERTEC INC</t>
  </si>
  <si>
    <t xml:space="preserve">Patrocinado</t>
  </si>
  <si>
    <t xml:space="preserve">https://icons.brapi.dev/icons/EVTC31.svg</t>
  </si>
  <si>
    <t xml:space="preserve">EWJV39</t>
  </si>
  <si>
    <t xml:space="preserve">ISHARES MSCI JAPAN VALUE ETF</t>
  </si>
  <si>
    <t xml:space="preserve">https://icons.brapi.dev/icons/EWJV39.svg</t>
  </si>
  <si>
    <t xml:space="preserve">EXGR34</t>
  </si>
  <si>
    <t xml:space="preserve">Expedia Group, Inc.</t>
  </si>
  <si>
    <t xml:space="preserve">https://icons.brapi.dev/icons/EXGR34.svg</t>
  </si>
  <si>
    <t xml:space="preserve">EXXO34</t>
  </si>
  <si>
    <t xml:space="preserve">ExxonMobil Holdings Corporation</t>
  </si>
  <si>
    <t xml:space="preserve">https://icons.brapi.dev/icons/EXXO34.svg</t>
  </si>
  <si>
    <t xml:space="preserve">F1AN34</t>
  </si>
  <si>
    <t xml:space="preserve">Diamondback Energy Inc</t>
  </si>
  <si>
    <t xml:space="preserve">https://icons.brapi.dev/icons/F1AN34.svg</t>
  </si>
  <si>
    <t xml:space="preserve">F1EC34</t>
  </si>
  <si>
    <t xml:space="preserve">FirstEnergy Corp</t>
  </si>
  <si>
    <t xml:space="preserve">https://icons.brapi.dev/icons/F1EC34.svg</t>
  </si>
  <si>
    <t xml:space="preserve">F1IS34</t>
  </si>
  <si>
    <t xml:space="preserve">Fiserv, Inc.</t>
  </si>
  <si>
    <t xml:space="preserve">https://icons.brapi.dev/icons/F1IS34.svg</t>
  </si>
  <si>
    <t xml:space="preserve">F1LS34</t>
  </si>
  <si>
    <t xml:space="preserve">Flowserve Corporation</t>
  </si>
  <si>
    <t xml:space="preserve">https://icons.brapi.dev/icons/F1LS34.svg</t>
  </si>
  <si>
    <t xml:space="preserve">F1MC34</t>
  </si>
  <si>
    <t xml:space="preserve">FMC Corp</t>
  </si>
  <si>
    <t xml:space="preserve">https://icons.brapi.dev/icons/F1MC34.svg</t>
  </si>
  <si>
    <t xml:space="preserve">F1NI34</t>
  </si>
  <si>
    <t xml:space="preserve">Fidelity National Information Services, Inc.</t>
  </si>
  <si>
    <t xml:space="preserve">https://icons.brapi.dev/icons/F1NI34.svg</t>
  </si>
  <si>
    <t xml:space="preserve">F1RA34</t>
  </si>
  <si>
    <t xml:space="preserve">Franklin Templeton, Inc.</t>
  </si>
  <si>
    <t xml:space="preserve">https://icons.brapi.dev/icons/F1RA34.svg</t>
  </si>
  <si>
    <t xml:space="preserve">F1SL34</t>
  </si>
  <si>
    <t xml:space="preserve">Fastly, Inc.</t>
  </si>
  <si>
    <t xml:space="preserve">https://icons.brapi.dev/icons/F1SL34.svg</t>
  </si>
  <si>
    <t xml:space="preserve">F1TN34</t>
  </si>
  <si>
    <t xml:space="preserve">Fortinet Inc</t>
  </si>
  <si>
    <t xml:space="preserve">https://icons.brapi.dev/icons/F1TN34.svg</t>
  </si>
  <si>
    <t xml:space="preserve">F2IC34</t>
  </si>
  <si>
    <t xml:space="preserve">Fair Isaac Corporation</t>
  </si>
  <si>
    <t xml:space="preserve">https://icons.brapi.dev/icons/F2IC34.svg</t>
  </si>
  <si>
    <t xml:space="preserve">F2IV34</t>
  </si>
  <si>
    <t xml:space="preserve">Five9 Inc</t>
  </si>
  <si>
    <t xml:space="preserve">https://icons.brapi.dev/icons/F2IV34.svg</t>
  </si>
  <si>
    <t xml:space="preserve">F2NV34</t>
  </si>
  <si>
    <t xml:space="preserve">Franco-Nevada Corporation</t>
  </si>
  <si>
    <t xml:space="preserve">https://icons.brapi.dev/icons/F2NV34.svg</t>
  </si>
  <si>
    <t xml:space="preserve">F2RS34</t>
  </si>
  <si>
    <t xml:space="preserve">Freshworks, Inc.</t>
  </si>
  <si>
    <t xml:space="preserve">https://icons.brapi.dev/icons/F2RS34.svg</t>
  </si>
  <si>
    <t xml:space="preserve">F2VR34</t>
  </si>
  <si>
    <t xml:space="preserve">Fiverr International Ltd.</t>
  </si>
  <si>
    <t xml:space="preserve">https://icons.brapi.dev/icons/F2VR34.svg</t>
  </si>
  <si>
    <t xml:space="preserve">FCXO34</t>
  </si>
  <si>
    <t xml:space="preserve">Freeport-McMoRan, Inc.</t>
  </si>
  <si>
    <t xml:space="preserve">https://icons.brapi.dev/icons/FCXO34.svg</t>
  </si>
  <si>
    <t xml:space="preserve">FDMO34</t>
  </si>
  <si>
    <t xml:space="preserve">Ford Motor Company</t>
  </si>
  <si>
    <t xml:space="preserve">https://icons.brapi.dev/icons/FDMO34.svg</t>
  </si>
  <si>
    <t xml:space="preserve">FDXB34</t>
  </si>
  <si>
    <t xml:space="preserve">FedEx Corporation</t>
  </si>
  <si>
    <t xml:space="preserve">https://icons.brapi.dev/icons/FDXB34.svg</t>
  </si>
  <si>
    <t xml:space="preserve">FMSC34</t>
  </si>
  <si>
    <t xml:space="preserve">Fresenius Medical Care AG</t>
  </si>
  <si>
    <t xml:space="preserve">https://icons.brapi.dev/icons/FMSC34.svg</t>
  </si>
  <si>
    <t xml:space="preserve">FSLR34</t>
  </si>
  <si>
    <t xml:space="preserve">First Solar Inc</t>
  </si>
  <si>
    <t xml:space="preserve">https://icons.brapi.dev/icons/FSLR34.svg</t>
  </si>
  <si>
    <t xml:space="preserve">G1AM34</t>
  </si>
  <si>
    <t xml:space="preserve">Gaming and Leisure Properties Inc</t>
  </si>
  <si>
    <t xml:space="preserve">https://icons.brapi.dev/icons/G1AM34.svg</t>
  </si>
  <si>
    <t xml:space="preserve">G1AR34</t>
  </si>
  <si>
    <t xml:space="preserve">Gartner, Inc.</t>
  </si>
  <si>
    <t xml:space="preserve">https://icons.brapi.dev/icons/G1AR34.svg</t>
  </si>
  <si>
    <t xml:space="preserve">G1DS34</t>
  </si>
  <si>
    <t xml:space="preserve">GDS Holdings Ltd.</t>
  </si>
  <si>
    <t xml:space="preserve">https://icons.brapi.dev/icons/G1DS34.svg</t>
  </si>
  <si>
    <t xml:space="preserve">G1FI34</t>
  </si>
  <si>
    <t xml:space="preserve">Gold Fields Limited</t>
  </si>
  <si>
    <t xml:space="preserve">https://icons.brapi.dev/icons/G1FI34.svg</t>
  </si>
  <si>
    <t xml:space="preserve">G1LL34</t>
  </si>
  <si>
    <t xml:space="preserve">Globe Life Inc.</t>
  </si>
  <si>
    <t xml:space="preserve">https://icons.brapi.dev/icons/G1LL34.svg</t>
  </si>
  <si>
    <t xml:space="preserve">G1LO34</t>
  </si>
  <si>
    <t xml:space="preserve">Globant Sa</t>
  </si>
  <si>
    <t xml:space="preserve">https://icons.brapi.dev/icons/G1LO34.svg</t>
  </si>
  <si>
    <t xml:space="preserve">G1LW34</t>
  </si>
  <si>
    <t xml:space="preserve">Corning Inc</t>
  </si>
  <si>
    <t xml:space="preserve">https://icons.brapi.dev/icons/G1LW34.svg</t>
  </si>
  <si>
    <t xml:space="preserve">G1MI34</t>
  </si>
  <si>
    <t xml:space="preserve">General Mills Inc</t>
  </si>
  <si>
    <t xml:space="preserve">https://icons.brapi.dev/icons/G1MI34.svg</t>
  </si>
  <si>
    <t xml:space="preserve">G1PC34</t>
  </si>
  <si>
    <t xml:space="preserve">Genuine Parts Company</t>
  </si>
  <si>
    <t xml:space="preserve">https://icons.brapi.dev/icons/G1PC34.svg</t>
  </si>
  <si>
    <t xml:space="preserve">G1PI34</t>
  </si>
  <si>
    <t xml:space="preserve">Global Payments Inc.</t>
  </si>
  <si>
    <t xml:space="preserve">https://icons.brapi.dev/icons/G1PI34.svg</t>
  </si>
  <si>
    <t xml:space="preserve">G1RM34</t>
  </si>
  <si>
    <t xml:space="preserve">Garmin Ltd.</t>
  </si>
  <si>
    <t xml:space="preserve">https://icons.brapi.dev/icons/G1RM34.svg</t>
  </si>
  <si>
    <t xml:space="preserve">G1SK34</t>
  </si>
  <si>
    <t xml:space="preserve">GSK PLC</t>
  </si>
  <si>
    <t xml:space="preserve">https://icons.brapi.dev/icons/G1SK34.svg</t>
  </si>
  <si>
    <t xml:space="preserve">G1TR39</t>
  </si>
  <si>
    <t xml:space="preserve">ABRDN PHYSICAL PRECIOUS METALS BASKET SHARES ETF</t>
  </si>
  <si>
    <t xml:space="preserve">https://icons.brapi.dev/icons/G1TR39.svg</t>
  </si>
  <si>
    <t xml:space="preserve">G1WW34</t>
  </si>
  <si>
    <t xml:space="preserve">W.W. Grainger, Inc.</t>
  </si>
  <si>
    <t xml:space="preserve">https://icons.brapi.dev/icons/G1WW34.svg</t>
  </si>
  <si>
    <t xml:space="preserve">G2DD34</t>
  </si>
  <si>
    <t xml:space="preserve">GoDaddy, Inc.</t>
  </si>
  <si>
    <t xml:space="preserve">https://icons.brapi.dev/icons/G2DD34.svg</t>
  </si>
  <si>
    <t xml:space="preserve">G2DI33</t>
  </si>
  <si>
    <t xml:space="preserve">G2D INVESTMENTS LTD</t>
  </si>
  <si>
    <t xml:space="preserve">https://icons.brapi.dev/icons/G2DI33.svg</t>
  </si>
  <si>
    <t xml:space="preserve">G2EV34</t>
  </si>
  <si>
    <t xml:space="preserve">GE Vernova Inc</t>
  </si>
  <si>
    <t xml:space="preserve">https://icons.brapi.dev/icons/G2EV34.svg</t>
  </si>
  <si>
    <t xml:space="preserve">G2ME34</t>
  </si>
  <si>
    <t xml:space="preserve">Globus Medical Inc</t>
  </si>
  <si>
    <t xml:space="preserve">https://icons.brapi.dev/icons/G2ME34.svg</t>
  </si>
  <si>
    <t xml:space="preserve">G2WR34</t>
  </si>
  <si>
    <t xml:space="preserve">Guidewire Software, Inc.</t>
  </si>
  <si>
    <t xml:space="preserve">https://icons.brapi.dev/icons/G2WR34.svg</t>
  </si>
  <si>
    <t xml:space="preserve">GDBR34</t>
  </si>
  <si>
    <t xml:space="preserve">General Dynamics Corp</t>
  </si>
  <si>
    <t xml:space="preserve">https://icons.brapi.dev/icons/GDBR34.svg</t>
  </si>
  <si>
    <t xml:space="preserve">GDXB39</t>
  </si>
  <si>
    <t xml:space="preserve">VANECK GOLD MINERS ETF</t>
  </si>
  <si>
    <t xml:space="preserve">https://icons.brapi.dev/icons/GDXB39.svg</t>
  </si>
  <si>
    <t xml:space="preserve">GEHC34</t>
  </si>
  <si>
    <t xml:space="preserve">GE Healthcare Technologies Inc</t>
  </si>
  <si>
    <t xml:space="preserve">https://icons.brapi.dev/icons/GEHC34.svg</t>
  </si>
  <si>
    <t xml:space="preserve">GEOO34</t>
  </si>
  <si>
    <t xml:space="preserve">GE Aerospace</t>
  </si>
  <si>
    <t xml:space="preserve">https://icons.brapi.dev/icons/GEOO34.svg</t>
  </si>
  <si>
    <t xml:space="preserve">GILD34</t>
  </si>
  <si>
    <t xml:space="preserve">Gilead Sciences Inc</t>
  </si>
  <si>
    <t xml:space="preserve">https://icons.brapi.dev/icons/GILD34.svg</t>
  </si>
  <si>
    <t xml:space="preserve">GMCO34</t>
  </si>
  <si>
    <t xml:space="preserve">General Motors Company</t>
  </si>
  <si>
    <t xml:space="preserve">https://icons.brapi.dev/icons/GMCO34.svg</t>
  </si>
  <si>
    <t xml:space="preserve">GOEX39</t>
  </si>
  <si>
    <t xml:space="preserve">GLOBAL X GOLD EXPLORERS ETF</t>
  </si>
  <si>
    <t xml:space="preserve">https://icons.brapi.dev/icons/GOEX39.svg</t>
  </si>
  <si>
    <t xml:space="preserve">GOGL34</t>
  </si>
  <si>
    <t xml:space="preserve">Alphabet Inc</t>
  </si>
  <si>
    <t xml:space="preserve">https://icons.brapi.dev/icons/GOGL34.svg</t>
  </si>
  <si>
    <t xml:space="preserve">GOGL35</t>
  </si>
  <si>
    <t xml:space="preserve">35</t>
  </si>
  <si>
    <t xml:space="preserve">Alphabet classe C (GOGL34 é a classe A).</t>
  </si>
  <si>
    <t xml:space="preserve">https://icons.brapi.dev/icons/GOGL35.svg</t>
  </si>
  <si>
    <t xml:space="preserve">GPRK34</t>
  </si>
  <si>
    <t xml:space="preserve">GeoPark Ltd</t>
  </si>
  <si>
    <t xml:space="preserve">https://icons.brapi.dev/icons/GPRK34.svg</t>
  </si>
  <si>
    <t xml:space="preserve">GPRO34</t>
  </si>
  <si>
    <t xml:space="preserve">GoPro, Inc.</t>
  </si>
  <si>
    <t xml:space="preserve">https://icons.brapi.dev/icons/GPRO34.svg</t>
  </si>
  <si>
    <t xml:space="preserve">GPSI34</t>
  </si>
  <si>
    <t xml:space="preserve">Gap Inc.</t>
  </si>
  <si>
    <t xml:space="preserve">https://icons.brapi.dev/icons/GPSI34.svg</t>
  </si>
  <si>
    <t xml:space="preserve">GROP31</t>
  </si>
  <si>
    <t xml:space="preserve">BRAZIL POTASH CORP.</t>
  </si>
  <si>
    <t xml:space="preserve">https://icons.brapi.dev/icons/GROP31.svg</t>
  </si>
  <si>
    <t xml:space="preserve">GSGI34</t>
  </si>
  <si>
    <t xml:space="preserve">Goldman Sachs Group, Inc.</t>
  </si>
  <si>
    <t xml:space="preserve">https://icons.brapi.dev/icons/GSGI34.svg</t>
  </si>
  <si>
    <t xml:space="preserve">H1CA34</t>
  </si>
  <si>
    <t xml:space="preserve">HCA Healthcare Inc</t>
  </si>
  <si>
    <t xml:space="preserve">https://icons.brapi.dev/icons/H1CA34.svg</t>
  </si>
  <si>
    <t xml:space="preserve">H1DB34</t>
  </si>
  <si>
    <t xml:space="preserve">HDFC Bank Limited</t>
  </si>
  <si>
    <t xml:space="preserve">https://icons.brapi.dev/icons/H1DB34.svg</t>
  </si>
  <si>
    <t xml:space="preserve">H1EI34</t>
  </si>
  <si>
    <t xml:space="preserve">HEICO Corporation</t>
  </si>
  <si>
    <t xml:space="preserve">https://icons.brapi.dev/icons/H1EI34.svg</t>
  </si>
  <si>
    <t xml:space="preserve">H1FC34</t>
  </si>
  <si>
    <t xml:space="preserve">HF Sinclair Corporation</t>
  </si>
  <si>
    <t xml:space="preserve">https://icons.brapi.dev/icons/H1FC34.svg</t>
  </si>
  <si>
    <t xml:space="preserve">H1HH34</t>
  </si>
  <si>
    <t xml:space="preserve">Howard Hughes Holdings Inc</t>
  </si>
  <si>
    <t xml:space="preserve">https://icons.brapi.dev/icons/H1HH34.svg</t>
  </si>
  <si>
    <t xml:space="preserve">H1IG34</t>
  </si>
  <si>
    <t xml:space="preserve">Hartford Insurance Group, Inc.</t>
  </si>
  <si>
    <t xml:space="preserve">https://icons.brapi.dev/icons/H1IG34.svg</t>
  </si>
  <si>
    <t xml:space="preserve">H1LT34</t>
  </si>
  <si>
    <t xml:space="preserve">Hilton Worldwide Holdings Inc.</t>
  </si>
  <si>
    <t xml:space="preserve">https://icons.brapi.dev/icons/H1LT34.svg</t>
  </si>
  <si>
    <t xml:space="preserve">H1OG34</t>
  </si>
  <si>
    <t xml:space="preserve">Harley-Davidson Inc</t>
  </si>
  <si>
    <t xml:space="preserve">https://icons.brapi.dev/icons/H1OG34.svg</t>
  </si>
  <si>
    <t xml:space="preserve">H1PE34</t>
  </si>
  <si>
    <t xml:space="preserve">Hewlett Packard Enterprise Co.</t>
  </si>
  <si>
    <t xml:space="preserve">https://icons.brapi.dev/icons/H1PE34.svg</t>
  </si>
  <si>
    <t xml:space="preserve">H1RL34</t>
  </si>
  <si>
    <t xml:space="preserve">Hormel Foods Corporation</t>
  </si>
  <si>
    <t xml:space="preserve">https://icons.brapi.dev/icons/H1RL34.svg</t>
  </si>
  <si>
    <t xml:space="preserve">H1SB34</t>
  </si>
  <si>
    <t xml:space="preserve">HSBC Holdings Plc</t>
  </si>
  <si>
    <t xml:space="preserve">https://icons.brapi.dev/icons/H1SB34.svg</t>
  </si>
  <si>
    <t xml:space="preserve">H1ST34</t>
  </si>
  <si>
    <t xml:space="preserve">Host Hotels &amp; Resorts, Inc.</t>
  </si>
  <si>
    <t xml:space="preserve">https://icons.brapi.dev/icons/H1ST34.svg</t>
  </si>
  <si>
    <t xml:space="preserve">H1UM34</t>
  </si>
  <si>
    <t xml:space="preserve">Humana Inc</t>
  </si>
  <si>
    <t xml:space="preserve">https://icons.brapi.dev/icons/H1UM34.svg</t>
  </si>
  <si>
    <t xml:space="preserve">H2UB34</t>
  </si>
  <si>
    <t xml:space="preserve">HubSpot, Inc.</t>
  </si>
  <si>
    <t xml:space="preserve">https://icons.brapi.dev/icons/H2UB34.svg</t>
  </si>
  <si>
    <t xml:space="preserve">HALI34</t>
  </si>
  <si>
    <t xml:space="preserve">Halliburton Company</t>
  </si>
  <si>
    <t xml:space="preserve">https://icons.brapi.dev/icons/HALI34.svg</t>
  </si>
  <si>
    <t xml:space="preserve">HMRN31</t>
  </si>
  <si>
    <t xml:space="preserve">HOMERUN RESOURCES INC</t>
  </si>
  <si>
    <t xml:space="preserve">https://icons.brapi.dev/icons/HMRN31.svg</t>
  </si>
  <si>
    <t xml:space="preserve">HOME34</t>
  </si>
  <si>
    <t xml:space="preserve">Home Depot Inc</t>
  </si>
  <si>
    <t xml:space="preserve">https://icons.brapi.dev/icons/HOME34.svg</t>
  </si>
  <si>
    <t xml:space="preserve">HONB34</t>
  </si>
  <si>
    <t xml:space="preserve">Honeywell Technologies CDR</t>
  </si>
  <si>
    <t xml:space="preserve">https://icons.brapi.dev/icons/HONB34.svg</t>
  </si>
  <si>
    <t xml:space="preserve">HOND34</t>
  </si>
  <si>
    <t xml:space="preserve">Honda Motor Co., Ltd.</t>
  </si>
  <si>
    <t xml:space="preserve">https://icons.brapi.dev/icons/HOND34.svg</t>
  </si>
  <si>
    <t xml:space="preserve">HPQB34</t>
  </si>
  <si>
    <t xml:space="preserve">HP Inc.</t>
  </si>
  <si>
    <t xml:space="preserve">https://icons.brapi.dev/icons/HPQB34.svg</t>
  </si>
  <si>
    <t xml:space="preserve">HSHY34</t>
  </si>
  <si>
    <t xml:space="preserve">Hershey Co</t>
  </si>
  <si>
    <t xml:space="preserve">https://icons.brapi.dev/icons/HSHY34.svg</t>
  </si>
  <si>
    <t xml:space="preserve">HYEM39</t>
  </si>
  <si>
    <t xml:space="preserve">VANECK EMERGING MARKETS HIGH YIELD BOND ETF</t>
  </si>
  <si>
    <t xml:space="preserve">https://icons.brapi.dev/icons/HYEM39.svg</t>
  </si>
  <si>
    <t xml:space="preserve">I1CE34</t>
  </si>
  <si>
    <t xml:space="preserve">Intercontinental Exchange Inc</t>
  </si>
  <si>
    <t xml:space="preserve">https://icons.brapi.dev/icons/I1CE34.svg</t>
  </si>
  <si>
    <t xml:space="preserve">I1DX34</t>
  </si>
  <si>
    <t xml:space="preserve">IDEXX Laboratories, Inc.</t>
  </si>
  <si>
    <t xml:space="preserve">https://icons.brapi.dev/icons/I1DX34.svg</t>
  </si>
  <si>
    <t xml:space="preserve">I1FF34</t>
  </si>
  <si>
    <t xml:space="preserve">International Flavors &amp; Fragrances Inc.</t>
  </si>
  <si>
    <t xml:space="preserve">https://icons.brapi.dev/icons/I1FF34.svg</t>
  </si>
  <si>
    <t xml:space="preserve">I1FO34</t>
  </si>
  <si>
    <t xml:space="preserve">Infosys Limited</t>
  </si>
  <si>
    <t xml:space="preserve">https://icons.brapi.dev/icons/I1FO34.svg</t>
  </si>
  <si>
    <t xml:space="preserve">I1LM34</t>
  </si>
  <si>
    <t xml:space="preserve">Illumina, Inc.</t>
  </si>
  <si>
    <t xml:space="preserve">https://icons.brapi.dev/icons/I1LM34.svg</t>
  </si>
  <si>
    <t xml:space="preserve">I1PC34</t>
  </si>
  <si>
    <t xml:space="preserve">International Paper Co</t>
  </si>
  <si>
    <t xml:space="preserve">https://icons.brapi.dev/icons/I1PC34.svg</t>
  </si>
  <si>
    <t xml:space="preserve">I1PG34</t>
  </si>
  <si>
    <t xml:space="preserve">IPG Photonics Corp</t>
  </si>
  <si>
    <t xml:space="preserve">https://icons.brapi.dev/icons/I1PG34.svg</t>
  </si>
  <si>
    <t xml:space="preserve">I1QY34</t>
  </si>
  <si>
    <t xml:space="preserve">iQIYI, Inc.</t>
  </si>
  <si>
    <t xml:space="preserve">https://icons.brapi.dev/icons/I1QY34.svg</t>
  </si>
  <si>
    <t xml:space="preserve">I1RM34</t>
  </si>
  <si>
    <t xml:space="preserve">Iron Mountain REIT Inc</t>
  </si>
  <si>
    <t xml:space="preserve">https://icons.brapi.dev/icons/I1RM34.svg</t>
  </si>
  <si>
    <t xml:space="preserve">I1RP34</t>
  </si>
  <si>
    <t xml:space="preserve">Trane Technologies PLC</t>
  </si>
  <si>
    <t xml:space="preserve">https://icons.brapi.dev/icons/I1RP34.svg</t>
  </si>
  <si>
    <t xml:space="preserve">I1SR34</t>
  </si>
  <si>
    <t xml:space="preserve">Intuitive Surgical, Inc.</t>
  </si>
  <si>
    <t xml:space="preserve">https://icons.brapi.dev/icons/I1SR34.svg</t>
  </si>
  <si>
    <t xml:space="preserve">I1TW34</t>
  </si>
  <si>
    <t xml:space="preserve">Illinois Tool Works Inc</t>
  </si>
  <si>
    <t xml:space="preserve">https://icons.brapi.dev/icons/I1TW34.svg</t>
  </si>
  <si>
    <t xml:space="preserve">I1VZ34</t>
  </si>
  <si>
    <t xml:space="preserve">Invesco Ltd.</t>
  </si>
  <si>
    <t xml:space="preserve">https://icons.brapi.dev/icons/I1VZ34.svg</t>
  </si>
  <si>
    <t xml:space="preserve">I1XC34</t>
  </si>
  <si>
    <t xml:space="preserve">ORIX Corporation</t>
  </si>
  <si>
    <t xml:space="preserve">https://icons.brapi.dev/icons/I1XC34.svg</t>
  </si>
  <si>
    <t xml:space="preserve">I2ND34</t>
  </si>
  <si>
    <t xml:space="preserve">indie Semiconductor, Inc.</t>
  </si>
  <si>
    <t xml:space="preserve">https://icons.brapi.dev/icons/I2ND34.svg</t>
  </si>
  <si>
    <t xml:space="preserve">I2NG34</t>
  </si>
  <si>
    <t xml:space="preserve">Ingredion Inc</t>
  </si>
  <si>
    <t xml:space="preserve">https://icons.brapi.dev/icons/I2NG34.svg</t>
  </si>
  <si>
    <t xml:space="preserve">I2NV34</t>
  </si>
  <si>
    <t xml:space="preserve">Invitation Homes, Inc.</t>
  </si>
  <si>
    <t xml:space="preserve">https://icons.brapi.dev/icons/I2NV34.svg</t>
  </si>
  <si>
    <t xml:space="preserve">I2RS34</t>
  </si>
  <si>
    <t xml:space="preserve">Ingersoll Rand Inc.</t>
  </si>
  <si>
    <t xml:space="preserve">https://icons.brapi.dev/icons/I2RS34.svg</t>
  </si>
  <si>
    <t xml:space="preserve">IBIT39</t>
  </si>
  <si>
    <t xml:space="preserve">ISHARES BITCOIN TRUST</t>
  </si>
  <si>
    <t xml:space="preserve">https://icons.brapi.dev/icons/IBIT39.svg</t>
  </si>
  <si>
    <t xml:space="preserve">IBKR34</t>
  </si>
  <si>
    <t xml:space="preserve">Interactive Brokers Group, Inc.</t>
  </si>
  <si>
    <t xml:space="preserve">https://icons.brapi.dev/icons/IBKR34.svg</t>
  </si>
  <si>
    <t xml:space="preserve">IBMB34</t>
  </si>
  <si>
    <t xml:space="preserve">International Business Machines Corp</t>
  </si>
  <si>
    <t xml:space="preserve">https://icons.brapi.dev/icons/IBMB34.svg</t>
  </si>
  <si>
    <t xml:space="preserve">ICLR34</t>
  </si>
  <si>
    <t xml:space="preserve">Icon PLC</t>
  </si>
  <si>
    <t xml:space="preserve">https://icons.brapi.dev/icons/ICLR34.svg</t>
  </si>
  <si>
    <t xml:space="preserve">INBR32</t>
  </si>
  <si>
    <t xml:space="preserve">INTER CO INC</t>
  </si>
  <si>
    <t xml:space="preserve">32</t>
  </si>
  <si>
    <t xml:space="preserve">https://icons.brapi.dev/icons/INBR32.svg</t>
  </si>
  <si>
    <t xml:space="preserve">INGG34</t>
  </si>
  <si>
    <t xml:space="preserve">ING Groep N.V.</t>
  </si>
  <si>
    <t xml:space="preserve">https://icons.brapi.dev/icons/INGG34.svg</t>
  </si>
  <si>
    <t xml:space="preserve">INTU34</t>
  </si>
  <si>
    <t xml:space="preserve">Intuit Corp</t>
  </si>
  <si>
    <t xml:space="preserve">https://icons.brapi.dev/icons/INTU34.svg</t>
  </si>
  <si>
    <t xml:space="preserve">ITLC34</t>
  </si>
  <si>
    <t xml:space="preserve">Intel Corporation</t>
  </si>
  <si>
    <t xml:space="preserve">https://icons.brapi.dev/icons/ITLC34.svg</t>
  </si>
  <si>
    <t xml:space="preserve">J1BH34</t>
  </si>
  <si>
    <t xml:space="preserve">J.B. Hunt Transport Services, Inc.</t>
  </si>
  <si>
    <t xml:space="preserve">https://icons.brapi.dev/icons/J1BH34.svg</t>
  </si>
  <si>
    <t xml:space="preserve">J1CI34</t>
  </si>
  <si>
    <t xml:space="preserve">Johnson Controls International PLC</t>
  </si>
  <si>
    <t xml:space="preserve">https://icons.brapi.dev/icons/J1CI34.svg</t>
  </si>
  <si>
    <t xml:space="preserve">J1EF34</t>
  </si>
  <si>
    <t xml:space="preserve">Jefferies Financial Group Inc</t>
  </si>
  <si>
    <t xml:space="preserve">https://icons.brapi.dev/icons/J1EF34.svg</t>
  </si>
  <si>
    <t xml:space="preserve">J2AZ34</t>
  </si>
  <si>
    <t xml:space="preserve">Jazz Pharmaceuticals PLC</t>
  </si>
  <si>
    <t xml:space="preserve">https://icons.brapi.dev/icons/J2AZ34.svg</t>
  </si>
  <si>
    <t xml:space="preserve">J2BL34</t>
  </si>
  <si>
    <t xml:space="preserve">Jabil Inc.</t>
  </si>
  <si>
    <t xml:space="preserve">https://icons.brapi.dev/icons/J2BL34.svg</t>
  </si>
  <si>
    <t xml:space="preserve">JBSS32</t>
  </si>
  <si>
    <t xml:space="preserve">JBS N.V.</t>
  </si>
  <si>
    <t xml:space="preserve">https://icons.brapi.dev/icons/JBSS32.svg</t>
  </si>
  <si>
    <t xml:space="preserve">JDCO34</t>
  </si>
  <si>
    <t xml:space="preserve">JD.com, Inc.</t>
  </si>
  <si>
    <t xml:space="preserve">https://icons.brapi.dev/icons/JDCO34.svg</t>
  </si>
  <si>
    <t xml:space="preserve">JEPI39</t>
  </si>
  <si>
    <t xml:space="preserve">JPMORGAN EQUITY PREMIUM INCOME ETF</t>
  </si>
  <si>
    <t xml:space="preserve">https://icons.brapi.dev/icons/JEPI39.svg</t>
  </si>
  <si>
    <t xml:space="preserve">JNJB34</t>
  </si>
  <si>
    <t xml:space="preserve">Johnson &amp; Johnson</t>
  </si>
  <si>
    <t xml:space="preserve">https://icons.brapi.dev/icons/JNJB34.svg</t>
  </si>
  <si>
    <t xml:space="preserve">JPEM39</t>
  </si>
  <si>
    <t xml:space="preserve">JPMorgan Diversified Return Emerging Markets Equity ETF</t>
  </si>
  <si>
    <t xml:space="preserve">https://icons.brapi.dev/icons/JPEM39.svg</t>
  </si>
  <si>
    <t xml:space="preserve">JPIN39</t>
  </si>
  <si>
    <t xml:space="preserve">PMXF Diversified Return Intl Ex-North America Equity</t>
  </si>
  <si>
    <t xml:space="preserve">https://icons.brapi.dev/icons/JPIN39.svg</t>
  </si>
  <si>
    <t xml:space="preserve">JPMC34</t>
  </si>
  <si>
    <t xml:space="preserve">JPMorgan Chase &amp; Co.</t>
  </si>
  <si>
    <t xml:space="preserve">https://icons.brapi.dev/icons/JPMC34.svg</t>
  </si>
  <si>
    <t xml:space="preserve">JPME39</t>
  </si>
  <si>
    <t xml:space="preserve">JPMorgan Diversified Return U.S. Mid Cap Equity ETF</t>
  </si>
  <si>
    <t xml:space="preserve">https://icons.brapi.dev/icons/JPME39.svg</t>
  </si>
  <si>
    <t xml:space="preserve">JQUA39</t>
  </si>
  <si>
    <t xml:space="preserve">JPMorgan U.S. Quality Factor ETF</t>
  </si>
  <si>
    <t xml:space="preserve">https://icons.brapi.dev/icons/JQUA39.svg</t>
  </si>
  <si>
    <t xml:space="preserve">JTEK39</t>
  </si>
  <si>
    <t xml:space="preserve">JPMorgan U.S. Tech Leaders ETF</t>
  </si>
  <si>
    <t xml:space="preserve">https://icons.brapi.dev/icons/JTEK39.svg</t>
  </si>
  <si>
    <t xml:space="preserve">K1BF34</t>
  </si>
  <si>
    <t xml:space="preserve">KB Financial Group Inc.</t>
  </si>
  <si>
    <t xml:space="preserve">https://icons.brapi.dev/icons/K1BF34.svg</t>
  </si>
  <si>
    <t xml:space="preserve">K1LA34</t>
  </si>
  <si>
    <t xml:space="preserve">KLA Corporation</t>
  </si>
  <si>
    <t xml:space="preserve">https://icons.brapi.dev/icons/K1LA34.svg</t>
  </si>
  <si>
    <t xml:space="preserve">K1MX34</t>
  </si>
  <si>
    <t xml:space="preserve">CarMax, Inc.</t>
  </si>
  <si>
    <t xml:space="preserve">https://icons.brapi.dev/icons/K1MX34.svg</t>
  </si>
  <si>
    <t xml:space="preserve">K1RC34</t>
  </si>
  <si>
    <t xml:space="preserve">Kroger Co</t>
  </si>
  <si>
    <t xml:space="preserve">https://icons.brapi.dev/icons/K1RC34.svg</t>
  </si>
  <si>
    <t xml:space="preserve">K1SG34</t>
  </si>
  <si>
    <t xml:space="preserve">Keysight Technologies, Inc.</t>
  </si>
  <si>
    <t xml:space="preserve">https://icons.brapi.dev/icons/K1SG34.svg</t>
  </si>
  <si>
    <t xml:space="preserve">K1SS34</t>
  </si>
  <si>
    <t xml:space="preserve">Kohl's Corporation</t>
  </si>
  <si>
    <t xml:space="preserve">https://icons.brapi.dev/icons/K1SS34.svg</t>
  </si>
  <si>
    <t xml:space="preserve">K1TC34</t>
  </si>
  <si>
    <t xml:space="preserve">KT Corporation</t>
  </si>
  <si>
    <t xml:space="preserve">https://icons.brapi.dev/icons/K1TC34.svg</t>
  </si>
  <si>
    <t xml:space="preserve">K2CG34</t>
  </si>
  <si>
    <t xml:space="preserve">Kingsoft Cloud Holdings Ltd.</t>
  </si>
  <si>
    <t xml:space="preserve">https://icons.brapi.dev/icons/K2CG34.svg</t>
  </si>
  <si>
    <t xml:space="preserve">K2RC34</t>
  </si>
  <si>
    <t xml:space="preserve">Kilroy Realty Corporation</t>
  </si>
  <si>
    <t xml:space="preserve">https://icons.brapi.dev/icons/K2RC34.svg</t>
  </si>
  <si>
    <t xml:space="preserve">KHCB34</t>
  </si>
  <si>
    <t xml:space="preserve">Kraft Heinz Company</t>
  </si>
  <si>
    <t xml:space="preserve">https://icons.brapi.dev/icons/KHCB34.svg</t>
  </si>
  <si>
    <t xml:space="preserve">KMBB34</t>
  </si>
  <si>
    <t xml:space="preserve">Kimberly-Clark Corp</t>
  </si>
  <si>
    <t xml:space="preserve">https://icons.brapi.dev/icons/KMBB34.svg</t>
  </si>
  <si>
    <t xml:space="preserve">KMIC34</t>
  </si>
  <si>
    <t xml:space="preserve">Kinder Morgan Inc</t>
  </si>
  <si>
    <t xml:space="preserve">https://icons.brapi.dev/icons/KMIC34.svg</t>
  </si>
  <si>
    <t xml:space="preserve">L1AM34</t>
  </si>
  <si>
    <t xml:space="preserve">Lamar Advertising Company</t>
  </si>
  <si>
    <t xml:space="preserve">https://icons.brapi.dev/icons/L1AM34.svg</t>
  </si>
  <si>
    <t xml:space="preserve">L1DO34</t>
  </si>
  <si>
    <t xml:space="preserve">Leidos Holdings, Inc.</t>
  </si>
  <si>
    <t xml:space="preserve">https://icons.brapi.dev/icons/L1DO34.svg</t>
  </si>
  <si>
    <t xml:space="preserve">L1EN34</t>
  </si>
  <si>
    <t xml:space="preserve">Lennar Corp</t>
  </si>
  <si>
    <t xml:space="preserve">https://icons.brapi.dev/icons/L1EN34.svg</t>
  </si>
  <si>
    <t xml:space="preserve">L1HX34</t>
  </si>
  <si>
    <t xml:space="preserve">L3Harris Technologies Inc</t>
  </si>
  <si>
    <t xml:space="preserve">https://icons.brapi.dev/icons/L1HX34.svg</t>
  </si>
  <si>
    <t xml:space="preserve">L1MN34</t>
  </si>
  <si>
    <t xml:space="preserve">Lumen Technologies, Inc.</t>
  </si>
  <si>
    <t xml:space="preserve">https://icons.brapi.dev/icons/L1MN34.svg</t>
  </si>
  <si>
    <t xml:space="preserve">L1NC34</t>
  </si>
  <si>
    <t xml:space="preserve">Lincoln National Corp</t>
  </si>
  <si>
    <t xml:space="preserve">https://icons.brapi.dev/icons/L1NC34.svg</t>
  </si>
  <si>
    <t xml:space="preserve">L1NE34</t>
  </si>
  <si>
    <t xml:space="preserve">Lineage Inc</t>
  </si>
  <si>
    <t xml:space="preserve">https://icons.brapi.dev/icons/L1NE34.svg</t>
  </si>
  <si>
    <t xml:space="preserve">L1RC34</t>
  </si>
  <si>
    <t xml:space="preserve">Lam Research Corporation</t>
  </si>
  <si>
    <t xml:space="preserve">https://icons.brapi.dev/icons/L1RC34.svg</t>
  </si>
  <si>
    <t xml:space="preserve">L1UL34</t>
  </si>
  <si>
    <t xml:space="preserve">lululemon athletica inc.</t>
  </si>
  <si>
    <t xml:space="preserve">https://icons.brapi.dev/icons/L1UL34.svg</t>
  </si>
  <si>
    <t xml:space="preserve">L1VS34</t>
  </si>
  <si>
    <t xml:space="preserve">Las Vegas Sands Corp.</t>
  </si>
  <si>
    <t xml:space="preserve">https://icons.brapi.dev/icons/L1VS34.svg</t>
  </si>
  <si>
    <t xml:space="preserve">L1YB34</t>
  </si>
  <si>
    <t xml:space="preserve">LyondellBasell Industries NV</t>
  </si>
  <si>
    <t xml:space="preserve">https://icons.brapi.dev/icons/L1YB34.svg</t>
  </si>
  <si>
    <t xml:space="preserve">L1YG34</t>
  </si>
  <si>
    <t xml:space="preserve">Lloyds Banking Group PLC</t>
  </si>
  <si>
    <t xml:space="preserve">https://icons.brapi.dev/icons/L1YG34.svg</t>
  </si>
  <si>
    <t xml:space="preserve">L1YV34</t>
  </si>
  <si>
    <t xml:space="preserve">Live Nation Entertainment, Inc.</t>
  </si>
  <si>
    <t xml:space="preserve">https://icons.brapi.dev/icons/L1YV34.svg</t>
  </si>
  <si>
    <t xml:space="preserve">L2PL34</t>
  </si>
  <si>
    <t xml:space="preserve">LPL Financial Holdings Inc.</t>
  </si>
  <si>
    <t xml:space="preserve">https://icons.brapi.dev/icons/L2PL34.svg</t>
  </si>
  <si>
    <t xml:space="preserve">L2RN34</t>
  </si>
  <si>
    <t xml:space="preserve">Stride, Inc.</t>
  </si>
  <si>
    <t xml:space="preserve">https://icons.brapi.dev/icons/L2RN34.svg</t>
  </si>
  <si>
    <t xml:space="preserve">LILY34</t>
  </si>
  <si>
    <t xml:space="preserve">Eli Lilly &amp; Co</t>
  </si>
  <si>
    <t xml:space="preserve">https://icons.brapi.dev/icons/LILY34.svg</t>
  </si>
  <si>
    <t xml:space="preserve">LKFT34</t>
  </si>
  <si>
    <t xml:space="preserve">Lakefront Biotherapeutics</t>
  </si>
  <si>
    <t xml:space="preserve">https://icons.brapi.dev/icons/LKFT34.svg</t>
  </si>
  <si>
    <t xml:space="preserve">LMTB34</t>
  </si>
  <si>
    <t xml:space="preserve">Lockheed Martin Corporation</t>
  </si>
  <si>
    <t xml:space="preserve">https://icons.brapi.dev/icons/LMTB34.svg</t>
  </si>
  <si>
    <t xml:space="preserve">LOWC34</t>
  </si>
  <si>
    <t xml:space="preserve">Lowe's Companies Inc</t>
  </si>
  <si>
    <t xml:space="preserve">https://icons.brapi.dev/icons/LOWC34.svg</t>
  </si>
  <si>
    <t xml:space="preserve">M1AA34</t>
  </si>
  <si>
    <t xml:space="preserve">Mid-America Apartment Communities Inc</t>
  </si>
  <si>
    <t xml:space="preserve">https://icons.brapi.dev/icons/M1AA34.svg</t>
  </si>
  <si>
    <t xml:space="preserve">M1CB34</t>
  </si>
  <si>
    <t xml:space="preserve">Molson Coors Beverage Company</t>
  </si>
  <si>
    <t xml:space="preserve">https://icons.brapi.dev/icons/M1CB34.svg</t>
  </si>
  <si>
    <t xml:space="preserve">M1CH34</t>
  </si>
  <si>
    <t xml:space="preserve">Microchip Technology Incorporated</t>
  </si>
  <si>
    <t xml:space="preserve">https://icons.brapi.dev/icons/M1CH34.svg</t>
  </si>
  <si>
    <t xml:space="preserve">M1CK34</t>
  </si>
  <si>
    <t xml:space="preserve">McKesson Corp</t>
  </si>
  <si>
    <t xml:space="preserve">https://icons.brapi.dev/icons/M1CK34.svg</t>
  </si>
  <si>
    <t xml:space="preserve">M1DB34</t>
  </si>
  <si>
    <t xml:space="preserve">MongoDB, Inc.</t>
  </si>
  <si>
    <t xml:space="preserve">https://icons.brapi.dev/icons/M1DB34.svg</t>
  </si>
  <si>
    <t xml:space="preserve">M1GM34</t>
  </si>
  <si>
    <t xml:space="preserve">MGM Resorts International</t>
  </si>
  <si>
    <t xml:space="preserve">https://icons.brapi.dev/icons/M1GM34.svg</t>
  </si>
  <si>
    <t xml:space="preserve">M1LC34</t>
  </si>
  <si>
    <t xml:space="preserve">Melco Resorts &amp; Entertainment Ltd.</t>
  </si>
  <si>
    <t xml:space="preserve">https://icons.brapi.dev/icons/M1LC34.svg</t>
  </si>
  <si>
    <t xml:space="preserve">M1LM34</t>
  </si>
  <si>
    <t xml:space="preserve">Martin Marietta Materials, Inc.</t>
  </si>
  <si>
    <t xml:space="preserve">https://icons.brapi.dev/icons/M1LM34.svg</t>
  </si>
  <si>
    <t xml:space="preserve">M1MC34</t>
  </si>
  <si>
    <t xml:space="preserve">Marsh &amp; McLennan Cos Inc</t>
  </si>
  <si>
    <t xml:space="preserve">https://icons.brapi.dev/icons/M1MC34.svg</t>
  </si>
  <si>
    <t xml:space="preserve">M1NS34</t>
  </si>
  <si>
    <t xml:space="preserve">Monster Beverage Corporation</t>
  </si>
  <si>
    <t xml:space="preserve">https://icons.brapi.dev/icons/M1NS34.svg</t>
  </si>
  <si>
    <t xml:space="preserve">M1PC34</t>
  </si>
  <si>
    <t xml:space="preserve">Marathon Petroleum Corporation</t>
  </si>
  <si>
    <t xml:space="preserve">https://icons.brapi.dev/icons/M1PC34.svg</t>
  </si>
  <si>
    <t xml:space="preserve">M1RN34</t>
  </si>
  <si>
    <t xml:space="preserve">Moderna, Inc.</t>
  </si>
  <si>
    <t xml:space="preserve">https://icons.brapi.dev/icons/M1RN34.svg</t>
  </si>
  <si>
    <t xml:space="preserve">M1SI34</t>
  </si>
  <si>
    <t xml:space="preserve">Motorola Solutions Inc</t>
  </si>
  <si>
    <t xml:space="preserve">https://icons.brapi.dev/icons/M1SI34.svg</t>
  </si>
  <si>
    <t xml:space="preserve">M1TA34</t>
  </si>
  <si>
    <t xml:space="preserve">Meta Platforms Inc</t>
  </si>
  <si>
    <t xml:space="preserve">https://icons.brapi.dev/icons/M1TA34.svg</t>
  </si>
  <si>
    <t xml:space="preserve">M1TC34</t>
  </si>
  <si>
    <t xml:space="preserve">Match Group, Inc.</t>
  </si>
  <si>
    <t xml:space="preserve">https://icons.brapi.dev/icons/M1TC34.svg</t>
  </si>
  <si>
    <t xml:space="preserve">M1TT34</t>
  </si>
  <si>
    <t xml:space="preserve">Marriott International, Inc. (New)</t>
  </si>
  <si>
    <t xml:space="preserve">https://icons.brapi.dev/icons/M1TT34.svg</t>
  </si>
  <si>
    <t xml:space="preserve">M1UF34</t>
  </si>
  <si>
    <t xml:space="preserve">Mitsubishi UFJ Financial Group, Inc.</t>
  </si>
  <si>
    <t xml:space="preserve">https://icons.brapi.dev/icons/M1UF34.svg</t>
  </si>
  <si>
    <t xml:space="preserve">M2KS34</t>
  </si>
  <si>
    <t xml:space="preserve">MKS Inc</t>
  </si>
  <si>
    <t xml:space="preserve">https://icons.brapi.dev/icons/M2KS34.svg</t>
  </si>
  <si>
    <t xml:space="preserve">M2PM34</t>
  </si>
  <si>
    <t xml:space="preserve">MP Materials Corp</t>
  </si>
  <si>
    <t xml:space="preserve">https://icons.brapi.dev/icons/M2PM34.svg</t>
  </si>
  <si>
    <t xml:space="preserve">M2PR34</t>
  </si>
  <si>
    <t xml:space="preserve">Monolithic Power Systems, Inc.</t>
  </si>
  <si>
    <t xml:space="preserve">https://icons.brapi.dev/icons/M2PR34.svg</t>
  </si>
  <si>
    <t xml:space="preserve">M2PT34</t>
  </si>
  <si>
    <t xml:space="preserve">Medical Properties Trust, Inc.</t>
  </si>
  <si>
    <t xml:space="preserve">https://icons.brapi.dev/icons/M2PT34.svg</t>
  </si>
  <si>
    <t xml:space="preserve">M2RV34</t>
  </si>
  <si>
    <t xml:space="preserve">Marvell Technology, Inc.</t>
  </si>
  <si>
    <t xml:space="preserve">https://icons.brapi.dev/icons/M2RV34.svg</t>
  </si>
  <si>
    <t xml:space="preserve">M2ST34</t>
  </si>
  <si>
    <t xml:space="preserve">Strategy Inc -A-</t>
  </si>
  <si>
    <t xml:space="preserve">https://icons.brapi.dev/icons/M2ST34.svg</t>
  </si>
  <si>
    <t xml:space="preserve">MACY34</t>
  </si>
  <si>
    <t xml:space="preserve">Macy's, Inc.</t>
  </si>
  <si>
    <t xml:space="preserve">https://icons.brapi.dev/icons/MACY34.svg</t>
  </si>
  <si>
    <t xml:space="preserve">MCDC34</t>
  </si>
  <si>
    <t xml:space="preserve">McDonald's Corporation</t>
  </si>
  <si>
    <t xml:space="preserve">https://icons.brapi.dev/icons/MCDC34.svg</t>
  </si>
  <si>
    <t xml:space="preserve">MCOR34</t>
  </si>
  <si>
    <t xml:space="preserve">Moody's Corp</t>
  </si>
  <si>
    <t xml:space="preserve">https://icons.brapi.dev/icons/MCOR34.svg</t>
  </si>
  <si>
    <t xml:space="preserve">MDLZ34</t>
  </si>
  <si>
    <t xml:space="preserve">Mondelez International Inc</t>
  </si>
  <si>
    <t xml:space="preserve">https://icons.brapi.dev/icons/MDLZ34.svg</t>
  </si>
  <si>
    <t xml:space="preserve">MDTC34</t>
  </si>
  <si>
    <t xml:space="preserve">Medtronic PLC</t>
  </si>
  <si>
    <t xml:space="preserve">https://icons.brapi.dev/icons/MDTC34.svg</t>
  </si>
  <si>
    <t xml:space="preserve">MELI34</t>
  </si>
  <si>
    <t xml:space="preserve">MercadoLibre, Inc.</t>
  </si>
  <si>
    <t xml:space="preserve">https://icons.brapi.dev/icons/MELI34.svg</t>
  </si>
  <si>
    <t xml:space="preserve">METB34</t>
  </si>
  <si>
    <t xml:space="preserve">MetLife, Inc.</t>
  </si>
  <si>
    <t xml:space="preserve">https://icons.brapi.dev/icons/METB34.svg</t>
  </si>
  <si>
    <t xml:space="preserve">MKLC34</t>
  </si>
  <si>
    <t xml:space="preserve">Markel Group Inc.</t>
  </si>
  <si>
    <t xml:space="preserve">https://icons.brapi.dev/icons/MKLC34.svg</t>
  </si>
  <si>
    <t xml:space="preserve">MMMC34</t>
  </si>
  <si>
    <t xml:space="preserve">3M Company</t>
  </si>
  <si>
    <t xml:space="preserve">https://icons.brapi.dev/icons/MMMC34.svg</t>
  </si>
  <si>
    <t xml:space="preserve">MOOO34</t>
  </si>
  <si>
    <t xml:space="preserve">Altria Group Inc</t>
  </si>
  <si>
    <t xml:space="preserve">https://icons.brapi.dev/icons/MOOO34.svg</t>
  </si>
  <si>
    <t xml:space="preserve">MOSC34</t>
  </si>
  <si>
    <t xml:space="preserve">Mosaic Co</t>
  </si>
  <si>
    <t xml:space="preserve">https://icons.brapi.dev/icons/MOSC34.svg</t>
  </si>
  <si>
    <t xml:space="preserve">MOTB39</t>
  </si>
  <si>
    <t xml:space="preserve">VANECK MORNINGSTAR WIDE MOAT ETF</t>
  </si>
  <si>
    <t xml:space="preserve">https://icons.brapi.dev/icons/MOTB39.svg</t>
  </si>
  <si>
    <t xml:space="preserve">MRCK34</t>
  </si>
  <si>
    <t xml:space="preserve">Merck &amp; Co., Inc.</t>
  </si>
  <si>
    <t xml:space="preserve">https://icons.brapi.dev/icons/MRCK34.svg</t>
  </si>
  <si>
    <t xml:space="preserve">MSBR34</t>
  </si>
  <si>
    <t xml:space="preserve">Morgan Stanley</t>
  </si>
  <si>
    <t xml:space="preserve">https://icons.brapi.dev/icons/MSBR34.svg</t>
  </si>
  <si>
    <t xml:space="preserve">MSCD34</t>
  </si>
  <si>
    <t xml:space="preserve">Mastercard Inc</t>
  </si>
  <si>
    <t xml:space="preserve">https://icons.brapi.dev/icons/MSCD34.svg</t>
  </si>
  <si>
    <t xml:space="preserve">MSFT34</t>
  </si>
  <si>
    <t xml:space="preserve">Microsoft Corp</t>
  </si>
  <si>
    <t xml:space="preserve">https://icons.brapi.dev/icons/MSFT34.svg</t>
  </si>
  <si>
    <t xml:space="preserve">MUTC34</t>
  </si>
  <si>
    <t xml:space="preserve">Micron Technology Inc</t>
  </si>
  <si>
    <t xml:space="preserve">https://icons.brapi.dev/icons/MUTC34.svg</t>
  </si>
  <si>
    <t xml:space="preserve">N1BI34</t>
  </si>
  <si>
    <t xml:space="preserve">Neurocrine Biosciences, Inc.</t>
  </si>
  <si>
    <t xml:space="preserve">https://icons.brapi.dev/icons/N1BI34.svg</t>
  </si>
  <si>
    <t xml:space="preserve">N1CL34</t>
  </si>
  <si>
    <t xml:space="preserve">Norwegian Cruise Line Holdings Ltd.</t>
  </si>
  <si>
    <t xml:space="preserve">https://icons.brapi.dev/icons/N1CL34.svg</t>
  </si>
  <si>
    <t xml:space="preserve">N1DA34</t>
  </si>
  <si>
    <t xml:space="preserve">Nasdaq, Inc.</t>
  </si>
  <si>
    <t xml:space="preserve">https://icons.brapi.dev/icons/N1DA34.svg</t>
  </si>
  <si>
    <t xml:space="preserve">N1EM34</t>
  </si>
  <si>
    <t xml:space="preserve">Newmont Corporation</t>
  </si>
  <si>
    <t xml:space="preserve">https://icons.brapi.dev/icons/N1EM34.svg</t>
  </si>
  <si>
    <t xml:space="preserve">N1GG34</t>
  </si>
  <si>
    <t xml:space="preserve">National Grid PLC</t>
  </si>
  <si>
    <t xml:space="preserve">https://icons.brapi.dev/icons/N1GG34.svg</t>
  </si>
  <si>
    <t xml:space="preserve">N1IC34</t>
  </si>
  <si>
    <t xml:space="preserve">NICE Ltd.</t>
  </si>
  <si>
    <t xml:space="preserve">https://icons.brapi.dev/icons/N1IC34.svg</t>
  </si>
  <si>
    <t xml:space="preserve">N1IS34</t>
  </si>
  <si>
    <t xml:space="preserve">Nisource Inc</t>
  </si>
  <si>
    <t xml:space="preserve">https://icons.brapi.dev/icons/N1IS34.svg</t>
  </si>
  <si>
    <t xml:space="preserve">N1OV34</t>
  </si>
  <si>
    <t xml:space="preserve">NOV Inc.</t>
  </si>
  <si>
    <t xml:space="preserve">https://icons.brapi.dev/icons/N1OV34.svg</t>
  </si>
  <si>
    <t xml:space="preserve">N1OW34</t>
  </si>
  <si>
    <t xml:space="preserve">ServiceNow, Inc.</t>
  </si>
  <si>
    <t xml:space="preserve">https://icons.brapi.dev/icons/N1OW34.svg</t>
  </si>
  <si>
    <t xml:space="preserve">N1RG34</t>
  </si>
  <si>
    <t xml:space="preserve">NRG Energy Inc</t>
  </si>
  <si>
    <t xml:space="preserve">https://icons.brapi.dev/icons/N1RG34.svg</t>
  </si>
  <si>
    <t xml:space="preserve">N1TA34</t>
  </si>
  <si>
    <t xml:space="preserve">NetApp Inc</t>
  </si>
  <si>
    <t xml:space="preserve">https://icons.brapi.dev/icons/N1TA34.svg</t>
  </si>
  <si>
    <t xml:space="preserve">N1UE34</t>
  </si>
  <si>
    <t xml:space="preserve">Nucor Corporation</t>
  </si>
  <si>
    <t xml:space="preserve">https://icons.brapi.dev/icons/N1UE34.svg</t>
  </si>
  <si>
    <t xml:space="preserve">N1VO34</t>
  </si>
  <si>
    <t xml:space="preserve">Novo Nordisk A/S</t>
  </si>
  <si>
    <t xml:space="preserve">https://icons.brapi.dev/icons/N1VO34.svg</t>
  </si>
  <si>
    <t xml:space="preserve">N1VS34</t>
  </si>
  <si>
    <t xml:space="preserve">Novartis AG</t>
  </si>
  <si>
    <t xml:space="preserve">https://icons.brapi.dev/icons/N1VS34.svg</t>
  </si>
  <si>
    <t xml:space="preserve">N1WG34</t>
  </si>
  <si>
    <t xml:space="preserve">NatWest Group Plc</t>
  </si>
  <si>
    <t xml:space="preserve">https://icons.brapi.dev/icons/N1WG34.svg</t>
  </si>
  <si>
    <t xml:space="preserve">N1XP34</t>
  </si>
  <si>
    <t xml:space="preserve">NXP Semiconductors N.V.</t>
  </si>
  <si>
    <t xml:space="preserve">https://icons.brapi.dev/icons/N1XP34.svg</t>
  </si>
  <si>
    <t xml:space="preserve">N2ET34</t>
  </si>
  <si>
    <t xml:space="preserve">Cloudflare Inc</t>
  </si>
  <si>
    <t xml:space="preserve">https://icons.brapi.dev/icons/N2ET34.svg</t>
  </si>
  <si>
    <t xml:space="preserve">N2LY34</t>
  </si>
  <si>
    <t xml:space="preserve">Annaly Capital Management, Inc.</t>
  </si>
  <si>
    <t xml:space="preserve">https://icons.brapi.dev/icons/N2LY34.svg</t>
  </si>
  <si>
    <t xml:space="preserve">N2TN34</t>
  </si>
  <si>
    <t xml:space="preserve">Nutanix, Inc.</t>
  </si>
  <si>
    <t xml:space="preserve">https://icons.brapi.dev/icons/N2TN34.svg</t>
  </si>
  <si>
    <t xml:space="preserve">N2VC34</t>
  </si>
  <si>
    <t xml:space="preserve">NovoCure Ltd.</t>
  </si>
  <si>
    <t xml:space="preserve">https://icons.brapi.dev/icons/N2VC34.svg</t>
  </si>
  <si>
    <t xml:space="preserve">NETE34</t>
  </si>
  <si>
    <t xml:space="preserve">Netease Inc</t>
  </si>
  <si>
    <t xml:space="preserve">https://icons.brapi.dev/icons/NETE34.svg</t>
  </si>
  <si>
    <t xml:space="preserve">NEXT34</t>
  </si>
  <si>
    <t xml:space="preserve">NextEra Energy, Inc.</t>
  </si>
  <si>
    <t xml:space="preserve">https://icons.brapi.dev/icons/NEXT34.svg</t>
  </si>
  <si>
    <t xml:space="preserve">NFLX34</t>
  </si>
  <si>
    <t xml:space="preserve">Netflix, Inc.</t>
  </si>
  <si>
    <t xml:space="preserve">https://icons.brapi.dev/icons/NFLX34.svg</t>
  </si>
  <si>
    <t xml:space="preserve">NIKE34</t>
  </si>
  <si>
    <t xml:space="preserve">NIKE, Inc.</t>
  </si>
  <si>
    <t xml:space="preserve">https://icons.brapi.dev/icons/NIKE34.svg</t>
  </si>
  <si>
    <t xml:space="preserve">NOCG34</t>
  </si>
  <si>
    <t xml:space="preserve">Northrop Grumman Corp</t>
  </si>
  <si>
    <t xml:space="preserve">https://icons.brapi.dev/icons/NOCG34.svg</t>
  </si>
  <si>
    <t xml:space="preserve">NOKI34</t>
  </si>
  <si>
    <t xml:space="preserve">Nokia Oyj</t>
  </si>
  <si>
    <t xml:space="preserve">https://icons.brapi.dev/icons/NOKI34.svg</t>
  </si>
  <si>
    <t xml:space="preserve">NVDC34</t>
  </si>
  <si>
    <t xml:space="preserve">NVIDIA Corporation</t>
  </si>
  <si>
    <t xml:space="preserve">https://icons.brapi.dev/icons/NVDC34.svg</t>
  </si>
  <si>
    <t xml:space="preserve">O1KT34</t>
  </si>
  <si>
    <t xml:space="preserve">Okta, Inc.</t>
  </si>
  <si>
    <t xml:space="preserve">https://icons.brapi.dev/icons/O1KT34.svg</t>
  </si>
  <si>
    <t xml:space="preserve">O1MC34</t>
  </si>
  <si>
    <t xml:space="preserve">Omnicom Group Inc</t>
  </si>
  <si>
    <t xml:space="preserve">https://icons.brapi.dev/icons/O1MC34.svg</t>
  </si>
  <si>
    <t xml:space="preserve">O1TI34</t>
  </si>
  <si>
    <t xml:space="preserve">Otis Worldwide Corporation</t>
  </si>
  <si>
    <t xml:space="preserve">https://icons.brapi.dev/icons/O1TI34.svg</t>
  </si>
  <si>
    <t xml:space="preserve">O2HI34</t>
  </si>
  <si>
    <t xml:space="preserve">Omega Healthcare Investors Inc</t>
  </si>
  <si>
    <t xml:space="preserve">https://icons.brapi.dev/icons/O2HI34.svg</t>
  </si>
  <si>
    <t xml:space="preserve">O2LE34</t>
  </si>
  <si>
    <t xml:space="preserve">Universal Display Corp</t>
  </si>
  <si>
    <t xml:space="preserve">https://icons.brapi.dev/icons/O2LE34.svg</t>
  </si>
  <si>
    <t xml:space="preserve">O2NS34</t>
  </si>
  <si>
    <t xml:space="preserve">ON Semiconductor Corporation</t>
  </si>
  <si>
    <t xml:space="preserve">https://icons.brapi.dev/icons/O2NS34.svg</t>
  </si>
  <si>
    <t xml:space="preserve">ORBX39</t>
  </si>
  <si>
    <t xml:space="preserve">Global X Space Tech ETF</t>
  </si>
  <si>
    <t xml:space="preserve">https://icons.brapi.dev/icons/ORBX39.svg</t>
  </si>
  <si>
    <t xml:space="preserve">ORCL34</t>
  </si>
  <si>
    <t xml:space="preserve">Oracle Corp</t>
  </si>
  <si>
    <t xml:space="preserve">https://icons.brapi.dev/icons/ORCL34.svg</t>
  </si>
  <si>
    <t xml:space="preserve">ORLY34</t>
  </si>
  <si>
    <t xml:space="preserve">O'Reilly Automotive Inc</t>
  </si>
  <si>
    <t xml:space="preserve">https://icons.brapi.dev/icons/ORLY34.svg</t>
  </si>
  <si>
    <t xml:space="preserve">OXYP34</t>
  </si>
  <si>
    <t xml:space="preserve">Occidental Petroleum Corp</t>
  </si>
  <si>
    <t xml:space="preserve">https://icons.brapi.dev/icons/OXYP34.svg</t>
  </si>
  <si>
    <t xml:space="preserve">P1AC34</t>
  </si>
  <si>
    <t xml:space="preserve">PACCAR Inc</t>
  </si>
  <si>
    <t xml:space="preserve">https://icons.brapi.dev/icons/P1AC34.svg</t>
  </si>
  <si>
    <t xml:space="preserve">P1AY34</t>
  </si>
  <si>
    <t xml:space="preserve">Paychex, Inc.</t>
  </si>
  <si>
    <t xml:space="preserve">https://icons.brapi.dev/icons/P1AY34.svg</t>
  </si>
  <si>
    <t xml:space="preserve">P1DD34</t>
  </si>
  <si>
    <t xml:space="preserve">PDD Holdings Inc.</t>
  </si>
  <si>
    <t xml:space="preserve">https://icons.brapi.dev/icons/P1DD34.svg</t>
  </si>
  <si>
    <t xml:space="preserve">P1DT34</t>
  </si>
  <si>
    <t xml:space="preserve">Prudential Financial, Inc.</t>
  </si>
  <si>
    <t xml:space="preserve">https://icons.brapi.dev/icons/P1DT34.svg</t>
  </si>
  <si>
    <t xml:space="preserve">P1EA34</t>
  </si>
  <si>
    <t xml:space="preserve">Healthpeak Properties, Inc.</t>
  </si>
  <si>
    <t xml:space="preserve">https://icons.brapi.dev/icons/P1EA34.svg</t>
  </si>
  <si>
    <t xml:space="preserve">P1GR34</t>
  </si>
  <si>
    <t xml:space="preserve">Progressive Corp</t>
  </si>
  <si>
    <t xml:space="preserve">https://icons.brapi.dev/icons/P1GR34.svg</t>
  </si>
  <si>
    <t xml:space="preserve">P1HC34</t>
  </si>
  <si>
    <t xml:space="preserve">Parker-Hannifin Corp</t>
  </si>
  <si>
    <t xml:space="preserve">https://icons.brapi.dev/icons/P1HC34.svg</t>
  </si>
  <si>
    <t xml:space="preserve">P1KX34</t>
  </si>
  <si>
    <t xml:space="preserve">POSCO Holdings Inc.</t>
  </si>
  <si>
    <t xml:space="preserve">https://icons.brapi.dev/icons/P1KX34.svg</t>
  </si>
  <si>
    <t xml:space="preserve">P1LD34</t>
  </si>
  <si>
    <t xml:space="preserve">Prologis, Inc.</t>
  </si>
  <si>
    <t xml:space="preserve">https://icons.brapi.dev/icons/P1LD34.svg</t>
  </si>
  <si>
    <t xml:space="preserve">P1PG34</t>
  </si>
  <si>
    <t xml:space="preserve">PPG Industries, Inc.</t>
  </si>
  <si>
    <t xml:space="preserve">https://icons.brapi.dev/icons/P1PG34.svg</t>
  </si>
  <si>
    <t xml:space="preserve">P1RG34</t>
  </si>
  <si>
    <t xml:space="preserve">Perrigo Company PLC</t>
  </si>
  <si>
    <t xml:space="preserve">https://icons.brapi.dev/icons/P1RG34.svg</t>
  </si>
  <si>
    <t xml:space="preserve">P1SA34</t>
  </si>
  <si>
    <t xml:space="preserve">Public Storage</t>
  </si>
  <si>
    <t xml:space="preserve">https://icons.brapi.dev/icons/P1SA34.svg</t>
  </si>
  <si>
    <t xml:space="preserve">P1SX34</t>
  </si>
  <si>
    <t xml:space="preserve">Phillips 66</t>
  </si>
  <si>
    <t xml:space="preserve">https://icons.brapi.dev/icons/P1SX34.svg</t>
  </si>
  <si>
    <t xml:space="preserve">P1UK34</t>
  </si>
  <si>
    <t xml:space="preserve">Prudential PLC</t>
  </si>
  <si>
    <t xml:space="preserve">https://icons.brapi.dev/icons/P1UK34.svg</t>
  </si>
  <si>
    <t xml:space="preserve">P1YC34</t>
  </si>
  <si>
    <t xml:space="preserve">Paycom Software, Inc.</t>
  </si>
  <si>
    <t xml:space="preserve">https://icons.brapi.dev/icons/P1YC34.svg</t>
  </si>
  <si>
    <t xml:space="preserve">P2AN34</t>
  </si>
  <si>
    <t xml:space="preserve">Palo Alto Networks, Inc.</t>
  </si>
  <si>
    <t xml:space="preserve">https://icons.brapi.dev/icons/P2AN34.svg</t>
  </si>
  <si>
    <t xml:space="preserve">P2AT34</t>
  </si>
  <si>
    <t xml:space="preserve">UiPath, Inc.</t>
  </si>
  <si>
    <t xml:space="preserve">https://icons.brapi.dev/icons/P2AT34.svg</t>
  </si>
  <si>
    <t xml:space="preserve">P2AX34</t>
  </si>
  <si>
    <t xml:space="preserve">Patria Investments Ltd.</t>
  </si>
  <si>
    <t xml:space="preserve">https://icons.brapi.dev/icons/P2AX34.svg</t>
  </si>
  <si>
    <t xml:space="preserve">P2CF34</t>
  </si>
  <si>
    <t xml:space="preserve">Grupo Aeroportuario del Pacifico SAB de CV</t>
  </si>
  <si>
    <t xml:space="preserve">https://icons.brapi.dev/icons/P2CF34.svg</t>
  </si>
  <si>
    <t xml:space="preserve">P2CY34</t>
  </si>
  <si>
    <t xml:space="preserve">Paylocity Holding Corp</t>
  </si>
  <si>
    <t xml:space="preserve">https://icons.brapi.dev/icons/P2CY34.svg</t>
  </si>
  <si>
    <t xml:space="preserve">P2EN34</t>
  </si>
  <si>
    <t xml:space="preserve">PENN Entertainment, Inc.</t>
  </si>
  <si>
    <t xml:space="preserve">https://icons.brapi.dev/icons/P2EN34.svg</t>
  </si>
  <si>
    <t xml:space="preserve">P2IN34</t>
  </si>
  <si>
    <t xml:space="preserve">Pinterest, Inc.</t>
  </si>
  <si>
    <t xml:space="preserve">https://icons.brapi.dev/icons/P2IN34.svg</t>
  </si>
  <si>
    <t xml:space="preserve">P2LT34</t>
  </si>
  <si>
    <t xml:space="preserve">Palantir Technologies Inc.</t>
  </si>
  <si>
    <t xml:space="preserve">https://icons.brapi.dev/icons/P2LT34.svg</t>
  </si>
  <si>
    <t xml:space="preserve">P2OS34</t>
  </si>
  <si>
    <t xml:space="preserve">Post Holdings, Inc.</t>
  </si>
  <si>
    <t xml:space="preserve">https://icons.brapi.dev/icons/P2OS34.svg</t>
  </si>
  <si>
    <t xml:space="preserve">P2ST34</t>
  </si>
  <si>
    <t xml:space="preserve">Everpure, Inc.</t>
  </si>
  <si>
    <t xml:space="preserve">https://icons.brapi.dev/icons/P2ST34.svg</t>
  </si>
  <si>
    <t xml:space="preserve">P2TC34</t>
  </si>
  <si>
    <t xml:space="preserve">PTC Inc.</t>
  </si>
  <si>
    <t xml:space="preserve">https://icons.brapi.dev/icons/P2TC34.svg</t>
  </si>
  <si>
    <t xml:space="preserve">PAGS34</t>
  </si>
  <si>
    <t xml:space="preserve">PagSeguro Digital Ltd.</t>
  </si>
  <si>
    <t xml:space="preserve">https://icons.brapi.dev/icons/PAGS34.svg</t>
  </si>
  <si>
    <t xml:space="preserve">PEPB34</t>
  </si>
  <si>
    <t xml:space="preserve">PepsiCo, Inc.</t>
  </si>
  <si>
    <t xml:space="preserve">https://icons.brapi.dev/icons/PEPB34.svg</t>
  </si>
  <si>
    <t xml:space="preserve">PFIZ34</t>
  </si>
  <si>
    <t xml:space="preserve">Pfizer Inc</t>
  </si>
  <si>
    <t xml:space="preserve">https://icons.brapi.dev/icons/PFIZ34.svg</t>
  </si>
  <si>
    <t xml:space="preserve">PGCO34</t>
  </si>
  <si>
    <t xml:space="preserve">Procter &amp; Gamble Co</t>
  </si>
  <si>
    <t xml:space="preserve">https://icons.brapi.dev/icons/PGCO34.svg</t>
  </si>
  <si>
    <t xml:space="preserve">PHGN34</t>
  </si>
  <si>
    <t xml:space="preserve">Koninklijke Philips N.V.</t>
  </si>
  <si>
    <t xml:space="preserve">https://icons.brapi.dev/icons/PHGN34.svg</t>
  </si>
  <si>
    <t xml:space="preserve">PHMO34</t>
  </si>
  <si>
    <t xml:space="preserve">Philip Morris International Inc</t>
  </si>
  <si>
    <t xml:space="preserve">https://icons.brapi.dev/icons/PHMO34.svg</t>
  </si>
  <si>
    <t xml:space="preserve">PNCS34</t>
  </si>
  <si>
    <t xml:space="preserve">PNC Financial Services Group Inc</t>
  </si>
  <si>
    <t xml:space="preserve">https://icons.brapi.dev/icons/PNCS34.svg</t>
  </si>
  <si>
    <t xml:space="preserve">PPLA11</t>
  </si>
  <si>
    <t xml:space="preserve">PPLA PARTICIPATIONS LTD.</t>
  </si>
  <si>
    <t xml:space="preserve">Unit de BDR</t>
  </si>
  <si>
    <t xml:space="preserve">11</t>
  </si>
  <si>
    <t xml:space="preserve">Unit composta por 1 BDR classe A + 2 BDRs classe B (não é BDR simples).</t>
  </si>
  <si>
    <t xml:space="preserve">https://icons.brapi.dev/icons/PPLA11.svg</t>
  </si>
  <si>
    <t xml:space="preserve">PRXB31</t>
  </si>
  <si>
    <t xml:space="preserve">PROSUS N.V.</t>
  </si>
  <si>
    <t xml:space="preserve">https://icons.brapi.dev/icons/PRXB31.svg</t>
  </si>
  <si>
    <t xml:space="preserve">PSKY34</t>
  </si>
  <si>
    <t xml:space="preserve">Paramount Skydance Corporation</t>
  </si>
  <si>
    <t xml:space="preserve">https://icons.brapi.dev/icons/PSKY34.svg</t>
  </si>
  <si>
    <t xml:space="preserve">PYPL34</t>
  </si>
  <si>
    <t xml:space="preserve">PayPal Holdings, Inc.</t>
  </si>
  <si>
    <t xml:space="preserve">https://icons.brapi.dev/icons/PYPL34.svg</t>
  </si>
  <si>
    <t xml:space="preserve">Q1RV34</t>
  </si>
  <si>
    <t xml:space="preserve">Qorvo, Inc.</t>
  </si>
  <si>
    <t xml:space="preserve">https://icons.brapi.dev/icons/Q1RV34.svg</t>
  </si>
  <si>
    <t xml:space="preserve">Q1UA34</t>
  </si>
  <si>
    <t xml:space="preserve">Quanta Services, Inc.</t>
  </si>
  <si>
    <t xml:space="preserve">https://icons.brapi.dev/icons/Q1UA34.svg</t>
  </si>
  <si>
    <t xml:space="preserve">Q1UE34</t>
  </si>
  <si>
    <t xml:space="preserve">Quest Diagnostics Incorporated</t>
  </si>
  <si>
    <t xml:space="preserve">https://icons.brapi.dev/icons/Q1UE34.svg</t>
  </si>
  <si>
    <t xml:space="preserve">Q2SC34</t>
  </si>
  <si>
    <t xml:space="preserve">QuantumScape Corporation</t>
  </si>
  <si>
    <t xml:space="preserve">https://icons.brapi.dev/icons/Q2SC34.svg</t>
  </si>
  <si>
    <t xml:space="preserve">QCOM34</t>
  </si>
  <si>
    <t xml:space="preserve">QUALCOMM Incorporated</t>
  </si>
  <si>
    <t xml:space="preserve">https://icons.brapi.dev/icons/QCOM34.svg</t>
  </si>
  <si>
    <t xml:space="preserve">QTOP39</t>
  </si>
  <si>
    <t xml:space="preserve">ISHARES NASDAQ TOP 30 STOCKS ETF</t>
  </si>
  <si>
    <t xml:space="preserve">https://icons.brapi.dev/icons/QTOP39.svg</t>
  </si>
  <si>
    <t xml:space="preserve">QUBT34</t>
  </si>
  <si>
    <t xml:space="preserve">Quantum Computing Inc</t>
  </si>
  <si>
    <t xml:space="preserve">https://icons.brapi.dev/icons/QUBT34.svg</t>
  </si>
  <si>
    <t xml:space="preserve">R1CL34</t>
  </si>
  <si>
    <t xml:space="preserve">Royal Caribbean Cruises Ltd</t>
  </si>
  <si>
    <t xml:space="preserve">https://icons.brapi.dev/icons/R1CL34.svg</t>
  </si>
  <si>
    <t xml:space="preserve">R1FC34</t>
  </si>
  <si>
    <t xml:space="preserve">Regions Financial Corporation</t>
  </si>
  <si>
    <t xml:space="preserve">https://icons.brapi.dev/icons/R1FC34.svg</t>
  </si>
  <si>
    <t xml:space="preserve">R1HI34</t>
  </si>
  <si>
    <t xml:space="preserve">Robert Half Inc.</t>
  </si>
  <si>
    <t xml:space="preserve">https://icons.brapi.dev/icons/R1HI34.svg</t>
  </si>
  <si>
    <t xml:space="preserve">R1HP34</t>
  </si>
  <si>
    <t xml:space="preserve">Ryman Hospitality Properties Inc</t>
  </si>
  <si>
    <t xml:space="preserve">https://icons.brapi.dev/icons/R1HP34.svg</t>
  </si>
  <si>
    <t xml:space="preserve">R1IN34</t>
  </si>
  <si>
    <t xml:space="preserve">Realty Income Corp</t>
  </si>
  <si>
    <t xml:space="preserve">https://icons.brapi.dev/icons/R1IN34.svg</t>
  </si>
  <si>
    <t xml:space="preserve">R1JF34</t>
  </si>
  <si>
    <t xml:space="preserve">Raymond James Financial Inc</t>
  </si>
  <si>
    <t xml:space="preserve">https://icons.brapi.dev/icons/R1JF34.svg</t>
  </si>
  <si>
    <t xml:space="preserve">R1KU34</t>
  </si>
  <si>
    <t xml:space="preserve">Roku, Inc.</t>
  </si>
  <si>
    <t xml:space="preserve">https://icons.brapi.dev/icons/R1KU34.svg</t>
  </si>
  <si>
    <t xml:space="preserve">R1LC34</t>
  </si>
  <si>
    <t xml:space="preserve">Ralph Lauren Corporation</t>
  </si>
  <si>
    <t xml:space="preserve">https://icons.brapi.dev/icons/R1LC34.svg</t>
  </si>
  <si>
    <t xml:space="preserve">R1OK34</t>
  </si>
  <si>
    <t xml:space="preserve">Rockwell Automation, Inc.</t>
  </si>
  <si>
    <t xml:space="preserve">https://icons.brapi.dev/icons/R1OK34.svg</t>
  </si>
  <si>
    <t xml:space="preserve">R1OL34</t>
  </si>
  <si>
    <t xml:space="preserve">Rollins Inc</t>
  </si>
  <si>
    <t xml:space="preserve">https://icons.brapi.dev/icons/R1OL34.svg</t>
  </si>
  <si>
    <t xml:space="preserve">R1OP34</t>
  </si>
  <si>
    <t xml:space="preserve">Roper Technologies, Inc.</t>
  </si>
  <si>
    <t xml:space="preserve">https://icons.brapi.dev/icons/R1OP34.svg</t>
  </si>
  <si>
    <t xml:space="preserve">R1SG34</t>
  </si>
  <si>
    <t xml:space="preserve">Republic Services Inc</t>
  </si>
  <si>
    <t xml:space="preserve">https://icons.brapi.dev/icons/R1SG34.svg</t>
  </si>
  <si>
    <t xml:space="preserve">R1YA34</t>
  </si>
  <si>
    <t xml:space="preserve">Ryanair Holdings PLC</t>
  </si>
  <si>
    <t xml:space="preserve">https://icons.brapi.dev/icons/R1YA34.svg</t>
  </si>
  <si>
    <t xml:space="preserve">R2AR34</t>
  </si>
  <si>
    <t xml:space="preserve">Ultragenyx Pharmaceutical Inc</t>
  </si>
  <si>
    <t xml:space="preserve">https://icons.brapi.dev/icons/R2AR34.svg</t>
  </si>
  <si>
    <t xml:space="preserve">R2BL34</t>
  </si>
  <si>
    <t xml:space="preserve">Roblox Corp.</t>
  </si>
  <si>
    <t xml:space="preserve">https://icons.brapi.dev/icons/R2BL34.svg</t>
  </si>
  <si>
    <t xml:space="preserve">R2HH34</t>
  </si>
  <si>
    <t xml:space="preserve">RH</t>
  </si>
  <si>
    <t xml:space="preserve">https://icons.brapi.dev/icons/R2HH34.svg</t>
  </si>
  <si>
    <t xml:space="preserve">R2NG34</t>
  </si>
  <si>
    <t xml:space="preserve">RingCentral, Inc.</t>
  </si>
  <si>
    <t xml:space="preserve">https://icons.brapi.dev/icons/R2NG34.svg</t>
  </si>
  <si>
    <t xml:space="preserve">R2PD34</t>
  </si>
  <si>
    <t xml:space="preserve">Rapid7 Inc</t>
  </si>
  <si>
    <t xml:space="preserve">https://icons.brapi.dev/icons/R2PD34.svg</t>
  </si>
  <si>
    <t xml:space="preserve">REGN34</t>
  </si>
  <si>
    <t xml:space="preserve">Regeneron Pharmaceuticals, Inc.Shs</t>
  </si>
  <si>
    <t xml:space="preserve">https://icons.brapi.dev/icons/REGN34.svg</t>
  </si>
  <si>
    <t xml:space="preserve">RGTI34</t>
  </si>
  <si>
    <t xml:space="preserve">Rigetti Computing, Inc.</t>
  </si>
  <si>
    <t xml:space="preserve">https://icons.brapi.dev/icons/RGTI34.svg</t>
  </si>
  <si>
    <t xml:space="preserve">RIGG34</t>
  </si>
  <si>
    <t xml:space="preserve">Transocean Ltd.</t>
  </si>
  <si>
    <t xml:space="preserve">https://icons.brapi.dev/icons/RIGG34.svg</t>
  </si>
  <si>
    <t xml:space="preserve">RIOT34</t>
  </si>
  <si>
    <t xml:space="preserve">Rio Tinto PLC</t>
  </si>
  <si>
    <t xml:space="preserve">https://icons.brapi.dev/icons/RIOT34.svg</t>
  </si>
  <si>
    <t xml:space="preserve">ROST34</t>
  </si>
  <si>
    <t xml:space="preserve">Ross Stores Inc</t>
  </si>
  <si>
    <t xml:space="preserve">https://icons.brapi.dev/icons/ROST34.svg</t>
  </si>
  <si>
    <t xml:space="preserve">ROXO34</t>
  </si>
  <si>
    <t xml:space="preserve">Nu Holdings Ltd.</t>
  </si>
  <si>
    <t xml:space="preserve">https://icons.brapi.dev/icons/ROXO34.svg</t>
  </si>
  <si>
    <t xml:space="preserve">RSSL39</t>
  </si>
  <si>
    <t xml:space="preserve">GLOBAL X RUSSELL 2000 ETF</t>
  </si>
  <si>
    <t xml:space="preserve">https://icons.brapi.dev/icons/RSSL39.svg</t>
  </si>
  <si>
    <t xml:space="preserve">RYTT34</t>
  </si>
  <si>
    <t xml:space="preserve">RTX Corporation</t>
  </si>
  <si>
    <t xml:space="preserve">https://icons.brapi.dev/icons/RYTT34.svg</t>
  </si>
  <si>
    <t xml:space="preserve">S1BS34</t>
  </si>
  <si>
    <t xml:space="preserve">Sibanye Stillwater Limited</t>
  </si>
  <si>
    <t xml:space="preserve">https://icons.brapi.dev/icons/S1BS34.svg</t>
  </si>
  <si>
    <t xml:space="preserve">S1HW34</t>
  </si>
  <si>
    <t xml:space="preserve">Sherwin-Williams Company</t>
  </si>
  <si>
    <t xml:space="preserve">https://icons.brapi.dev/icons/S1HW34.svg</t>
  </si>
  <si>
    <t xml:space="preserve">S1KM34</t>
  </si>
  <si>
    <t xml:space="preserve">SK Telecom Co., Ltd.</t>
  </si>
  <si>
    <t xml:space="preserve">https://icons.brapi.dev/icons/S1KM34.svg</t>
  </si>
  <si>
    <t xml:space="preserve">S1LG34</t>
  </si>
  <si>
    <t xml:space="preserve">SL Green Realty Corporation</t>
  </si>
  <si>
    <t xml:space="preserve">https://icons.brapi.dev/icons/S1LG34.svg</t>
  </si>
  <si>
    <t xml:space="preserve">S1MF34</t>
  </si>
  <si>
    <t xml:space="preserve">Sumitomo Mitsui Financial Group, Inc.</t>
  </si>
  <si>
    <t xml:space="preserve">https://icons.brapi.dev/icons/S1MF34.svg</t>
  </si>
  <si>
    <t xml:space="preserve">S1NA34</t>
  </si>
  <si>
    <t xml:space="preserve">Snap-On Incorporated</t>
  </si>
  <si>
    <t xml:space="preserve">https://icons.brapi.dev/icons/S1NA34.svg</t>
  </si>
  <si>
    <t xml:space="preserve">S1NP34</t>
  </si>
  <si>
    <t xml:space="preserve">Synopsys Inc</t>
  </si>
  <si>
    <t xml:space="preserve">https://icons.brapi.dev/icons/S1NP34.svg</t>
  </si>
  <si>
    <t xml:space="preserve">S1OU34</t>
  </si>
  <si>
    <t xml:space="preserve">Southwest Airlines Co.</t>
  </si>
  <si>
    <t xml:space="preserve">https://icons.brapi.dev/icons/S1OU34.svg</t>
  </si>
  <si>
    <t xml:space="preserve">S1PO34</t>
  </si>
  <si>
    <t xml:space="preserve">Spotify Technology S.A.</t>
  </si>
  <si>
    <t xml:space="preserve">https://icons.brapi.dev/icons/S1PO34.svg</t>
  </si>
  <si>
    <t xml:space="preserve">S1RP34</t>
  </si>
  <si>
    <t xml:space="preserve">Sarepta Therapeutics, Inc.</t>
  </si>
  <si>
    <t xml:space="preserve">https://icons.brapi.dev/icons/S1RP34.svg</t>
  </si>
  <si>
    <t xml:space="preserve">S1SL34</t>
  </si>
  <si>
    <t xml:space="preserve">Skyworks Solutions, Inc.</t>
  </si>
  <si>
    <t xml:space="preserve">https://icons.brapi.dev/icons/S1SL34.svg</t>
  </si>
  <si>
    <t xml:space="preserve">S1TT34</t>
  </si>
  <si>
    <t xml:space="preserve">State Street Corporation</t>
  </si>
  <si>
    <t xml:space="preserve">https://icons.brapi.dev/icons/S1TT34.svg</t>
  </si>
  <si>
    <t xml:space="preserve">S1TX34</t>
  </si>
  <si>
    <t xml:space="preserve">Seagate Technology Holdings PLC</t>
  </si>
  <si>
    <t xml:space="preserve">https://icons.brapi.dev/icons/S1TX34.svg</t>
  </si>
  <si>
    <t xml:space="preserve">S1WK34</t>
  </si>
  <si>
    <t xml:space="preserve">Stanley Black &amp; Decker, Inc.</t>
  </si>
  <si>
    <t xml:space="preserve">https://icons.brapi.dev/icons/S1WK34.svg</t>
  </si>
  <si>
    <t xml:space="preserve">S1YF34</t>
  </si>
  <si>
    <t xml:space="preserve">Synchrony Financial</t>
  </si>
  <si>
    <t xml:space="preserve">https://icons.brapi.dev/icons/S1YF34.svg</t>
  </si>
  <si>
    <t xml:space="preserve">S1YK34</t>
  </si>
  <si>
    <t xml:space="preserve">Stryker Corporation</t>
  </si>
  <si>
    <t xml:space="preserve">https://icons.brapi.dev/icons/S1YK34.svg</t>
  </si>
  <si>
    <t xml:space="preserve">S1YM34</t>
  </si>
  <si>
    <t xml:space="preserve">Gen Digital Inc.</t>
  </si>
  <si>
    <t xml:space="preserve">https://icons.brapi.dev/icons/S1YM34.svg</t>
  </si>
  <si>
    <t xml:space="preserve">S1YY34</t>
  </si>
  <si>
    <t xml:space="preserve">Sysco Corp</t>
  </si>
  <si>
    <t xml:space="preserve">https://icons.brapi.dev/icons/S1YY34.svg</t>
  </si>
  <si>
    <t xml:space="preserve">S2CH34</t>
  </si>
  <si>
    <t xml:space="preserve">Sociedad Quimica y Minera de Chile SA SOQUIMICH</t>
  </si>
  <si>
    <t xml:space="preserve">https://icons.brapi.dev/icons/S2CH34.svg</t>
  </si>
  <si>
    <t xml:space="preserve">S2EA34</t>
  </si>
  <si>
    <t xml:space="preserve">Sea Limited</t>
  </si>
  <si>
    <t xml:space="preserve">https://icons.brapi.dev/icons/S2EA34.svg</t>
  </si>
  <si>
    <t xml:space="preserve">S2ED34</t>
  </si>
  <si>
    <t xml:space="preserve">SolarEdge Technologies, Inc.</t>
  </si>
  <si>
    <t xml:space="preserve">https://icons.brapi.dev/icons/S2ED34.svg</t>
  </si>
  <si>
    <t xml:space="preserve">S2EI34</t>
  </si>
  <si>
    <t xml:space="preserve">SEI Investments Company</t>
  </si>
  <si>
    <t xml:space="preserve">https://icons.brapi.dev/icons/S2EI34.svg</t>
  </si>
  <si>
    <t xml:space="preserve">S2FM34</t>
  </si>
  <si>
    <t xml:space="preserve">Sprouts Farmers Market, Inc.</t>
  </si>
  <si>
    <t xml:space="preserve">https://icons.brapi.dev/icons/S2FM34.svg</t>
  </si>
  <si>
    <t xml:space="preserve">S2GI34</t>
  </si>
  <si>
    <t xml:space="preserve">Somnigroup International Inc</t>
  </si>
  <si>
    <t xml:space="preserve">https://icons.brapi.dev/icons/S2GI34.svg</t>
  </si>
  <si>
    <t xml:space="preserve">S2GM34</t>
  </si>
  <si>
    <t xml:space="preserve">Sigma Lithium Corporation</t>
  </si>
  <si>
    <t xml:space="preserve">https://icons.brapi.dev/icons/S2GM34.svg</t>
  </si>
  <si>
    <t xml:space="preserve">S2HO34</t>
  </si>
  <si>
    <t xml:space="preserve">Shopify, Inc.</t>
  </si>
  <si>
    <t xml:space="preserve">https://icons.brapi.dev/icons/S2HO34.svg</t>
  </si>
  <si>
    <t xml:space="preserve">S2MP34</t>
  </si>
  <si>
    <t xml:space="preserve">Simply Good Foods Co</t>
  </si>
  <si>
    <t xml:space="preserve">https://icons.brapi.dev/icons/S2MP34.svg</t>
  </si>
  <si>
    <t xml:space="preserve">S2NA34</t>
  </si>
  <si>
    <t xml:space="preserve">Snap, Inc.</t>
  </si>
  <si>
    <t xml:space="preserve">https://icons.brapi.dev/icons/S2NA34.svg</t>
  </si>
  <si>
    <t xml:space="preserve">S2NW34</t>
  </si>
  <si>
    <t xml:space="preserve">Snowflake, Inc.</t>
  </si>
  <si>
    <t xml:space="preserve">https://icons.brapi.dev/icons/S2NW34.svg</t>
  </si>
  <si>
    <t xml:space="preserve">S2RE34</t>
  </si>
  <si>
    <t xml:space="preserve">Grupo Aeroportuario del Sureste SAB de CV</t>
  </si>
  <si>
    <t xml:space="preserve">https://icons.brapi.dev/icons/S2RE34.svg</t>
  </si>
  <si>
    <t xml:space="preserve">S2TA34</t>
  </si>
  <si>
    <t xml:space="preserve">STAG Industrial, Inc.</t>
  </si>
  <si>
    <t xml:space="preserve">https://icons.brapi.dev/icons/S2TA34.svg</t>
  </si>
  <si>
    <t xml:space="preserve">S2TW34</t>
  </si>
  <si>
    <t xml:space="preserve">Starwood Property Trust, Inc.</t>
  </si>
  <si>
    <t xml:space="preserve">https://icons.brapi.dev/icons/S2TW34.svg</t>
  </si>
  <si>
    <t xml:space="preserve">S2UI34</t>
  </si>
  <si>
    <t xml:space="preserve">Sun Communities, Inc.</t>
  </si>
  <si>
    <t xml:space="preserve">https://icons.brapi.dev/icons/S2UI34.svg</t>
  </si>
  <si>
    <t xml:space="preserve">S2YN34</t>
  </si>
  <si>
    <t xml:space="preserve">Synaptics Inc</t>
  </si>
  <si>
    <t xml:space="preserve">https://icons.brapi.dev/icons/S2YN34.svg</t>
  </si>
  <si>
    <t xml:space="preserve">SAPP34</t>
  </si>
  <si>
    <t xml:space="preserve">SAP SE</t>
  </si>
  <si>
    <t xml:space="preserve">https://icons.brapi.dev/icons/SAPP34.svg</t>
  </si>
  <si>
    <t xml:space="preserve">SBUB34</t>
  </si>
  <si>
    <t xml:space="preserve">Starbucks Corporation</t>
  </si>
  <si>
    <t xml:space="preserve">https://icons.brapi.dev/icons/SBUB34.svg</t>
  </si>
  <si>
    <t xml:space="preserve">SCHW34</t>
  </si>
  <si>
    <t xml:space="preserve">Charles Schwab Corp</t>
  </si>
  <si>
    <t xml:space="preserve">https://icons.brapi.dev/icons/SCHW34.svg</t>
  </si>
  <si>
    <t xml:space="preserve">SHLD39</t>
  </si>
  <si>
    <t xml:space="preserve">GLOBAL X DEFENSE TECH ETF</t>
  </si>
  <si>
    <t xml:space="preserve">https://icons.brapi.dev/icons/SHLD39.svg</t>
  </si>
  <si>
    <t xml:space="preserve">SIMN34</t>
  </si>
  <si>
    <t xml:space="preserve">Simon Property Group Inc</t>
  </si>
  <si>
    <t xml:space="preserve">https://icons.brapi.dev/icons/SIMN34.svg</t>
  </si>
  <si>
    <t xml:space="preserve">SIVR39</t>
  </si>
  <si>
    <t xml:space="preserve">ABRDN PHYSICAL SILVER SHARES ETF</t>
  </si>
  <si>
    <t xml:space="preserve">https://icons.brapi.dev/icons/SIVR39.svg</t>
  </si>
  <si>
    <t xml:space="preserve">SKHY34</t>
  </si>
  <si>
    <t xml:space="preserve">SK hynix Inc.</t>
  </si>
  <si>
    <t xml:space="preserve">https://icons.brapi.dev/icons/SKHY34.svg</t>
  </si>
  <si>
    <t xml:space="preserve">SLBG34</t>
  </si>
  <si>
    <t xml:space="preserve">SLB Limited</t>
  </si>
  <si>
    <t xml:space="preserve">https://icons.brapi.dev/icons/SLBG34.svg</t>
  </si>
  <si>
    <t xml:space="preserve">SNEC34</t>
  </si>
  <si>
    <t xml:space="preserve">Sony Group Corporation</t>
  </si>
  <si>
    <t xml:space="preserve">https://icons.brapi.dev/icons/SNEC34.svg</t>
  </si>
  <si>
    <t xml:space="preserve">SOLN39</t>
  </si>
  <si>
    <t xml:space="preserve">21SHARES SOLANA STAKING ETP</t>
  </si>
  <si>
    <t xml:space="preserve">https://icons.brapi.dev/icons/SOLN39.svg</t>
  </si>
  <si>
    <t xml:space="preserve">SPCX34</t>
  </si>
  <si>
    <t xml:space="preserve">Space Exploration Technologies Corp.</t>
  </si>
  <si>
    <t xml:space="preserve">https://icons.brapi.dev/icons/SPCX34.svg</t>
  </si>
  <si>
    <t xml:space="preserve">SPGI34</t>
  </si>
  <si>
    <t xml:space="preserve">S&amp;P Global Inc</t>
  </si>
  <si>
    <t xml:space="preserve">https://icons.brapi.dev/icons/SPGI34.svg</t>
  </si>
  <si>
    <t xml:space="preserve">SSFO34</t>
  </si>
  <si>
    <t xml:space="preserve">Salesforce, Inc.</t>
  </si>
  <si>
    <t xml:space="preserve">https://icons.brapi.dev/icons/SSFO34.svg</t>
  </si>
  <si>
    <t xml:space="preserve">STMN34</t>
  </si>
  <si>
    <t xml:space="preserve">STMicroelectronics NV</t>
  </si>
  <si>
    <t xml:space="preserve">https://icons.brapi.dev/icons/STMN34.svg</t>
  </si>
  <si>
    <t xml:space="preserve">STOC34</t>
  </si>
  <si>
    <t xml:space="preserve">StoneCo Ltd.</t>
  </si>
  <si>
    <t xml:space="preserve">https://icons.brapi.dev/icons/STOC34.svg</t>
  </si>
  <si>
    <t xml:space="preserve">STZB34</t>
  </si>
  <si>
    <t xml:space="preserve">Constellation Brands Inc</t>
  </si>
  <si>
    <t xml:space="preserve">https://icons.brapi.dev/icons/STZB34.svg</t>
  </si>
  <si>
    <t xml:space="preserve">T1AL34</t>
  </si>
  <si>
    <t xml:space="preserve">TAL Education Group</t>
  </si>
  <si>
    <t xml:space="preserve">https://icons.brapi.dev/icons/T1AL34.svg</t>
  </si>
  <si>
    <t xml:space="preserve">T1AM34</t>
  </si>
  <si>
    <t xml:space="preserve">Atlassian Corp</t>
  </si>
  <si>
    <t xml:space="preserve">https://icons.brapi.dev/icons/T1AM34.svg</t>
  </si>
  <si>
    <t xml:space="preserve">T1CH34</t>
  </si>
  <si>
    <t xml:space="preserve">Bio-Techne Corporation</t>
  </si>
  <si>
    <t xml:space="preserve">https://icons.brapi.dev/icons/T1CH34.svg</t>
  </si>
  <si>
    <t xml:space="preserve">T1DG34</t>
  </si>
  <si>
    <t xml:space="preserve">TransDigm Group Incorporated</t>
  </si>
  <si>
    <t xml:space="preserve">https://icons.brapi.dev/icons/T1DG34.svg</t>
  </si>
  <si>
    <t xml:space="preserve">T1EC34</t>
  </si>
  <si>
    <t xml:space="preserve">TechnipFMC PLC</t>
  </si>
  <si>
    <t xml:space="preserve">https://icons.brapi.dev/icons/T1EC34.svg</t>
  </si>
  <si>
    <t xml:space="preserve">T1EL34</t>
  </si>
  <si>
    <t xml:space="preserve">Te Connectivity PLC</t>
  </si>
  <si>
    <t xml:space="preserve">https://icons.brapi.dev/icons/T1EL34.svg</t>
  </si>
  <si>
    <t xml:space="preserve">T1EV34</t>
  </si>
  <si>
    <t xml:space="preserve">Teva Pharmaceutical Industries Ltd</t>
  </si>
  <si>
    <t xml:space="preserve">https://icons.brapi.dev/icons/T1EV34.svg</t>
  </si>
  <si>
    <t xml:space="preserve">T1LK34</t>
  </si>
  <si>
    <t xml:space="preserve">PT Telkom Indonesia (Persero) TbkADR B</t>
  </si>
  <si>
    <t xml:space="preserve">https://icons.brapi.dev/icons/T1LK34.svg</t>
  </si>
  <si>
    <t xml:space="preserve">T1MU34</t>
  </si>
  <si>
    <t xml:space="preserve">T-Mobile US Inc</t>
  </si>
  <si>
    <t xml:space="preserve">https://icons.brapi.dev/icons/T1MU34.svg</t>
  </si>
  <si>
    <t xml:space="preserve">T1OW34</t>
  </si>
  <si>
    <t xml:space="preserve">American Tower Corporation</t>
  </si>
  <si>
    <t xml:space="preserve">https://icons.brapi.dev/icons/T1OW34.svg</t>
  </si>
  <si>
    <t xml:space="preserve">T1RI34</t>
  </si>
  <si>
    <t xml:space="preserve">TripAdvisor, Inc.</t>
  </si>
  <si>
    <t xml:space="preserve">https://icons.brapi.dev/icons/T1RI34.svg</t>
  </si>
  <si>
    <t xml:space="preserve">T1RO34</t>
  </si>
  <si>
    <t xml:space="preserve">T. Rowe Price Group, Inc.</t>
  </si>
  <si>
    <t xml:space="preserve">https://icons.brapi.dev/icons/T1RO34.svg</t>
  </si>
  <si>
    <t xml:space="preserve">T1SC34</t>
  </si>
  <si>
    <t xml:space="preserve">Tractor Supply Company</t>
  </si>
  <si>
    <t xml:space="preserve">https://icons.brapi.dev/icons/T1SC34.svg</t>
  </si>
  <si>
    <t xml:space="preserve">T1SO34</t>
  </si>
  <si>
    <t xml:space="preserve">Southern Co</t>
  </si>
  <si>
    <t xml:space="preserve">https://icons.brapi.dev/icons/T1SO34.svg</t>
  </si>
  <si>
    <t xml:space="preserve">T1SS34</t>
  </si>
  <si>
    <t xml:space="preserve">Tenaris S.A.</t>
  </si>
  <si>
    <t xml:space="preserve">https://icons.brapi.dev/icons/T1SS34.svg</t>
  </si>
  <si>
    <t xml:space="preserve">T1TW34</t>
  </si>
  <si>
    <t xml:space="preserve">Take-Two Interactive Software, Inc.</t>
  </si>
  <si>
    <t xml:space="preserve">https://icons.brapi.dev/icons/T1TW34.svg</t>
  </si>
  <si>
    <t xml:space="preserve">T1WL34</t>
  </si>
  <si>
    <t xml:space="preserve">Twilio, Inc.</t>
  </si>
  <si>
    <t xml:space="preserve">https://icons.brapi.dev/icons/T1WL34.svg</t>
  </si>
  <si>
    <t xml:space="preserve">T2DH34</t>
  </si>
  <si>
    <t xml:space="preserve">Teladoc Health, Inc.</t>
  </si>
  <si>
    <t xml:space="preserve">https://icons.brapi.dev/icons/T2DH34.svg</t>
  </si>
  <si>
    <t xml:space="preserve">T2ER34</t>
  </si>
  <si>
    <t xml:space="preserve">Teradyne, Inc.</t>
  </si>
  <si>
    <t xml:space="preserve">https://icons.brapi.dev/icons/T2ER34.svg</t>
  </si>
  <si>
    <t xml:space="preserve">T2ND34</t>
  </si>
  <si>
    <t xml:space="preserve">Tandem Diabetes Care, Inc.</t>
  </si>
  <si>
    <t xml:space="preserve">https://icons.brapi.dev/icons/T2ND34.svg</t>
  </si>
  <si>
    <t xml:space="preserve">T2TD34</t>
  </si>
  <si>
    <t xml:space="preserve">Trade Desk Inc</t>
  </si>
  <si>
    <t xml:space="preserve">https://icons.brapi.dev/icons/T2TD34.svg</t>
  </si>
  <si>
    <t xml:space="preserve">T2YL34</t>
  </si>
  <si>
    <t xml:space="preserve">Tyler Technologies Inc</t>
  </si>
  <si>
    <t xml:space="preserve">https://icons.brapi.dev/icons/T2YL34.svg</t>
  </si>
  <si>
    <t xml:space="preserve">TAKP34</t>
  </si>
  <si>
    <t xml:space="preserve">Takeda Pharmaceutical Co. Ltd.</t>
  </si>
  <si>
    <t xml:space="preserve">https://icons.brapi.dev/icons/TAKP34.svg</t>
  </si>
  <si>
    <t xml:space="preserve">TBIL39</t>
  </si>
  <si>
    <t xml:space="preserve">GLOBAL X 1-3 MONTH T-BILL ETF</t>
  </si>
  <si>
    <t xml:space="preserve">https://icons.brapi.dev/icons/TBIL39.svg</t>
  </si>
  <si>
    <t xml:space="preserve">TEXA34</t>
  </si>
  <si>
    <t xml:space="preserve">Texas Instruments Incorporated</t>
  </si>
  <si>
    <t xml:space="preserve">https://icons.brapi.dev/icons/TEXA34.svg</t>
  </si>
  <si>
    <t xml:space="preserve">TGTB34</t>
  </si>
  <si>
    <t xml:space="preserve">Target Corporation</t>
  </si>
  <si>
    <t xml:space="preserve">https://icons.brapi.dev/icons/TGTB34.svg</t>
  </si>
  <si>
    <t xml:space="preserve">TJXC34</t>
  </si>
  <si>
    <t xml:space="preserve">TJX Cos Inc</t>
  </si>
  <si>
    <t xml:space="preserve">https://icons.brapi.dev/icons/TJXC34.svg</t>
  </si>
  <si>
    <t xml:space="preserve">TMCO34</t>
  </si>
  <si>
    <t xml:space="preserve">Toyota Motor Corp</t>
  </si>
  <si>
    <t xml:space="preserve">https://icons.brapi.dev/icons/TMCO34.svg</t>
  </si>
  <si>
    <t xml:space="preserve">TMOS34</t>
  </si>
  <si>
    <t xml:space="preserve">Thermo Fisher Scientific Inc.</t>
  </si>
  <si>
    <t xml:space="preserve">https://icons.brapi.dev/icons/TMOS34.svg</t>
  </si>
  <si>
    <t xml:space="preserve">TOPB39</t>
  </si>
  <si>
    <t xml:space="preserve">ISHARES TOP 20 US STOCKS ETF</t>
  </si>
  <si>
    <t xml:space="preserve">https://icons.brapi.dev/icons/TOPB39.svg</t>
  </si>
  <si>
    <t xml:space="preserve">TOST34</t>
  </si>
  <si>
    <t xml:space="preserve">Toast, Inc.</t>
  </si>
  <si>
    <t xml:space="preserve">https://icons.brapi.dev/icons/TOST34.svg</t>
  </si>
  <si>
    <t xml:space="preserve">TPRY34</t>
  </si>
  <si>
    <t xml:space="preserve">Tapestry Inc</t>
  </si>
  <si>
    <t xml:space="preserve">https://icons.brapi.dev/icons/TPRY34.svg</t>
  </si>
  <si>
    <t xml:space="preserve">TRVC34</t>
  </si>
  <si>
    <t xml:space="preserve">Travelers Companies Inc</t>
  </si>
  <si>
    <t xml:space="preserve">https://icons.brapi.dev/icons/TRVC34.svg</t>
  </si>
  <si>
    <t xml:space="preserve">TSLA34</t>
  </si>
  <si>
    <t xml:space="preserve">Tesla, Inc.</t>
  </si>
  <si>
    <t xml:space="preserve">https://icons.brapi.dev/icons/TSLA34.svg</t>
  </si>
  <si>
    <t xml:space="preserve">TSMC34</t>
  </si>
  <si>
    <t xml:space="preserve">Taiwan Semiconductor Manufacturing Co., Ltd.</t>
  </si>
  <si>
    <t xml:space="preserve">https://icons.brapi.dev/icons/TSMC34.svg</t>
  </si>
  <si>
    <t xml:space="preserve">TSNF34</t>
  </si>
  <si>
    <t xml:space="preserve">Tyson Foods Inc</t>
  </si>
  <si>
    <t xml:space="preserve">https://icons.brapi.dev/icons/TSNF34.svg</t>
  </si>
  <si>
    <t xml:space="preserve">TURK39</t>
  </si>
  <si>
    <t xml:space="preserve">ISHARES MSCI TURKEY ETF</t>
  </si>
  <si>
    <t xml:space="preserve">https://icons.brapi.dev/icons/TURK39.svg</t>
  </si>
  <si>
    <t xml:space="preserve">TXSA34</t>
  </si>
  <si>
    <t xml:space="preserve">Ternium S.A.</t>
  </si>
  <si>
    <t xml:space="preserve">https://icons.brapi.dev/icons/TXSA34.svg</t>
  </si>
  <si>
    <t xml:space="preserve">U1AI34</t>
  </si>
  <si>
    <t xml:space="preserve">Under Armour, Inc.</t>
  </si>
  <si>
    <t xml:space="preserve">https://icons.brapi.dev/icons/U1AI34.svg</t>
  </si>
  <si>
    <t xml:space="preserve">U1AL34</t>
  </si>
  <si>
    <t xml:space="preserve">United Airlines Holdings, Inc.</t>
  </si>
  <si>
    <t xml:space="preserve">https://icons.brapi.dev/icons/U1AL34.svg</t>
  </si>
  <si>
    <t xml:space="preserve">U1BE34</t>
  </si>
  <si>
    <t xml:space="preserve">Uber Technologies, Inc.</t>
  </si>
  <si>
    <t xml:space="preserve">https://icons.brapi.dev/icons/U1BE34.svg</t>
  </si>
  <si>
    <t xml:space="preserve">U1DR34</t>
  </si>
  <si>
    <t xml:space="preserve">UDR, Inc.</t>
  </si>
  <si>
    <t xml:space="preserve">https://icons.brapi.dev/icons/U1DR34.svg</t>
  </si>
  <si>
    <t xml:space="preserve">U1HS34</t>
  </si>
  <si>
    <t xml:space="preserve">Universal Health Services, Inc.</t>
  </si>
  <si>
    <t xml:space="preserve">https://icons.brapi.dev/icons/U1HS34.svg</t>
  </si>
  <si>
    <t xml:space="preserve">U1LT34</t>
  </si>
  <si>
    <t xml:space="preserve">Ulta Beauty Inc.</t>
  </si>
  <si>
    <t xml:space="preserve">https://icons.brapi.dev/icons/U1LT34.svg</t>
  </si>
  <si>
    <t xml:space="preserve">U1RI34</t>
  </si>
  <si>
    <t xml:space="preserve">United Rentals, Inc.</t>
  </si>
  <si>
    <t xml:space="preserve">https://icons.brapi.dev/icons/U1RI34.svg</t>
  </si>
  <si>
    <t xml:space="preserve">U2NF34</t>
  </si>
  <si>
    <t xml:space="preserve">United Natural Foods, Inc.</t>
  </si>
  <si>
    <t xml:space="preserve">https://icons.brapi.dev/icons/U2NF34.svg</t>
  </si>
  <si>
    <t xml:space="preserve">U2PS34</t>
  </si>
  <si>
    <t xml:space="preserve">Upstart Holdings, Inc.</t>
  </si>
  <si>
    <t xml:space="preserve">https://icons.brapi.dev/icons/U2PS34.svg</t>
  </si>
  <si>
    <t xml:space="preserve">U2PW34</t>
  </si>
  <si>
    <t xml:space="preserve">Upwork, Inc.</t>
  </si>
  <si>
    <t xml:space="preserve">https://icons.brapi.dev/icons/U2PW34.svg</t>
  </si>
  <si>
    <t xml:space="preserve">U2ST34</t>
  </si>
  <si>
    <t xml:space="preserve">Unity Software, Inc.</t>
  </si>
  <si>
    <t xml:space="preserve">https://icons.brapi.dev/icons/U2ST34.svg</t>
  </si>
  <si>
    <t xml:space="preserve">UBSG34</t>
  </si>
  <si>
    <t xml:space="preserve">UBS Group Inc.</t>
  </si>
  <si>
    <t xml:space="preserve">https://icons.brapi.dev/icons/UBSG34.svg</t>
  </si>
  <si>
    <t xml:space="preserve">ULEV34</t>
  </si>
  <si>
    <t xml:space="preserve">Unilever PLC</t>
  </si>
  <si>
    <t xml:space="preserve">https://icons.brapi.dev/icons/ULEV34.svg</t>
  </si>
  <si>
    <t xml:space="preserve">UNHH34</t>
  </si>
  <si>
    <t xml:space="preserve">Unitedhealth Group Inc</t>
  </si>
  <si>
    <t xml:space="preserve">https://icons.brapi.dev/icons/UNHH34.svg</t>
  </si>
  <si>
    <t xml:space="preserve">UPAC34</t>
  </si>
  <si>
    <t xml:space="preserve">Union Pacific Corp</t>
  </si>
  <si>
    <t xml:space="preserve">https://icons.brapi.dev/icons/UPAC34.svg</t>
  </si>
  <si>
    <t xml:space="preserve">UPSS34</t>
  </si>
  <si>
    <t xml:space="preserve">United Parcel Service Inc</t>
  </si>
  <si>
    <t xml:space="preserve">https://icons.brapi.dev/icons/UPSS34.svg</t>
  </si>
  <si>
    <t xml:space="preserve">USBC34</t>
  </si>
  <si>
    <t xml:space="preserve">U.S. Bancorp</t>
  </si>
  <si>
    <t xml:space="preserve">https://icons.brapi.dev/icons/USBC34.svg</t>
  </si>
  <si>
    <t xml:space="preserve">V1IP34</t>
  </si>
  <si>
    <t xml:space="preserve">Vipshop Holdings Ltd.</t>
  </si>
  <si>
    <t xml:space="preserve">https://icons.brapi.dev/icons/V1IP34.svg</t>
  </si>
  <si>
    <t xml:space="preserve">V1MC34</t>
  </si>
  <si>
    <t xml:space="preserve">Vulcan Materials Company</t>
  </si>
  <si>
    <t xml:space="preserve">https://icons.brapi.dev/icons/V1MC34.svg</t>
  </si>
  <si>
    <t xml:space="preserve">V1NO34</t>
  </si>
  <si>
    <t xml:space="preserve">Vornado Realty Trust</t>
  </si>
  <si>
    <t xml:space="preserve">https://icons.brapi.dev/icons/V1NO34.svg</t>
  </si>
  <si>
    <t xml:space="preserve">V1OD34</t>
  </si>
  <si>
    <t xml:space="preserve">Vodafone Group Public Limited Company</t>
  </si>
  <si>
    <t xml:space="preserve">https://icons.brapi.dev/icons/V1OD34.svg</t>
  </si>
  <si>
    <t xml:space="preserve">V1RS34</t>
  </si>
  <si>
    <t xml:space="preserve">Verisk Analytics, Inc.</t>
  </si>
  <si>
    <t xml:space="preserve">https://icons.brapi.dev/icons/V1RS34.svg</t>
  </si>
  <si>
    <t xml:space="preserve">V1RT34</t>
  </si>
  <si>
    <t xml:space="preserve">Vertiv Holdings LLC</t>
  </si>
  <si>
    <t xml:space="preserve">https://icons.brapi.dev/icons/V1RT34.svg</t>
  </si>
  <si>
    <t xml:space="preserve">V1ST34</t>
  </si>
  <si>
    <t xml:space="preserve">Vistra Corp</t>
  </si>
  <si>
    <t xml:space="preserve">https://icons.brapi.dev/icons/V1ST34.svg</t>
  </si>
  <si>
    <t xml:space="preserve">V1TA34</t>
  </si>
  <si>
    <t xml:space="preserve">Ventas, Inc.</t>
  </si>
  <si>
    <t xml:space="preserve">https://icons.brapi.dev/icons/V1TA34.svg</t>
  </si>
  <si>
    <t xml:space="preserve">V2EE34</t>
  </si>
  <si>
    <t xml:space="preserve">Veeva Systems Inc.</t>
  </si>
  <si>
    <t xml:space="preserve">https://icons.brapi.dev/icons/V2EE34.svg</t>
  </si>
  <si>
    <t xml:space="preserve">V2RN34</t>
  </si>
  <si>
    <t xml:space="preserve">Varonis Systems, Inc.</t>
  </si>
  <si>
    <t xml:space="preserve">https://icons.brapi.dev/icons/V2RN34.svg</t>
  </si>
  <si>
    <t xml:space="preserve">V2TX34</t>
  </si>
  <si>
    <t xml:space="preserve">VTEX</t>
  </si>
  <si>
    <t xml:space="preserve">https://icons.brapi.dev/icons/V2TX34.svg</t>
  </si>
  <si>
    <t xml:space="preserve">VERZ34</t>
  </si>
  <si>
    <t xml:space="preserve">Verizon Communications Inc</t>
  </si>
  <si>
    <t xml:space="preserve">https://icons.brapi.dev/icons/VERZ34.svg</t>
  </si>
  <si>
    <t xml:space="preserve">VFCO34</t>
  </si>
  <si>
    <t xml:space="preserve">V.F. Corporation</t>
  </si>
  <si>
    <t xml:space="preserve">https://icons.brapi.dev/icons/VFCO34.svg</t>
  </si>
  <si>
    <t xml:space="preserve">VISA34</t>
  </si>
  <si>
    <t xml:space="preserve">Visa Inc.</t>
  </si>
  <si>
    <t xml:space="preserve">https://icons.brapi.dev/icons/VISA34.svg</t>
  </si>
  <si>
    <t xml:space="preserve">VLOE34</t>
  </si>
  <si>
    <t xml:space="preserve">Valero Energy Corp</t>
  </si>
  <si>
    <t xml:space="preserve">https://icons.brapi.dev/icons/VLOE34.svg</t>
  </si>
  <si>
    <t xml:space="preserve">VMRK34</t>
  </si>
  <si>
    <t xml:space="preserve">Vivmark Residential</t>
  </si>
  <si>
    <t xml:space="preserve">https://icons.brapi.dev/icons/VMRK34.svg</t>
  </si>
  <si>
    <t xml:space="preserve">VRTX34</t>
  </si>
  <si>
    <t xml:space="preserve">Vertex Pharmaceuticals Inc</t>
  </si>
  <si>
    <t xml:space="preserve">https://icons.brapi.dev/icons/VRTX34.svg</t>
  </si>
  <si>
    <t xml:space="preserve">W1AB34</t>
  </si>
  <si>
    <t xml:space="preserve">Westinghouse Air Brake Technologies Corporation</t>
  </si>
  <si>
    <t xml:space="preserve">https://icons.brapi.dev/icons/W1AB34.svg</t>
  </si>
  <si>
    <t xml:space="preserve">W1BD34</t>
  </si>
  <si>
    <t xml:space="preserve">Warner Bros. Discovery, Inc.</t>
  </si>
  <si>
    <t xml:space="preserve">https://icons.brapi.dev/icons/W1BD34.svg</t>
  </si>
  <si>
    <t xml:space="preserve">W1BO34</t>
  </si>
  <si>
    <t xml:space="preserve">Weibo Corp.</t>
  </si>
  <si>
    <t xml:space="preserve">https://icons.brapi.dev/icons/W1BO34.svg</t>
  </si>
  <si>
    <t xml:space="preserve">W1DA34</t>
  </si>
  <si>
    <t xml:space="preserve">Workday, Inc.</t>
  </si>
  <si>
    <t xml:space="preserve">https://icons.brapi.dev/icons/W1DA34.svg</t>
  </si>
  <si>
    <t xml:space="preserve">W1DC34</t>
  </si>
  <si>
    <t xml:space="preserve">Western Digital Corporation</t>
  </si>
  <si>
    <t xml:space="preserve">https://icons.brapi.dev/icons/W1DC34.svg</t>
  </si>
  <si>
    <t xml:space="preserve">W1EL34</t>
  </si>
  <si>
    <t xml:space="preserve">Welltower OP Inc</t>
  </si>
  <si>
    <t xml:space="preserve">https://icons.brapi.dev/icons/W1EL34.svg</t>
  </si>
  <si>
    <t xml:space="preserve">W1HR34</t>
  </si>
  <si>
    <t xml:space="preserve">Whirlpool Corporation</t>
  </si>
  <si>
    <t xml:space="preserve">https://icons.brapi.dev/icons/W1HR34.svg</t>
  </si>
  <si>
    <t xml:space="preserve">W1IX34</t>
  </si>
  <si>
    <t xml:space="preserve">Wix.com Ltd</t>
  </si>
  <si>
    <t xml:space="preserve">https://icons.brapi.dev/icons/W1IX34.svg</t>
  </si>
  <si>
    <t xml:space="preserve">W1MB34</t>
  </si>
  <si>
    <t xml:space="preserve">Williams Companies, Inc.</t>
  </si>
  <si>
    <t xml:space="preserve">https://icons.brapi.dev/icons/W1MB34.svg</t>
  </si>
  <si>
    <t xml:space="preserve">W1MC34</t>
  </si>
  <si>
    <t xml:space="preserve">Waste Management Inc</t>
  </si>
  <si>
    <t xml:space="preserve">https://icons.brapi.dev/icons/W1MC34.svg</t>
  </si>
  <si>
    <t xml:space="preserve">W1MG34</t>
  </si>
  <si>
    <t xml:space="preserve">Warner Music Group Corp.</t>
  </si>
  <si>
    <t xml:space="preserve">https://icons.brapi.dev/icons/W1MG34.svg</t>
  </si>
  <si>
    <t xml:space="preserve">W1PP34</t>
  </si>
  <si>
    <t xml:space="preserve">WPP Plc</t>
  </si>
  <si>
    <t xml:space="preserve">https://icons.brapi.dev/icons/W1PP34.svg</t>
  </si>
  <si>
    <t xml:space="preserve">W1RB34</t>
  </si>
  <si>
    <t xml:space="preserve">W. R. Berkley Corporation</t>
  </si>
  <si>
    <t xml:space="preserve">https://icons.brapi.dev/icons/W1RB34.svg</t>
  </si>
  <si>
    <t xml:space="preserve">W1SO34</t>
  </si>
  <si>
    <t xml:space="preserve">Watsco Inc</t>
  </si>
  <si>
    <t xml:space="preserve">https://icons.brapi.dev/icons/W1SO34.svg</t>
  </si>
  <si>
    <t xml:space="preserve">W1YN34</t>
  </si>
  <si>
    <t xml:space="preserve">Wynn Resorts, Limited</t>
  </si>
  <si>
    <t xml:space="preserve">https://icons.brapi.dev/icons/W1YN34.svg</t>
  </si>
  <si>
    <t xml:space="preserve">W2YF34</t>
  </si>
  <si>
    <t xml:space="preserve">Wayfair, Inc.</t>
  </si>
  <si>
    <t xml:space="preserve">https://icons.brapi.dev/icons/W2YF34.svg</t>
  </si>
  <si>
    <t xml:space="preserve">WABC34</t>
  </si>
  <si>
    <t xml:space="preserve">Western Alliance Bancorp</t>
  </si>
  <si>
    <t xml:space="preserve">https://icons.brapi.dev/icons/WABC34.svg</t>
  </si>
  <si>
    <t xml:space="preserve">WALM34</t>
  </si>
  <si>
    <t xml:space="preserve">Walmart Inc</t>
  </si>
  <si>
    <t xml:space="preserve">https://icons.brapi.dev/icons/WALM34.svg</t>
  </si>
  <si>
    <t xml:space="preserve">WFCO34</t>
  </si>
  <si>
    <t xml:space="preserve">Wells Fargo &amp; Company</t>
  </si>
  <si>
    <t xml:space="preserve">https://icons.brapi.dev/icons/WFCO34.svg</t>
  </si>
  <si>
    <t xml:space="preserve">WUNI34</t>
  </si>
  <si>
    <t xml:space="preserve">Western Union Company</t>
  </si>
  <si>
    <t xml:space="preserve">https://icons.brapi.dev/icons/WUNI34.svg</t>
  </si>
  <si>
    <t xml:space="preserve">X1EL34</t>
  </si>
  <si>
    <t xml:space="preserve">Xcel Energy Inc</t>
  </si>
  <si>
    <t xml:space="preserve">https://icons.brapi.dev/icons/X1EL34.svg</t>
  </si>
  <si>
    <t xml:space="preserve">X1YL34</t>
  </si>
  <si>
    <t xml:space="preserve">Xylem Inc.</t>
  </si>
  <si>
    <t xml:space="preserve">https://icons.brapi.dev/icons/X1YL34.svg</t>
  </si>
  <si>
    <t xml:space="preserve">X1YZ34</t>
  </si>
  <si>
    <t xml:space="preserve">Block, Inc.</t>
  </si>
  <si>
    <t xml:space="preserve">https://icons.brapi.dev/icons/X1YZ34.svg</t>
  </si>
  <si>
    <t xml:space="preserve">XPBR31</t>
  </si>
  <si>
    <t xml:space="preserve">XP INC.</t>
  </si>
  <si>
    <t xml:space="preserve">https://icons.brapi.dev/icons/XPBR31.svg</t>
  </si>
  <si>
    <t xml:space="preserve">XRAY34</t>
  </si>
  <si>
    <t xml:space="preserve">DENTSPLY SIRONA, Inc.</t>
  </si>
  <si>
    <t xml:space="preserve">https://icons.brapi.dev/icons/XRAY34.svg</t>
  </si>
  <si>
    <t xml:space="preserve">XRXB34</t>
  </si>
  <si>
    <t xml:space="preserve">Xerox Holdings Corporation</t>
  </si>
  <si>
    <t xml:space="preserve">https://icons.brapi.dev/icons/XRXB34.svg</t>
  </si>
  <si>
    <t xml:space="preserve">Y2PF34</t>
  </si>
  <si>
    <t xml:space="preserve">YPF SA</t>
  </si>
  <si>
    <t xml:space="preserve">https://icons.brapi.dev/icons/Y2PF34.svg</t>
  </si>
  <si>
    <t xml:space="preserve">YUMR34</t>
  </si>
  <si>
    <t xml:space="preserve">Yum! Brands, Inc.</t>
  </si>
  <si>
    <t xml:space="preserve">https://icons.brapi.dev/icons/YUMR34.svg</t>
  </si>
  <si>
    <t xml:space="preserve">Z1BH34</t>
  </si>
  <si>
    <t xml:space="preserve">Zimmer Biomet Holdings, Inc.</t>
  </si>
  <si>
    <t xml:space="preserve">https://icons.brapi.dev/icons/Z1BH34.svg</t>
  </si>
  <si>
    <t xml:space="preserve">Z1BR34</t>
  </si>
  <si>
    <t xml:space="preserve">Zebra Technologies Corporation</t>
  </si>
  <si>
    <t xml:space="preserve">https://icons.brapi.dev/icons/Z1BR34.svg</t>
  </si>
  <si>
    <t xml:space="preserve">Z1OM34</t>
  </si>
  <si>
    <t xml:space="preserve">Zoom Communications, Inc.</t>
  </si>
  <si>
    <t xml:space="preserve">https://icons.brapi.dev/icons/Z1OM34.svg</t>
  </si>
  <si>
    <t xml:space="preserve">Z1TA34</t>
  </si>
  <si>
    <t xml:space="preserve">Zeta Global Holdings Corp.</t>
  </si>
  <si>
    <t xml:space="preserve">https://icons.brapi.dev/icons/Z1TA34.svg</t>
  </si>
  <si>
    <t xml:space="preserve">Z1TO34</t>
  </si>
  <si>
    <t xml:space="preserve">ZTO Express (Cayman), Inc.</t>
  </si>
  <si>
    <t xml:space="preserve">https://icons.brapi.dev/icons/Z1TO34.svg</t>
  </si>
  <si>
    <t xml:space="preserve">Z1TS34</t>
  </si>
  <si>
    <t xml:space="preserve">Zoetis, Inc.</t>
  </si>
  <si>
    <t xml:space="preserve">https://icons.brapi.dev/icons/Z1TS34.svg</t>
  </si>
  <si>
    <t xml:space="preserve">Z2DV34</t>
  </si>
  <si>
    <t xml:space="preserve">Ziff Davis Inc</t>
  </si>
  <si>
    <t xml:space="preserve">https://icons.brapi.dev/icons/Z2DV34.svg</t>
  </si>
  <si>
    <t xml:space="preserve">Z2IT34</t>
  </si>
  <si>
    <t xml:space="preserve">ZoomInfo Technologies Inc</t>
  </si>
  <si>
    <t xml:space="preserve">https://icons.brapi.dev/icons/Z2IT34.svg</t>
  </si>
  <si>
    <t xml:space="preserve">Z2LL34</t>
  </si>
  <si>
    <t xml:space="preserve">Zillow Group, Inc.</t>
  </si>
  <si>
    <t xml:space="preserve">https://icons.brapi.dev/icons/Z2LL34.svg</t>
  </si>
  <si>
    <t xml:space="preserve">Z2SC34</t>
  </si>
  <si>
    <t xml:space="preserve">Zscaler, Inc.</t>
  </si>
  <si>
    <t xml:space="preserve">https://icons.brapi.dev/icons/Z2SC34.svg</t>
  </si>
  <si>
    <t xml:space="preserve">Por classe</t>
  </si>
  <si>
    <t xml:space="preserve">Qtd.</t>
  </si>
  <si>
    <t xml:space="preserve">Total</t>
  </si>
  <si>
    <t xml:space="preserve">BDRs de ação por setor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</si>
</sst>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########"/>
    <numFmt numFmtId="166" formatCode="#,##0.##"/>
    <numFmt numFmtId="167" formatCode="#,##0.00"/>
    <numFmt numFmtId="168" formatCode="#,##0.00;[RED]\-#,##0.00;\-"/>
    <numFmt numFmtId="169" formatCode="0.00%;[RED]\-0.00%;\-"/>
    <numFmt numFmtId="170" formatCode="#,##0"/>
    <numFmt numFmtId="171" formatCode="0%"/>
    <numFmt numFmtId="172" formatCode="0.0%;[RED]\-0.0%;\-"/>
    <numFmt numFmtId="173" formatCode="dd/mm/yyyy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A84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0"/>
    <col collapsed="false" customWidth="true" hidden="false" outlineLevel="0" max="16" min="14" style="0" width="11"/>
    <col collapsed="false" customWidth="true" hidden="false" outlineLevel="0" max="18" min="17" style="0" width="12"/>
    <col collapsed="false" customWidth="true" hidden="false" outlineLevel="0" max="19" min="19" style="0" width="16"/>
    <col collapsed="false" customWidth="true" hidden="false" outlineLevel="0" max="21" min="20" style="0" width="13"/>
    <col collapsed="false" customWidth="true" hidden="false" outlineLevel="0" max="23" min="22" style="0" width="11"/>
    <col collapsed="false" customWidth="true" hidden="false" outlineLevel="0" max="24" min="24" style="0" width="16"/>
    <col collapsed="false" customWidth="true" hidden="false" outlineLevel="0" max="26" min="25" style="0" width="26"/>
    <col collapsed="false" customWidth="true" hidden="false" outlineLevel="0" max="27" min="27" style="0" width="20"/>
    <col collapsed="false" customWidth="true" hidden="false" outlineLevel="0" max="29" min="28" style="0" width="40"/>
    <col collapsed="false" customWidth="true" hidden="false" outlineLevel="0" max="30" min="30" style="0" width="16"/>
  </cols>
  <sheetData>
    <row r="1" customFormat="false" ht="42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  <c r="AC1" s="4" t="s">
        <v>51</v>
      </c>
      <c r="AD1" s="4" t="s">
        <v>52</v>
      </c>
    </row>
    <row r="2" customFormat="false" ht="15" hidden="false" customHeight="false" outlineLevel="0" collapsed="false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6" t="n">
        <v>0.0625</v>
      </c>
      <c r="J2" s="7" t="n">
        <f aca="false">IF(I2="","",1/I2)</f>
        <v>16</v>
      </c>
      <c r="K2" s="8" t="n">
        <v>13.36</v>
      </c>
      <c r="L2" s="9" t="n">
        <v>-0.23</v>
      </c>
      <c r="M2" s="10" t="n">
        <v>-0.0169</v>
      </c>
      <c r="N2" s="8" t="n">
        <v>13.94</v>
      </c>
      <c r="O2" s="8" t="n">
        <v>13.36</v>
      </c>
      <c r="P2" s="8" t="n">
        <v>13.94</v>
      </c>
      <c r="Q2" s="8" t="n">
        <v>13.36</v>
      </c>
      <c r="R2" s="11" t="n">
        <v>1113</v>
      </c>
      <c r="S2" s="11" t="n">
        <f aca="false">K2*R2</f>
        <v>14869.68</v>
      </c>
      <c r="T2" s="8" t="n">
        <v>12.9</v>
      </c>
      <c r="U2" s="8" t="n">
        <v>21.3</v>
      </c>
      <c r="V2" s="12" t="n">
        <f aca="false">IF(U2-T2=0,"",(K2-T2)/(U2-T2))</f>
        <v>0.0547619047619047</v>
      </c>
      <c r="W2" s="13" t="n">
        <f aca="false">IF(U2=0,"",K2/U2-1)</f>
        <v>-0.372769953051643</v>
      </c>
      <c r="X2" s="11" t="n">
        <v>13187</v>
      </c>
      <c r="Y2" s="5" t="s">
        <v>57</v>
      </c>
      <c r="Z2" s="5" t="s">
        <v>61</v>
      </c>
      <c r="AA2" s="5" t="s">
        <v>58</v>
      </c>
      <c r="AB2" s="5"/>
      <c r="AC2" s="5" t="s">
        <v>62</v>
      </c>
      <c r="AD2" s="14" t="n">
        <v>46288.771875</v>
      </c>
    </row>
    <row r="3" customFormat="false" ht="15" hidden="false" customHeight="false" outlineLevel="0" collapsed="false">
      <c r="A3" s="5" t="s">
        <v>63</v>
      </c>
      <c r="B3" s="5" t="s">
        <v>64</v>
      </c>
      <c r="C3" s="5" t="s">
        <v>55</v>
      </c>
      <c r="D3" s="5" t="s">
        <v>56</v>
      </c>
      <c r="E3" s="5" t="s">
        <v>65</v>
      </c>
      <c r="F3" s="5" t="s">
        <v>66</v>
      </c>
      <c r="G3" s="5" t="s">
        <v>59</v>
      </c>
      <c r="H3" s="5" t="s">
        <v>60</v>
      </c>
      <c r="I3" s="6" t="n">
        <v>1</v>
      </c>
      <c r="J3" s="7" t="n">
        <f aca="false">IF(I3="","",1/I3)</f>
        <v>1</v>
      </c>
      <c r="K3" s="8" t="n">
        <v>216.92</v>
      </c>
      <c r="L3" s="9" t="n">
        <v>-0.66</v>
      </c>
      <c r="M3" s="10" t="n">
        <v>-0.003</v>
      </c>
      <c r="N3" s="8" t="n">
        <v>215.88</v>
      </c>
      <c r="O3" s="8" t="n">
        <v>215.88</v>
      </c>
      <c r="P3" s="8" t="n">
        <v>217.36</v>
      </c>
      <c r="Q3" s="8" t="n">
        <v>216.92</v>
      </c>
      <c r="R3" s="11" t="n">
        <v>146</v>
      </c>
      <c r="S3" s="11" t="n">
        <f aca="false">K3*R3</f>
        <v>31670.32</v>
      </c>
      <c r="T3" s="8" t="n">
        <v>182.02</v>
      </c>
      <c r="U3" s="8" t="n">
        <v>266.06</v>
      </c>
      <c r="V3" s="12" t="n">
        <f aca="false">IF(U3-T3=0,"",(K3-T3)/(U3-T3))</f>
        <v>0.415278438838648</v>
      </c>
      <c r="W3" s="13" t="n">
        <f aca="false">IF(U3=0,"",K3/U3-1)</f>
        <v>-0.184695181537999</v>
      </c>
      <c r="X3" s="11" t="n">
        <v>102312</v>
      </c>
      <c r="Y3" s="5" t="s">
        <v>65</v>
      </c>
      <c r="Z3" s="5" t="s">
        <v>67</v>
      </c>
      <c r="AA3" s="5" t="s">
        <v>66</v>
      </c>
      <c r="AB3" s="5"/>
      <c r="AC3" s="5" t="s">
        <v>68</v>
      </c>
      <c r="AD3" s="14" t="n">
        <v>46288.771875</v>
      </c>
    </row>
    <row r="4" customFormat="false" ht="15" hidden="false" customHeight="false" outlineLevel="0" collapsed="false">
      <c r="A4" s="5" t="s">
        <v>69</v>
      </c>
      <c r="B4" s="5" t="s">
        <v>70</v>
      </c>
      <c r="C4" s="5" t="s">
        <v>55</v>
      </c>
      <c r="D4" s="5" t="s">
        <v>56</v>
      </c>
      <c r="E4" s="5" t="s">
        <v>71</v>
      </c>
      <c r="F4" s="5" t="s">
        <v>72</v>
      </c>
      <c r="G4" s="5" t="s">
        <v>59</v>
      </c>
      <c r="H4" s="5" t="s">
        <v>60</v>
      </c>
      <c r="I4" s="6" t="n">
        <v>0.125</v>
      </c>
      <c r="J4" s="7" t="n">
        <f aca="false">IF(I4="","",1/I4)</f>
        <v>8</v>
      </c>
      <c r="K4" s="8" t="n">
        <v>43.31</v>
      </c>
      <c r="L4" s="9" t="n">
        <v>0</v>
      </c>
      <c r="M4" s="10" t="n">
        <v>0</v>
      </c>
      <c r="N4" s="8" t="n">
        <v>43.31</v>
      </c>
      <c r="O4" s="8" t="n">
        <v>43.31</v>
      </c>
      <c r="P4" s="8" t="n">
        <v>43.31</v>
      </c>
      <c r="Q4" s="8" t="n">
        <v>43.31</v>
      </c>
      <c r="R4" s="11" t="n">
        <v>12</v>
      </c>
      <c r="S4" s="11" t="n">
        <f aca="false">K4*R4</f>
        <v>519.72</v>
      </c>
      <c r="T4" s="8" t="n">
        <v>43.31</v>
      </c>
      <c r="U4" s="8" t="n">
        <v>52.91</v>
      </c>
      <c r="V4" s="12" t="n">
        <f aca="false">IF(U4-T4=0,"",(K4-T4)/(U4-T4))</f>
        <v>0</v>
      </c>
      <c r="W4" s="13" t="n">
        <f aca="false">IF(U4=0,"",K4/U4-1)</f>
        <v>-0.181440181440181</v>
      </c>
      <c r="X4" s="11" t="n">
        <v>42852</v>
      </c>
      <c r="Y4" s="5" t="s">
        <v>71</v>
      </c>
      <c r="Z4" s="5" t="s">
        <v>73</v>
      </c>
      <c r="AA4" s="5" t="s">
        <v>72</v>
      </c>
      <c r="AB4" s="5"/>
      <c r="AC4" s="5" t="s">
        <v>74</v>
      </c>
      <c r="AD4" s="14" t="n">
        <v>46288.771875</v>
      </c>
    </row>
    <row r="5" customFormat="false" ht="15" hidden="false" customHeight="false" outlineLevel="0" collapsed="false">
      <c r="A5" s="5" t="s">
        <v>75</v>
      </c>
      <c r="B5" s="5" t="s">
        <v>76</v>
      </c>
      <c r="C5" s="5" t="s">
        <v>55</v>
      </c>
      <c r="D5" s="5" t="s">
        <v>56</v>
      </c>
      <c r="E5" s="5" t="s">
        <v>77</v>
      </c>
      <c r="F5" s="5" t="s">
        <v>78</v>
      </c>
      <c r="G5" s="5" t="s">
        <v>59</v>
      </c>
      <c r="H5" s="5" t="s">
        <v>60</v>
      </c>
      <c r="I5" s="6" t="n">
        <v>0.025</v>
      </c>
      <c r="J5" s="7" t="n">
        <f aca="false">IF(I5="","",1/I5)</f>
        <v>40</v>
      </c>
      <c r="K5" s="8" t="n">
        <v>49.7</v>
      </c>
      <c r="L5" s="9" t="n">
        <v>0.35</v>
      </c>
      <c r="M5" s="10" t="n">
        <v>0.0071</v>
      </c>
      <c r="N5" s="8" t="n">
        <v>49.85</v>
      </c>
      <c r="O5" s="8" t="n">
        <v>49</v>
      </c>
      <c r="P5" s="8" t="n">
        <v>49.85</v>
      </c>
      <c r="Q5" s="8" t="n">
        <v>49.7</v>
      </c>
      <c r="R5" s="11" t="n">
        <v>235</v>
      </c>
      <c r="S5" s="11" t="n">
        <f aca="false">K5*R5</f>
        <v>11679.5</v>
      </c>
      <c r="T5" s="8" t="n">
        <v>30.85</v>
      </c>
      <c r="U5" s="8" t="n">
        <v>57.288</v>
      </c>
      <c r="V5" s="12" t="n">
        <f aca="false">IF(U5-T5=0,"",(K5-T5)/(U5-T5))</f>
        <v>0.712988879642938</v>
      </c>
      <c r="W5" s="13" t="n">
        <f aca="false">IF(U5=0,"",K5/U5-1)</f>
        <v>-0.132453567937439</v>
      </c>
      <c r="X5" s="11" t="n">
        <v>968065</v>
      </c>
      <c r="Y5" s="5" t="s">
        <v>77</v>
      </c>
      <c r="Z5" s="5" t="s">
        <v>79</v>
      </c>
      <c r="AA5" s="5" t="s">
        <v>78</v>
      </c>
      <c r="AB5" s="5"/>
      <c r="AC5" s="5" t="s">
        <v>80</v>
      </c>
      <c r="AD5" s="14" t="n">
        <v>46288.771875</v>
      </c>
    </row>
    <row r="6" customFormat="false" ht="15" hidden="false" customHeight="false" outlineLevel="0" collapsed="false">
      <c r="A6" s="5" t="s">
        <v>81</v>
      </c>
      <c r="B6" s="5" t="s">
        <v>82</v>
      </c>
      <c r="C6" s="5" t="s">
        <v>55</v>
      </c>
      <c r="D6" s="5" t="s">
        <v>56</v>
      </c>
      <c r="E6" s="5" t="s">
        <v>65</v>
      </c>
      <c r="F6" s="5" t="s">
        <v>66</v>
      </c>
      <c r="G6" s="5" t="s">
        <v>59</v>
      </c>
      <c r="H6" s="5" t="s">
        <v>60</v>
      </c>
      <c r="I6" s="6" t="n">
        <v>0.125</v>
      </c>
      <c r="J6" s="7" t="n">
        <f aca="false">IF(I6="","",1/I6)</f>
        <v>8</v>
      </c>
      <c r="K6" s="8" t="n">
        <v>53.45</v>
      </c>
      <c r="L6" s="9" t="n">
        <v>0.44</v>
      </c>
      <c r="M6" s="10" t="n">
        <v>0.0083</v>
      </c>
      <c r="N6" s="8" t="n">
        <v>53.45</v>
      </c>
      <c r="O6" s="8" t="n">
        <v>53.45</v>
      </c>
      <c r="P6" s="8" t="n">
        <v>53.45</v>
      </c>
      <c r="Q6" s="8" t="n">
        <v>53.45</v>
      </c>
      <c r="R6" s="11" t="n">
        <v>9</v>
      </c>
      <c r="S6" s="11" t="n">
        <f aca="false">K6*R6</f>
        <v>481.05</v>
      </c>
      <c r="T6" s="8" t="n">
        <v>37.2</v>
      </c>
      <c r="U6" s="8" t="n">
        <v>58.03</v>
      </c>
      <c r="V6" s="12" t="n">
        <f aca="false">IF(U6-T6=0,"",(K6-T6)/(U6-T6))</f>
        <v>0.780124819971195</v>
      </c>
      <c r="W6" s="13" t="n">
        <f aca="false">IF(U6=0,"",K6/U6-1)</f>
        <v>-0.078924694123729</v>
      </c>
      <c r="X6" s="11" t="n">
        <v>203094</v>
      </c>
      <c r="Y6" s="5" t="s">
        <v>65</v>
      </c>
      <c r="Z6" s="5" t="s">
        <v>67</v>
      </c>
      <c r="AA6" s="5" t="s">
        <v>66</v>
      </c>
      <c r="AB6" s="5"/>
      <c r="AC6" s="5" t="s">
        <v>83</v>
      </c>
      <c r="AD6" s="14" t="n">
        <v>46288.771875</v>
      </c>
    </row>
    <row r="7" customFormat="false" ht="15" hidden="false" customHeight="false" outlineLevel="0" collapsed="false">
      <c r="A7" s="5" t="s">
        <v>84</v>
      </c>
      <c r="B7" s="5" t="s">
        <v>85</v>
      </c>
      <c r="C7" s="5" t="s">
        <v>55</v>
      </c>
      <c r="D7" s="5" t="s">
        <v>56</v>
      </c>
      <c r="E7" s="5" t="s">
        <v>71</v>
      </c>
      <c r="F7" s="5" t="s">
        <v>72</v>
      </c>
      <c r="G7" s="5" t="s">
        <v>59</v>
      </c>
      <c r="H7" s="5" t="s">
        <v>86</v>
      </c>
      <c r="I7" s="6" t="n">
        <v>0.25</v>
      </c>
      <c r="J7" s="7" t="n">
        <f aca="false">IF(I7="","",1/I7)</f>
        <v>4</v>
      </c>
      <c r="K7" s="8" t="n">
        <v>45.65</v>
      </c>
      <c r="L7" s="9" t="n">
        <v>0</v>
      </c>
      <c r="M7" s="10" t="n">
        <v>0</v>
      </c>
      <c r="N7" s="8" t="n">
        <v>45.65</v>
      </c>
      <c r="O7" s="8" t="n">
        <v>45.65</v>
      </c>
      <c r="P7" s="8" t="n">
        <v>45.65</v>
      </c>
      <c r="Q7" s="8" t="n">
        <v>45.65</v>
      </c>
      <c r="R7" s="11" t="n">
        <v>16</v>
      </c>
      <c r="S7" s="11" t="n">
        <f aca="false">K7*R7</f>
        <v>730.4</v>
      </c>
      <c r="T7" s="8" t="n">
        <v>33.81</v>
      </c>
      <c r="U7" s="8" t="n">
        <v>49.75</v>
      </c>
      <c r="V7" s="12" t="n">
        <f aca="false">IF(U7-T7=0,"",(K7-T7)/(U7-T7))</f>
        <v>0.742785445420326</v>
      </c>
      <c r="W7" s="13" t="n">
        <f aca="false">IF(U7=0,"",K7/U7-1)</f>
        <v>-0.0824120603015076</v>
      </c>
      <c r="X7" s="11" t="n">
        <v>68553</v>
      </c>
      <c r="Y7" s="5" t="s">
        <v>71</v>
      </c>
      <c r="Z7" s="5" t="s">
        <v>73</v>
      </c>
      <c r="AA7" s="5" t="s">
        <v>72</v>
      </c>
      <c r="AB7" s="5"/>
      <c r="AC7" s="5" t="s">
        <v>87</v>
      </c>
      <c r="AD7" s="14" t="n">
        <v>46288.771875</v>
      </c>
    </row>
    <row r="8" customFormat="false" ht="15" hidden="false" customHeight="false" outlineLevel="0" collapsed="false">
      <c r="A8" s="5" t="s">
        <v>88</v>
      </c>
      <c r="B8" s="5" t="s">
        <v>89</v>
      </c>
      <c r="C8" s="5" t="s">
        <v>55</v>
      </c>
      <c r="D8" s="5" t="s">
        <v>56</v>
      </c>
      <c r="E8" s="5" t="s">
        <v>90</v>
      </c>
      <c r="F8" s="5" t="s">
        <v>91</v>
      </c>
      <c r="G8" s="5" t="s">
        <v>59</v>
      </c>
      <c r="H8" s="5" t="s">
        <v>60</v>
      </c>
      <c r="I8" s="6" t="n">
        <v>0.1</v>
      </c>
      <c r="J8" s="7" t="n">
        <f aca="false">IF(I8="","",1/I8)</f>
        <v>10</v>
      </c>
      <c r="K8" s="8" t="n">
        <v>61.44</v>
      </c>
      <c r="L8" s="9" t="n">
        <v>-0.18</v>
      </c>
      <c r="M8" s="10" t="n">
        <v>-0.0029</v>
      </c>
      <c r="N8" s="8" t="n">
        <v>60.96</v>
      </c>
      <c r="O8" s="8" t="n">
        <v>60.96</v>
      </c>
      <c r="P8" s="8" t="n">
        <v>61.44</v>
      </c>
      <c r="Q8" s="8" t="n">
        <v>61.44</v>
      </c>
      <c r="R8" s="11" t="n">
        <v>819</v>
      </c>
      <c r="S8" s="11" t="n">
        <f aca="false">K8*R8</f>
        <v>50319.36</v>
      </c>
      <c r="T8" s="8" t="n">
        <v>59.008</v>
      </c>
      <c r="U8" s="8" t="n">
        <v>72.4</v>
      </c>
      <c r="V8" s="12" t="n">
        <f aca="false">IF(U8-T8=0,"",(K8-T8)/(U8-T8))</f>
        <v>0.181600955794504</v>
      </c>
      <c r="W8" s="13" t="n">
        <f aca="false">IF(U8=0,"",K8/U8-1)</f>
        <v>-0.151381215469613</v>
      </c>
      <c r="X8" s="11" t="n">
        <v>335080</v>
      </c>
      <c r="Y8" s="5" t="s">
        <v>90</v>
      </c>
      <c r="Z8" s="5" t="s">
        <v>92</v>
      </c>
      <c r="AA8" s="5" t="s">
        <v>91</v>
      </c>
      <c r="AB8" s="5"/>
      <c r="AC8" s="5" t="s">
        <v>93</v>
      </c>
      <c r="AD8" s="14" t="n">
        <v>46288.771875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55</v>
      </c>
      <c r="D9" s="5" t="s">
        <v>56</v>
      </c>
      <c r="E9" s="5" t="s">
        <v>90</v>
      </c>
      <c r="F9" s="5" t="s">
        <v>91</v>
      </c>
      <c r="G9" s="5" t="s">
        <v>59</v>
      </c>
      <c r="H9" s="5" t="s">
        <v>60</v>
      </c>
      <c r="I9" s="6" t="n">
        <v>1</v>
      </c>
      <c r="J9" s="7" t="n">
        <f aca="false">IF(I9="","",1/I9)</f>
        <v>1</v>
      </c>
      <c r="K9" s="8" t="n">
        <v>76.24</v>
      </c>
      <c r="L9" s="9" t="n">
        <v>0.56</v>
      </c>
      <c r="M9" s="10" t="n">
        <v>0.0074</v>
      </c>
      <c r="N9" s="8" t="n">
        <v>76.24</v>
      </c>
      <c r="O9" s="8" t="n">
        <v>76.24</v>
      </c>
      <c r="P9" s="8" t="n">
        <v>76.24</v>
      </c>
      <c r="Q9" s="8" t="n">
        <v>76.24</v>
      </c>
      <c r="R9" s="11" t="n">
        <v>1</v>
      </c>
      <c r="S9" s="11" t="n">
        <f aca="false">K9*R9</f>
        <v>76.24</v>
      </c>
      <c r="T9" s="8" t="n">
        <v>69.65</v>
      </c>
      <c r="U9" s="8" t="n">
        <v>90.63</v>
      </c>
      <c r="V9" s="12" t="n">
        <f aca="false">IF(U9-T9=0,"",(K9-T9)/(U9-T9))</f>
        <v>0.314108674928503</v>
      </c>
      <c r="W9" s="13" t="n">
        <f aca="false">IF(U9=0,"",K9/U9-1)</f>
        <v>-0.158777446761558</v>
      </c>
      <c r="X9" s="11" t="n">
        <v>54110</v>
      </c>
      <c r="Y9" s="5" t="s">
        <v>90</v>
      </c>
      <c r="Z9" s="5" t="s">
        <v>92</v>
      </c>
      <c r="AA9" s="5" t="s">
        <v>91</v>
      </c>
      <c r="AB9" s="5"/>
      <c r="AC9" s="5" t="s">
        <v>96</v>
      </c>
      <c r="AD9" s="14" t="n">
        <v>46288.771875</v>
      </c>
    </row>
    <row r="10" customFormat="false" ht="15" hidden="false" customHeight="false" outlineLevel="0" collapsed="false">
      <c r="A10" s="5" t="s">
        <v>97</v>
      </c>
      <c r="B10" s="5" t="s">
        <v>98</v>
      </c>
      <c r="C10" s="5" t="s">
        <v>55</v>
      </c>
      <c r="D10" s="5" t="s">
        <v>56</v>
      </c>
      <c r="E10" s="5" t="s">
        <v>99</v>
      </c>
      <c r="F10" s="5" t="s">
        <v>100</v>
      </c>
      <c r="G10" s="5" t="s">
        <v>59</v>
      </c>
      <c r="H10" s="5" t="s">
        <v>60</v>
      </c>
      <c r="I10" s="6" t="n">
        <v>0.1</v>
      </c>
      <c r="J10" s="7" t="n">
        <f aca="false">IF(I10="","",1/I10)</f>
        <v>10</v>
      </c>
      <c r="K10" s="8" t="n">
        <v>82.5</v>
      </c>
      <c r="L10" s="9" t="n">
        <v>6.74</v>
      </c>
      <c r="M10" s="10" t="n">
        <v>0.089</v>
      </c>
      <c r="N10" s="8" t="n">
        <v>82.24</v>
      </c>
      <c r="O10" s="8" t="n">
        <v>82.24</v>
      </c>
      <c r="P10" s="8" t="n">
        <v>82.55</v>
      </c>
      <c r="Q10" s="8" t="n">
        <v>82.5</v>
      </c>
      <c r="R10" s="11" t="n">
        <v>5066</v>
      </c>
      <c r="S10" s="11" t="n">
        <f aca="false">K10*R10</f>
        <v>417945</v>
      </c>
      <c r="T10" s="8" t="n">
        <v>54.834</v>
      </c>
      <c r="U10" s="8" t="n">
        <v>82.55</v>
      </c>
      <c r="V10" s="12" t="n">
        <f aca="false">IF(U10-T10=0,"",(K10-T10)/(U10-T10))</f>
        <v>0.998195987877039</v>
      </c>
      <c r="W10" s="13" t="n">
        <f aca="false">IF(U10=0,"",K10/U10-1)</f>
        <v>-0.000605693519079353</v>
      </c>
      <c r="X10" s="11" t="n">
        <v>241328</v>
      </c>
      <c r="Y10" s="5" t="s">
        <v>99</v>
      </c>
      <c r="Z10" s="5" t="s">
        <v>101</v>
      </c>
      <c r="AA10" s="5" t="s">
        <v>100</v>
      </c>
      <c r="AB10" s="5"/>
      <c r="AC10" s="5" t="s">
        <v>102</v>
      </c>
      <c r="AD10" s="14" t="n">
        <v>46288.771875</v>
      </c>
    </row>
    <row r="11" customFormat="false" ht="15" hidden="false" customHeight="false" outlineLevel="0" collapsed="false">
      <c r="A11" s="5" t="s">
        <v>103</v>
      </c>
      <c r="B11" s="5" t="s">
        <v>104</v>
      </c>
      <c r="C11" s="5" t="s">
        <v>55</v>
      </c>
      <c r="D11" s="5" t="s">
        <v>56</v>
      </c>
      <c r="E11" s="5" t="s">
        <v>105</v>
      </c>
      <c r="F11" s="5" t="s">
        <v>106</v>
      </c>
      <c r="G11" s="5" t="s">
        <v>59</v>
      </c>
      <c r="H11" s="5" t="s">
        <v>60</v>
      </c>
      <c r="I11" s="6" t="n">
        <v>0.5</v>
      </c>
      <c r="J11" s="7" t="n">
        <f aca="false">IF(I11="","",1/I11)</f>
        <v>2</v>
      </c>
      <c r="K11" s="8" t="n">
        <v>385.48</v>
      </c>
      <c r="L11" s="9" t="n">
        <v>37.19</v>
      </c>
      <c r="M11" s="10" t="n">
        <v>0.1068</v>
      </c>
      <c r="N11" s="8" t="n">
        <v>388.58</v>
      </c>
      <c r="O11" s="8" t="n">
        <v>385.48</v>
      </c>
      <c r="P11" s="8" t="n">
        <v>388.58</v>
      </c>
      <c r="Q11" s="8" t="n">
        <v>385.48</v>
      </c>
      <c r="R11" s="11" t="n">
        <v>2</v>
      </c>
      <c r="S11" s="11" t="n">
        <f aca="false">K11*R11</f>
        <v>770.96</v>
      </c>
      <c r="T11" s="8" t="n">
        <v>347.12</v>
      </c>
      <c r="U11" s="8" t="n">
        <v>440.13</v>
      </c>
      <c r="V11" s="12" t="n">
        <f aca="false">IF(U11-T11=0,"",(K11-T11)/(U11-T11))</f>
        <v>0.412428771099882</v>
      </c>
      <c r="W11" s="13" t="n">
        <f aca="false">IF(U11=0,"",K11/U11-1)</f>
        <v>-0.124167859496058</v>
      </c>
      <c r="X11" s="11" t="n">
        <v>66998</v>
      </c>
      <c r="Y11" s="5" t="s">
        <v>105</v>
      </c>
      <c r="Z11" s="5" t="s">
        <v>107</v>
      </c>
      <c r="AA11" s="5" t="s">
        <v>106</v>
      </c>
      <c r="AB11" s="5"/>
      <c r="AC11" s="5" t="s">
        <v>108</v>
      </c>
      <c r="AD11" s="14" t="n">
        <v>46288.771875</v>
      </c>
    </row>
    <row r="12" customFormat="false" ht="15" hidden="false" customHeight="false" outlineLevel="0" collapsed="false">
      <c r="A12" s="5" t="s">
        <v>109</v>
      </c>
      <c r="B12" s="5" t="s">
        <v>110</v>
      </c>
      <c r="C12" s="5" t="s">
        <v>55</v>
      </c>
      <c r="D12" s="5" t="s">
        <v>56</v>
      </c>
      <c r="E12" s="5" t="s">
        <v>71</v>
      </c>
      <c r="F12" s="5" t="s">
        <v>72</v>
      </c>
      <c r="G12" s="5" t="s">
        <v>59</v>
      </c>
      <c r="H12" s="5"/>
      <c r="I12" s="6"/>
      <c r="J12" s="7" t="str">
        <f aca="false">IF(I12="","",1/I12)</f>
        <v/>
      </c>
      <c r="K12" s="8" t="n">
        <v>11.2</v>
      </c>
      <c r="L12" s="9" t="n">
        <v>-0.09</v>
      </c>
      <c r="M12" s="10" t="n">
        <v>-0.008</v>
      </c>
      <c r="N12" s="8" t="n">
        <v>11.41</v>
      </c>
      <c r="O12" s="8" t="n">
        <v>10.9</v>
      </c>
      <c r="P12" s="8" t="n">
        <v>11.41</v>
      </c>
      <c r="Q12" s="8" t="n">
        <v>11.2</v>
      </c>
      <c r="R12" s="11" t="n">
        <v>1249</v>
      </c>
      <c r="S12" s="11" t="n">
        <f aca="false">K12*R12</f>
        <v>13988.8</v>
      </c>
      <c r="T12" s="8" t="n">
        <v>10.9</v>
      </c>
      <c r="U12" s="8" t="n">
        <v>44.5</v>
      </c>
      <c r="V12" s="12" t="n">
        <f aca="false">IF(U12-T12=0,"",(K12-T12)/(U12-T12))</f>
        <v>0.0089285714285714</v>
      </c>
      <c r="W12" s="13" t="n">
        <f aca="false">IF(U12=0,"",K12/U12-1)</f>
        <v>-0.748314606741573</v>
      </c>
      <c r="X12" s="11" t="n">
        <v>1605</v>
      </c>
      <c r="Y12" s="5" t="s">
        <v>71</v>
      </c>
      <c r="Z12" s="5" t="s">
        <v>73</v>
      </c>
      <c r="AA12" s="5" t="s">
        <v>72</v>
      </c>
      <c r="AB12" s="5" t="s">
        <v>111</v>
      </c>
      <c r="AC12" s="5" t="s">
        <v>112</v>
      </c>
      <c r="AD12" s="14" t="n">
        <v>46288.771875</v>
      </c>
    </row>
    <row r="13" customFormat="false" ht="15" hidden="false" customHeight="false" outlineLevel="0" collapsed="false">
      <c r="A13" s="5" t="s">
        <v>113</v>
      </c>
      <c r="B13" s="5" t="s">
        <v>114</v>
      </c>
      <c r="C13" s="5" t="s">
        <v>55</v>
      </c>
      <c r="D13" s="5" t="s">
        <v>56</v>
      </c>
      <c r="E13" s="5" t="s">
        <v>115</v>
      </c>
      <c r="F13" s="5" t="s">
        <v>116</v>
      </c>
      <c r="G13" s="5" t="s">
        <v>59</v>
      </c>
      <c r="H13" s="5" t="s">
        <v>60</v>
      </c>
      <c r="I13" s="6" t="n">
        <v>0.0833</v>
      </c>
      <c r="J13" s="7" t="n">
        <f aca="false">IF(I13="","",1/I13)</f>
        <v>12.0048019207683</v>
      </c>
      <c r="K13" s="8" t="n">
        <v>51.4</v>
      </c>
      <c r="L13" s="9" t="n">
        <v>0.71</v>
      </c>
      <c r="M13" s="10" t="n">
        <v>0.014</v>
      </c>
      <c r="N13" s="8" t="n">
        <v>50.45</v>
      </c>
      <c r="O13" s="8" t="n">
        <v>48.94</v>
      </c>
      <c r="P13" s="8" t="n">
        <v>51.6</v>
      </c>
      <c r="Q13" s="8" t="n">
        <v>51.4</v>
      </c>
      <c r="R13" s="11" t="n">
        <v>41961</v>
      </c>
      <c r="S13" s="11" t="n">
        <f aca="false">K13*R13</f>
        <v>2156795.4</v>
      </c>
      <c r="T13" s="8" t="n">
        <v>32.24</v>
      </c>
      <c r="U13" s="8" t="n">
        <v>68.99</v>
      </c>
      <c r="V13" s="12" t="n">
        <f aca="false">IF(U13-T13=0,"",(K13-T13)/(U13-T13))</f>
        <v>0.521360544217687</v>
      </c>
      <c r="W13" s="13" t="n">
        <f aca="false">IF(U13=0,"",K13/U13-1)</f>
        <v>-0.2549644876069</v>
      </c>
      <c r="X13" s="11" t="n">
        <v>87039</v>
      </c>
      <c r="Y13" s="5" t="s">
        <v>115</v>
      </c>
      <c r="Z13" s="5" t="s">
        <v>117</v>
      </c>
      <c r="AA13" s="5" t="s">
        <v>116</v>
      </c>
      <c r="AB13" s="5"/>
      <c r="AC13" s="5" t="s">
        <v>118</v>
      </c>
      <c r="AD13" s="14" t="n">
        <v>46288.771875</v>
      </c>
    </row>
    <row r="14" customFormat="false" ht="15" hidden="false" customHeight="false" outlineLevel="0" collapsed="false">
      <c r="A14" s="5" t="s">
        <v>119</v>
      </c>
      <c r="B14" s="5" t="s">
        <v>120</v>
      </c>
      <c r="C14" s="5" t="s">
        <v>55</v>
      </c>
      <c r="D14" s="5" t="s">
        <v>56</v>
      </c>
      <c r="E14" s="5" t="s">
        <v>65</v>
      </c>
      <c r="F14" s="5" t="s">
        <v>66</v>
      </c>
      <c r="G14" s="5" t="s">
        <v>59</v>
      </c>
      <c r="H14" s="5" t="s">
        <v>60</v>
      </c>
      <c r="I14" s="6" t="n">
        <v>0.04166667</v>
      </c>
      <c r="J14" s="7" t="n">
        <f aca="false">IF(I14="","",1/I14)</f>
        <v>23.9999980800002</v>
      </c>
      <c r="K14" s="8" t="n">
        <v>25.25</v>
      </c>
      <c r="L14" s="9" t="n">
        <v>0.34</v>
      </c>
      <c r="M14" s="10" t="n">
        <v>0.0136</v>
      </c>
      <c r="N14" s="8" t="n">
        <v>24.58</v>
      </c>
      <c r="O14" s="8" t="n">
        <v>24.04</v>
      </c>
      <c r="P14" s="8" t="n">
        <v>25.25</v>
      </c>
      <c r="Q14" s="8" t="n">
        <v>24.6</v>
      </c>
      <c r="R14" s="11" t="n">
        <v>2392</v>
      </c>
      <c r="S14" s="11" t="n">
        <f aca="false">K14*R14</f>
        <v>60398</v>
      </c>
      <c r="T14" s="8" t="n">
        <v>17.6</v>
      </c>
      <c r="U14" s="8" t="n">
        <v>45.15</v>
      </c>
      <c r="V14" s="12" t="n">
        <f aca="false">IF(U14-T14=0,"",(K14-T14)/(U14-T14))</f>
        <v>0.277676950998185</v>
      </c>
      <c r="W14" s="13" t="n">
        <f aca="false">IF(U14=0,"",K14/U14-1)</f>
        <v>-0.440753045404208</v>
      </c>
      <c r="X14" s="11" t="n">
        <v>70537</v>
      </c>
      <c r="Y14" s="5" t="s">
        <v>65</v>
      </c>
      <c r="Z14" s="5" t="s">
        <v>67</v>
      </c>
      <c r="AA14" s="5" t="s">
        <v>66</v>
      </c>
      <c r="AB14" s="5"/>
      <c r="AC14" s="5" t="s">
        <v>121</v>
      </c>
      <c r="AD14" s="14" t="n">
        <v>46288.771875</v>
      </c>
    </row>
    <row r="15" customFormat="false" ht="15" hidden="false" customHeight="false" outlineLevel="0" collapsed="false">
      <c r="A15" s="5" t="s">
        <v>122</v>
      </c>
      <c r="B15" s="5" t="s">
        <v>123</v>
      </c>
      <c r="C15" s="5" t="s">
        <v>55</v>
      </c>
      <c r="D15" s="5" t="s">
        <v>56</v>
      </c>
      <c r="E15" s="5" t="s">
        <v>99</v>
      </c>
      <c r="F15" s="5" t="s">
        <v>100</v>
      </c>
      <c r="G15" s="5" t="s">
        <v>59</v>
      </c>
      <c r="H15" s="5"/>
      <c r="I15" s="6"/>
      <c r="J15" s="7" t="str">
        <f aca="false">IF(I15="","",1/I15)</f>
        <v/>
      </c>
      <c r="K15" s="8" t="n">
        <v>192.28</v>
      </c>
      <c r="L15" s="9" t="n">
        <v>-5.89</v>
      </c>
      <c r="M15" s="10" t="n">
        <v>-0.0297</v>
      </c>
      <c r="N15" s="8" t="n">
        <v>191.14</v>
      </c>
      <c r="O15" s="8" t="n">
        <v>189.24</v>
      </c>
      <c r="P15" s="8" t="n">
        <v>192.28</v>
      </c>
      <c r="Q15" s="8" t="n">
        <v>192.28</v>
      </c>
      <c r="R15" s="11" t="n">
        <v>6</v>
      </c>
      <c r="S15" s="11" t="n">
        <f aca="false">K15*R15</f>
        <v>1153.68</v>
      </c>
      <c r="T15" s="8" t="n">
        <v>164.56</v>
      </c>
      <c r="U15" s="8" t="n">
        <v>248.5</v>
      </c>
      <c r="V15" s="12" t="n">
        <f aca="false">IF(U15-T15=0,"",(K15-T15)/(U15-T15))</f>
        <v>0.33023588277341</v>
      </c>
      <c r="W15" s="13" t="n">
        <f aca="false">IF(U15=0,"",K15/U15-1)</f>
        <v>-0.226237424547284</v>
      </c>
      <c r="X15" s="11" t="n">
        <v>55730</v>
      </c>
      <c r="Y15" s="5" t="s">
        <v>99</v>
      </c>
      <c r="Z15" s="5" t="s">
        <v>101</v>
      </c>
      <c r="AA15" s="5" t="s">
        <v>100</v>
      </c>
      <c r="AB15" s="5" t="s">
        <v>111</v>
      </c>
      <c r="AC15" s="5" t="s">
        <v>124</v>
      </c>
      <c r="AD15" s="14" t="n">
        <v>46288.771875</v>
      </c>
    </row>
    <row r="16" customFormat="false" ht="15" hidden="false" customHeight="false" outlineLevel="0" collapsed="false">
      <c r="A16" s="5" t="s">
        <v>125</v>
      </c>
      <c r="B16" s="5" t="s">
        <v>126</v>
      </c>
      <c r="C16" s="5" t="s">
        <v>55</v>
      </c>
      <c r="D16" s="5" t="s">
        <v>56</v>
      </c>
      <c r="E16" s="5" t="s">
        <v>127</v>
      </c>
      <c r="F16" s="5" t="s">
        <v>128</v>
      </c>
      <c r="G16" s="5" t="s">
        <v>59</v>
      </c>
      <c r="H16" s="5" t="s">
        <v>60</v>
      </c>
      <c r="I16" s="6" t="n">
        <v>1</v>
      </c>
      <c r="J16" s="7" t="n">
        <f aca="false">IF(I16="","",1/I16)</f>
        <v>1</v>
      </c>
      <c r="K16" s="8" t="n">
        <v>209.16</v>
      </c>
      <c r="L16" s="9" t="n">
        <v>2.1</v>
      </c>
      <c r="M16" s="10" t="n">
        <v>0.0101</v>
      </c>
      <c r="N16" s="8" t="n">
        <v>207.06</v>
      </c>
      <c r="O16" s="8" t="n">
        <v>207.06</v>
      </c>
      <c r="P16" s="8" t="n">
        <v>209.16</v>
      </c>
      <c r="Q16" s="8" t="n">
        <v>209.16</v>
      </c>
      <c r="R16" s="11" t="n">
        <v>3</v>
      </c>
      <c r="S16" s="11" t="n">
        <f aca="false">K16*R16</f>
        <v>627.48</v>
      </c>
      <c r="T16" s="8" t="n">
        <v>174.72</v>
      </c>
      <c r="U16" s="8" t="n">
        <v>312</v>
      </c>
      <c r="V16" s="12" t="n">
        <f aca="false">IF(U16-T16=0,"",(K16-T16)/(U16-T16))</f>
        <v>0.250874125874126</v>
      </c>
      <c r="W16" s="13" t="n">
        <f aca="false">IF(U16=0,"",K16/U16-1)</f>
        <v>-0.329615384615385</v>
      </c>
      <c r="X16" s="11" t="n">
        <v>23937</v>
      </c>
      <c r="Y16" s="5" t="s">
        <v>127</v>
      </c>
      <c r="Z16" s="5" t="s">
        <v>129</v>
      </c>
      <c r="AA16" s="5" t="s">
        <v>128</v>
      </c>
      <c r="AB16" s="5"/>
      <c r="AC16" s="5" t="s">
        <v>130</v>
      </c>
      <c r="AD16" s="14" t="n">
        <v>46288.771875</v>
      </c>
    </row>
    <row r="17" customFormat="false" ht="15" hidden="false" customHeight="false" outlineLevel="0" collapsed="false">
      <c r="A17" s="5" t="s">
        <v>131</v>
      </c>
      <c r="B17" s="5" t="s">
        <v>132</v>
      </c>
      <c r="C17" s="5" t="s">
        <v>55</v>
      </c>
      <c r="D17" s="5" t="s">
        <v>56</v>
      </c>
      <c r="E17" s="5" t="s">
        <v>71</v>
      </c>
      <c r="F17" s="5" t="s">
        <v>72</v>
      </c>
      <c r="G17" s="5" t="s">
        <v>59</v>
      </c>
      <c r="H17" s="5" t="s">
        <v>60</v>
      </c>
      <c r="I17" s="6" t="n">
        <v>0.25</v>
      </c>
      <c r="J17" s="7" t="n">
        <f aca="false">IF(I17="","",1/I17)</f>
        <v>4</v>
      </c>
      <c r="K17" s="8" t="n">
        <v>130.39</v>
      </c>
      <c r="L17" s="9" t="n">
        <v>-8.49</v>
      </c>
      <c r="M17" s="10" t="n">
        <v>-0.0611</v>
      </c>
      <c r="N17" s="8" t="n">
        <v>130</v>
      </c>
      <c r="O17" s="8" t="n">
        <v>129.98</v>
      </c>
      <c r="P17" s="8" t="n">
        <v>131.04</v>
      </c>
      <c r="Q17" s="8" t="n">
        <v>130.39</v>
      </c>
      <c r="R17" s="11" t="n">
        <v>19</v>
      </c>
      <c r="S17" s="11" t="n">
        <f aca="false">K17*R17</f>
        <v>2477.41</v>
      </c>
      <c r="T17" s="8" t="n">
        <v>72.3</v>
      </c>
      <c r="U17" s="8" t="n">
        <v>148.5</v>
      </c>
      <c r="V17" s="12" t="n">
        <f aca="false">IF(U17-T17=0,"",(K17-T17)/(U17-T17))</f>
        <v>0.762335958005249</v>
      </c>
      <c r="W17" s="13" t="n">
        <f aca="false">IF(U17=0,"",K17/U17-1)</f>
        <v>-0.121952861952862</v>
      </c>
      <c r="X17" s="11" t="n">
        <v>20191</v>
      </c>
      <c r="Y17" s="5" t="s">
        <v>71</v>
      </c>
      <c r="Z17" s="5" t="s">
        <v>73</v>
      </c>
      <c r="AA17" s="5" t="s">
        <v>72</v>
      </c>
      <c r="AB17" s="5"/>
      <c r="AC17" s="5" t="s">
        <v>133</v>
      </c>
      <c r="AD17" s="14" t="n">
        <v>46288.771875</v>
      </c>
    </row>
    <row r="18" customFormat="false" ht="15" hidden="false" customHeight="false" outlineLevel="0" collapsed="false">
      <c r="A18" s="5" t="s">
        <v>134</v>
      </c>
      <c r="B18" s="5" t="s">
        <v>135</v>
      </c>
      <c r="C18" s="5" t="s">
        <v>55</v>
      </c>
      <c r="D18" s="5" t="s">
        <v>56</v>
      </c>
      <c r="E18" s="5" t="s">
        <v>99</v>
      </c>
      <c r="F18" s="5" t="s">
        <v>100</v>
      </c>
      <c r="G18" s="5" t="s">
        <v>59</v>
      </c>
      <c r="H18" s="5" t="s">
        <v>60</v>
      </c>
      <c r="I18" s="6" t="n">
        <v>0.05</v>
      </c>
      <c r="J18" s="7" t="n">
        <f aca="false">IF(I18="","",1/I18)</f>
        <v>20</v>
      </c>
      <c r="K18" s="8" t="n">
        <v>63.72</v>
      </c>
      <c r="L18" s="9" t="n">
        <v>0.66</v>
      </c>
      <c r="M18" s="10" t="n">
        <v>0.0105</v>
      </c>
      <c r="N18" s="8" t="n">
        <v>63.72</v>
      </c>
      <c r="O18" s="8" t="n">
        <v>63.72</v>
      </c>
      <c r="P18" s="8" t="n">
        <v>63.72</v>
      </c>
      <c r="Q18" s="8" t="n">
        <v>63.72</v>
      </c>
      <c r="R18" s="11" t="n">
        <v>70</v>
      </c>
      <c r="S18" s="11" t="n">
        <f aca="false">K18*R18</f>
        <v>4460.4</v>
      </c>
      <c r="T18" s="8" t="n">
        <v>50.25</v>
      </c>
      <c r="U18" s="8" t="n">
        <v>132.4</v>
      </c>
      <c r="V18" s="12" t="n">
        <f aca="false">IF(U18-T18=0,"",(K18-T18)/(U18-T18))</f>
        <v>0.163968350578211</v>
      </c>
      <c r="W18" s="13" t="n">
        <f aca="false">IF(U18=0,"",K18/U18-1)</f>
        <v>-0.518731117824773</v>
      </c>
      <c r="X18" s="11" t="n">
        <v>172329</v>
      </c>
      <c r="Y18" s="5" t="s">
        <v>99</v>
      </c>
      <c r="Z18" s="5" t="s">
        <v>101</v>
      </c>
      <c r="AA18" s="5" t="s">
        <v>100</v>
      </c>
      <c r="AB18" s="5"/>
      <c r="AC18" s="5" t="s">
        <v>136</v>
      </c>
      <c r="AD18" s="14" t="n">
        <v>46288.771875</v>
      </c>
    </row>
    <row r="19" customFormat="false" ht="15" hidden="false" customHeight="false" outlineLevel="0" collapsed="false">
      <c r="A19" s="5" t="s">
        <v>137</v>
      </c>
      <c r="B19" s="5" t="s">
        <v>138</v>
      </c>
      <c r="C19" s="5" t="s">
        <v>55</v>
      </c>
      <c r="D19" s="5" t="s">
        <v>56</v>
      </c>
      <c r="E19" s="5" t="s">
        <v>77</v>
      </c>
      <c r="F19" s="5" t="s">
        <v>78</v>
      </c>
      <c r="G19" s="5" t="s">
        <v>59</v>
      </c>
      <c r="H19" s="5" t="s">
        <v>60</v>
      </c>
      <c r="I19" s="6" t="n">
        <v>0.125</v>
      </c>
      <c r="J19" s="7" t="n">
        <f aca="false">IF(I19="","",1/I19)</f>
        <v>8</v>
      </c>
      <c r="K19" s="8" t="n">
        <v>396</v>
      </c>
      <c r="L19" s="9" t="n">
        <v>-0.85</v>
      </c>
      <c r="M19" s="10" t="n">
        <v>-0.0021</v>
      </c>
      <c r="N19" s="8" t="n">
        <v>397.29</v>
      </c>
      <c r="O19" s="8" t="n">
        <v>391.15</v>
      </c>
      <c r="P19" s="8" t="n">
        <v>399.51</v>
      </c>
      <c r="Q19" s="8" t="n">
        <v>396.26</v>
      </c>
      <c r="R19" s="11" t="n">
        <v>36230</v>
      </c>
      <c r="S19" s="11" t="n">
        <f aca="false">K19*R19</f>
        <v>14347080</v>
      </c>
      <c r="T19" s="8" t="n">
        <v>103.35</v>
      </c>
      <c r="U19" s="8" t="n">
        <v>399.51</v>
      </c>
      <c r="V19" s="12" t="n">
        <f aca="false">IF(U19-T19=0,"",(K19-T19)/(U19-T19))</f>
        <v>0.98814829821718</v>
      </c>
      <c r="W19" s="13" t="n">
        <f aca="false">IF(U19=0,"",K19/U19-1)</f>
        <v>-0.00878576255913488</v>
      </c>
      <c r="X19" s="11" t="n">
        <v>5211305</v>
      </c>
      <c r="Y19" s="5" t="s">
        <v>77</v>
      </c>
      <c r="Z19" s="5" t="s">
        <v>79</v>
      </c>
      <c r="AA19" s="5" t="s">
        <v>78</v>
      </c>
      <c r="AB19" s="5"/>
      <c r="AC19" s="5" t="s">
        <v>139</v>
      </c>
      <c r="AD19" s="14" t="n">
        <v>46288.771875</v>
      </c>
    </row>
    <row r="20" customFormat="false" ht="15" hidden="false" customHeight="false" outlineLevel="0" collapsed="false">
      <c r="A20" s="5" t="s">
        <v>140</v>
      </c>
      <c r="B20" s="5" t="s">
        <v>141</v>
      </c>
      <c r="C20" s="5" t="s">
        <v>55</v>
      </c>
      <c r="D20" s="5" t="s">
        <v>56</v>
      </c>
      <c r="E20" s="5" t="s">
        <v>142</v>
      </c>
      <c r="F20" s="5" t="s">
        <v>143</v>
      </c>
      <c r="G20" s="5" t="s">
        <v>59</v>
      </c>
      <c r="H20" s="5"/>
      <c r="I20" s="6"/>
      <c r="J20" s="7" t="str">
        <f aca="false">IF(I20="","",1/I20)</f>
        <v/>
      </c>
      <c r="K20" s="8" t="n">
        <v>52.05</v>
      </c>
      <c r="L20" s="9" t="n">
        <v>2.45</v>
      </c>
      <c r="M20" s="10" t="n">
        <v>0.0494</v>
      </c>
      <c r="N20" s="8" t="n">
        <v>52.44</v>
      </c>
      <c r="O20" s="8" t="n">
        <v>52.05</v>
      </c>
      <c r="P20" s="8" t="n">
        <v>52.44</v>
      </c>
      <c r="Q20" s="8" t="n">
        <v>52.05</v>
      </c>
      <c r="R20" s="11" t="n">
        <v>201</v>
      </c>
      <c r="S20" s="11" t="n">
        <f aca="false">K20*R20</f>
        <v>10462.05</v>
      </c>
      <c r="T20" s="8" t="n">
        <v>40.37</v>
      </c>
      <c r="U20" s="8" t="n">
        <v>53.99</v>
      </c>
      <c r="V20" s="12" t="n">
        <f aca="false">IF(U20-T20=0,"",(K20-T20)/(U20-T20))</f>
        <v>0.857562408223201</v>
      </c>
      <c r="W20" s="13" t="n">
        <f aca="false">IF(U20=0,"",K20/U20-1)</f>
        <v>-0.0359325801074274</v>
      </c>
      <c r="X20" s="11" t="n">
        <v>287938</v>
      </c>
      <c r="Y20" s="5" t="s">
        <v>142</v>
      </c>
      <c r="Z20" s="5" t="s">
        <v>144</v>
      </c>
      <c r="AA20" s="5" t="s">
        <v>143</v>
      </c>
      <c r="AB20" s="5" t="s">
        <v>111</v>
      </c>
      <c r="AC20" s="5" t="s">
        <v>145</v>
      </c>
      <c r="AD20" s="14" t="n">
        <v>46288.771875</v>
      </c>
    </row>
    <row r="21" customFormat="false" ht="15" hidden="false" customHeight="false" outlineLevel="0" collapsed="false">
      <c r="A21" s="5" t="s">
        <v>146</v>
      </c>
      <c r="B21" s="5" t="s">
        <v>147</v>
      </c>
      <c r="C21" s="5" t="s">
        <v>55</v>
      </c>
      <c r="D21" s="5" t="s">
        <v>56</v>
      </c>
      <c r="E21" s="5" t="s">
        <v>71</v>
      </c>
      <c r="F21" s="5" t="s">
        <v>72</v>
      </c>
      <c r="G21" s="5" t="s">
        <v>59</v>
      </c>
      <c r="H21" s="5" t="s">
        <v>60</v>
      </c>
      <c r="I21" s="6" t="n">
        <v>0.025</v>
      </c>
      <c r="J21" s="7" t="n">
        <f aca="false">IF(I21="","",1/I21)</f>
        <v>40</v>
      </c>
      <c r="K21" s="8" t="n">
        <v>65.58</v>
      </c>
      <c r="L21" s="9" t="n">
        <v>-4.56</v>
      </c>
      <c r="M21" s="10" t="n">
        <v>-0.065</v>
      </c>
      <c r="N21" s="8" t="n">
        <v>64.46</v>
      </c>
      <c r="O21" s="8" t="n">
        <v>64.46</v>
      </c>
      <c r="P21" s="8" t="n">
        <v>65.58</v>
      </c>
      <c r="Q21" s="8" t="n">
        <v>65.58</v>
      </c>
      <c r="R21" s="11" t="n">
        <v>45</v>
      </c>
      <c r="S21" s="11" t="n">
        <f aca="false">K21*R21</f>
        <v>2951.1</v>
      </c>
      <c r="T21" s="8" t="n">
        <v>55</v>
      </c>
      <c r="U21" s="8" t="n">
        <v>74.13</v>
      </c>
      <c r="V21" s="12" t="n">
        <f aca="false">IF(U21-T21=0,"",(K21-T21)/(U21-T21))</f>
        <v>0.553058024046001</v>
      </c>
      <c r="W21" s="13" t="n">
        <f aca="false">IF(U21=0,"",K21/U21-1)</f>
        <v>-0.115337919870498</v>
      </c>
      <c r="X21" s="11" t="n">
        <v>231624</v>
      </c>
      <c r="Y21" s="5" t="s">
        <v>71</v>
      </c>
      <c r="Z21" s="5" t="s">
        <v>73</v>
      </c>
      <c r="AA21" s="5" t="s">
        <v>72</v>
      </c>
      <c r="AB21" s="5"/>
      <c r="AC21" s="5" t="s">
        <v>148</v>
      </c>
      <c r="AD21" s="14" t="n">
        <v>46288.771875</v>
      </c>
    </row>
    <row r="22" customFormat="false" ht="15" hidden="false" customHeight="false" outlineLevel="0" collapsed="false">
      <c r="A22" s="5" t="s">
        <v>149</v>
      </c>
      <c r="B22" s="5" t="s">
        <v>150</v>
      </c>
      <c r="C22" s="5" t="s">
        <v>55</v>
      </c>
      <c r="D22" s="5" t="s">
        <v>56</v>
      </c>
      <c r="E22" s="5" t="s">
        <v>142</v>
      </c>
      <c r="F22" s="5" t="s">
        <v>143</v>
      </c>
      <c r="G22" s="5" t="s">
        <v>59</v>
      </c>
      <c r="H22" s="5" t="s">
        <v>60</v>
      </c>
      <c r="I22" s="6" t="n">
        <v>0.1</v>
      </c>
      <c r="J22" s="7" t="n">
        <f aca="false">IF(I22="","",1/I22)</f>
        <v>10</v>
      </c>
      <c r="K22" s="8" t="n">
        <v>246</v>
      </c>
      <c r="L22" s="9" t="n">
        <v>4.8</v>
      </c>
      <c r="M22" s="10" t="n">
        <v>0.0199</v>
      </c>
      <c r="N22" s="8" t="n">
        <v>244.1</v>
      </c>
      <c r="O22" s="8" t="n">
        <v>237.45</v>
      </c>
      <c r="P22" s="8" t="n">
        <v>246</v>
      </c>
      <c r="Q22" s="8" t="n">
        <v>244.7</v>
      </c>
      <c r="R22" s="11" t="n">
        <v>4117</v>
      </c>
      <c r="S22" s="11" t="n">
        <f aca="false">K22*R22</f>
        <v>1012782</v>
      </c>
      <c r="T22" s="8" t="n">
        <v>104.97</v>
      </c>
      <c r="U22" s="8" t="n">
        <v>382.67</v>
      </c>
      <c r="V22" s="12" t="n">
        <f aca="false">IF(U22-T22=0,"",(K22-T22)/(U22-T22))</f>
        <v>0.507850198055456</v>
      </c>
      <c r="W22" s="13" t="n">
        <f aca="false">IF(U22=0,"",K22/U22-1)</f>
        <v>-0.357148456894975</v>
      </c>
      <c r="X22" s="11" t="n">
        <v>1918849</v>
      </c>
      <c r="Y22" s="5" t="s">
        <v>142</v>
      </c>
      <c r="Z22" s="5" t="s">
        <v>144</v>
      </c>
      <c r="AA22" s="5" t="s">
        <v>143</v>
      </c>
      <c r="AB22" s="5"/>
      <c r="AC22" s="5" t="s">
        <v>151</v>
      </c>
      <c r="AD22" s="14" t="n">
        <v>46288.771875</v>
      </c>
    </row>
    <row r="23" customFormat="false" ht="15" hidden="false" customHeight="false" outlineLevel="0" collapsed="false">
      <c r="A23" s="5" t="s">
        <v>152</v>
      </c>
      <c r="B23" s="5" t="s">
        <v>153</v>
      </c>
      <c r="C23" s="5" t="s">
        <v>55</v>
      </c>
      <c r="D23" s="5" t="s">
        <v>56</v>
      </c>
      <c r="E23" s="5" t="s">
        <v>77</v>
      </c>
      <c r="F23" s="5" t="s">
        <v>78</v>
      </c>
      <c r="G23" s="5" t="s">
        <v>59</v>
      </c>
      <c r="H23" s="5" t="s">
        <v>60</v>
      </c>
      <c r="I23" s="6" t="n">
        <v>0.25</v>
      </c>
      <c r="J23" s="7" t="n">
        <f aca="false">IF(I23="","",1/I23)</f>
        <v>4</v>
      </c>
      <c r="K23" s="8" t="n">
        <v>262.6</v>
      </c>
      <c r="L23" s="9" t="n">
        <v>0.78</v>
      </c>
      <c r="M23" s="10" t="n">
        <v>0.003</v>
      </c>
      <c r="N23" s="8" t="n">
        <v>260.53</v>
      </c>
      <c r="O23" s="8" t="n">
        <v>259.48</v>
      </c>
      <c r="P23" s="8" t="n">
        <v>263.15</v>
      </c>
      <c r="Q23" s="8" t="n">
        <v>262.6</v>
      </c>
      <c r="R23" s="11" t="n">
        <v>435</v>
      </c>
      <c r="S23" s="11" t="n">
        <f aca="false">K23*R23</f>
        <v>114231</v>
      </c>
      <c r="T23" s="8" t="n">
        <v>151.97</v>
      </c>
      <c r="U23" s="8" t="n">
        <v>272.91</v>
      </c>
      <c r="V23" s="12" t="n">
        <f aca="false">IF(U23-T23=0,"",(K23-T23)/(U23-T23))</f>
        <v>0.914751116255995</v>
      </c>
      <c r="W23" s="13" t="n">
        <f aca="false">IF(U23=0,"",K23/U23-1)</f>
        <v>-0.0377780220585541</v>
      </c>
      <c r="X23" s="11" t="n">
        <v>1324415</v>
      </c>
      <c r="Y23" s="5" t="s">
        <v>77</v>
      </c>
      <c r="Z23" s="5" t="s">
        <v>79</v>
      </c>
      <c r="AA23" s="5" t="s">
        <v>78</v>
      </c>
      <c r="AB23" s="5"/>
      <c r="AC23" s="5" t="s">
        <v>154</v>
      </c>
      <c r="AD23" s="14" t="n">
        <v>46288.771875</v>
      </c>
    </row>
    <row r="24" customFormat="false" ht="15" hidden="false" customHeight="false" outlineLevel="0" collapsed="false">
      <c r="A24" s="5" t="s">
        <v>155</v>
      </c>
      <c r="B24" s="5" t="s">
        <v>156</v>
      </c>
      <c r="C24" s="5" t="s">
        <v>55</v>
      </c>
      <c r="D24" s="5" t="s">
        <v>56</v>
      </c>
      <c r="E24" s="5" t="s">
        <v>71</v>
      </c>
      <c r="F24" s="5" t="s">
        <v>72</v>
      </c>
      <c r="G24" s="5" t="s">
        <v>59</v>
      </c>
      <c r="H24" s="5" t="s">
        <v>60</v>
      </c>
      <c r="I24" s="6" t="n">
        <v>0.041667</v>
      </c>
      <c r="J24" s="7" t="n">
        <f aca="false">IF(I24="","",1/I24)</f>
        <v>23.999808001536</v>
      </c>
      <c r="K24" s="8" t="n">
        <v>60.95</v>
      </c>
      <c r="L24" s="9" t="n">
        <v>0.2</v>
      </c>
      <c r="M24" s="10" t="n">
        <v>0.0033</v>
      </c>
      <c r="N24" s="8" t="n">
        <v>60.95</v>
      </c>
      <c r="O24" s="8" t="n">
        <v>60.95</v>
      </c>
      <c r="P24" s="8" t="n">
        <v>60.95</v>
      </c>
      <c r="Q24" s="8" t="n">
        <v>60.95</v>
      </c>
      <c r="R24" s="11" t="n">
        <v>1</v>
      </c>
      <c r="S24" s="11" t="n">
        <f aca="false">K24*R24</f>
        <v>60.95</v>
      </c>
      <c r="T24" s="8" t="n">
        <v>60.4</v>
      </c>
      <c r="U24" s="8" t="n">
        <v>81.25000163</v>
      </c>
      <c r="V24" s="12" t="n">
        <f aca="false">IF(U24-T24=0,"",(K24-T24)/(U24-T24))</f>
        <v>0.0263788948202593</v>
      </c>
      <c r="W24" s="13" t="n">
        <f aca="false">IF(U24=0,"",K24/U24-1)</f>
        <v>-0.249846168895394</v>
      </c>
      <c r="X24" s="11" t="n">
        <v>310589</v>
      </c>
      <c r="Y24" s="5" t="s">
        <v>71</v>
      </c>
      <c r="Z24" s="5" t="s">
        <v>73</v>
      </c>
      <c r="AA24" s="5" t="s">
        <v>72</v>
      </c>
      <c r="AB24" s="5"/>
      <c r="AC24" s="5" t="s">
        <v>157</v>
      </c>
      <c r="AD24" s="14" t="n">
        <v>46288.771875</v>
      </c>
    </row>
    <row r="25" customFormat="false" ht="15" hidden="false" customHeight="false" outlineLevel="0" collapsed="false">
      <c r="A25" s="5" t="s">
        <v>158</v>
      </c>
      <c r="B25" s="5" t="s">
        <v>159</v>
      </c>
      <c r="C25" s="5" t="s">
        <v>55</v>
      </c>
      <c r="D25" s="5" t="s">
        <v>56</v>
      </c>
      <c r="E25" s="5" t="s">
        <v>160</v>
      </c>
      <c r="F25" s="5" t="s">
        <v>161</v>
      </c>
      <c r="G25" s="5" t="s">
        <v>59</v>
      </c>
      <c r="H25" s="5" t="s">
        <v>60</v>
      </c>
      <c r="I25" s="6" t="n">
        <v>1</v>
      </c>
      <c r="J25" s="7" t="n">
        <f aca="false">IF(I25="","",1/I25)</f>
        <v>1</v>
      </c>
      <c r="K25" s="8" t="n">
        <v>225.94</v>
      </c>
      <c r="L25" s="9" t="n">
        <v>5.59</v>
      </c>
      <c r="M25" s="10" t="n">
        <v>0.0254</v>
      </c>
      <c r="N25" s="8" t="n">
        <v>225.94</v>
      </c>
      <c r="O25" s="8" t="n">
        <v>225.94</v>
      </c>
      <c r="P25" s="8" t="n">
        <v>225.94</v>
      </c>
      <c r="Q25" s="8" t="n">
        <v>225.94</v>
      </c>
      <c r="R25" s="11" t="n">
        <v>6</v>
      </c>
      <c r="S25" s="11" t="n">
        <f aca="false">K25*R25</f>
        <v>1355.64</v>
      </c>
      <c r="T25" s="8" t="n">
        <v>118</v>
      </c>
      <c r="U25" s="8" t="n">
        <v>234.37</v>
      </c>
      <c r="V25" s="12" t="n">
        <f aca="false">IF(U25-T25=0,"",(K25-T25)/(U25-T25))</f>
        <v>0.927558649136375</v>
      </c>
      <c r="W25" s="13" t="n">
        <f aca="false">IF(U25=0,"",K25/U25-1)</f>
        <v>-0.0359687673337031</v>
      </c>
      <c r="X25" s="11" t="n">
        <v>75844</v>
      </c>
      <c r="Y25" s="5" t="s">
        <v>160</v>
      </c>
      <c r="Z25" s="5" t="s">
        <v>162</v>
      </c>
      <c r="AA25" s="5" t="s">
        <v>161</v>
      </c>
      <c r="AB25" s="5"/>
      <c r="AC25" s="5" t="s">
        <v>163</v>
      </c>
      <c r="AD25" s="14" t="n">
        <v>46288.771875</v>
      </c>
    </row>
    <row r="26" customFormat="false" ht="15" hidden="false" customHeight="false" outlineLevel="0" collapsed="false">
      <c r="A26" s="5" t="s">
        <v>164</v>
      </c>
      <c r="B26" s="5" t="s">
        <v>165</v>
      </c>
      <c r="C26" s="5" t="s">
        <v>55</v>
      </c>
      <c r="D26" s="5" t="s">
        <v>56</v>
      </c>
      <c r="E26" s="5" t="s">
        <v>65</v>
      </c>
      <c r="F26" s="5" t="s">
        <v>66</v>
      </c>
      <c r="G26" s="5" t="s">
        <v>59</v>
      </c>
      <c r="H26" s="5" t="s">
        <v>60</v>
      </c>
      <c r="I26" s="6" t="n">
        <v>0.041667</v>
      </c>
      <c r="J26" s="7" t="n">
        <f aca="false">IF(I26="","",1/I26)</f>
        <v>23.999808001536</v>
      </c>
      <c r="K26" s="8" t="n">
        <v>60.56</v>
      </c>
      <c r="L26" s="9" t="n">
        <v>-1.9</v>
      </c>
      <c r="M26" s="10" t="n">
        <v>-0.0304</v>
      </c>
      <c r="N26" s="8" t="n">
        <v>60.56</v>
      </c>
      <c r="O26" s="8" t="n">
        <v>60.56</v>
      </c>
      <c r="P26" s="8" t="n">
        <v>60.56</v>
      </c>
      <c r="Q26" s="8" t="n">
        <v>60.56</v>
      </c>
      <c r="R26" s="11" t="n">
        <v>3</v>
      </c>
      <c r="S26" s="11" t="n">
        <f aca="false">K26*R26</f>
        <v>181.68</v>
      </c>
      <c r="T26" s="8" t="n">
        <v>51.01666769</v>
      </c>
      <c r="U26" s="8" t="n">
        <v>66.99</v>
      </c>
      <c r="V26" s="12" t="n">
        <f aca="false">IF(U26-T26=0,"",(K26-T26)/(U26-T26))</f>
        <v>0.597454064361102</v>
      </c>
      <c r="W26" s="13" t="n">
        <f aca="false">IF(U26=0,"",K26/U26-1)</f>
        <v>-0.09598447529482</v>
      </c>
      <c r="X26" s="11" t="n">
        <v>328057</v>
      </c>
      <c r="Y26" s="5" t="s">
        <v>65</v>
      </c>
      <c r="Z26" s="5" t="s">
        <v>67</v>
      </c>
      <c r="AA26" s="5" t="s">
        <v>66</v>
      </c>
      <c r="AB26" s="5"/>
      <c r="AC26" s="5" t="s">
        <v>166</v>
      </c>
      <c r="AD26" s="14" t="n">
        <v>46288.771875</v>
      </c>
    </row>
    <row r="27" customFormat="false" ht="15" hidden="false" customHeight="false" outlineLevel="0" collapsed="false">
      <c r="A27" s="5" t="s">
        <v>167</v>
      </c>
      <c r="B27" s="5" t="s">
        <v>168</v>
      </c>
      <c r="C27" s="5" t="s">
        <v>55</v>
      </c>
      <c r="D27" s="5" t="s">
        <v>56</v>
      </c>
      <c r="E27" s="5" t="s">
        <v>77</v>
      </c>
      <c r="F27" s="5" t="s">
        <v>78</v>
      </c>
      <c r="G27" s="5" t="s">
        <v>59</v>
      </c>
      <c r="H27" s="5" t="s">
        <v>60</v>
      </c>
      <c r="I27" s="6" t="n">
        <v>0.083333</v>
      </c>
      <c r="J27" s="7" t="n">
        <f aca="false">IF(I27="","",1/I27)</f>
        <v>12.000048000192</v>
      </c>
      <c r="K27" s="8" t="n">
        <v>35.44</v>
      </c>
      <c r="L27" s="9" t="n">
        <v>0.1</v>
      </c>
      <c r="M27" s="10" t="n">
        <v>0.0028</v>
      </c>
      <c r="N27" s="8" t="n">
        <v>35.63</v>
      </c>
      <c r="O27" s="8" t="n">
        <v>35.05</v>
      </c>
      <c r="P27" s="8" t="n">
        <v>35.63</v>
      </c>
      <c r="Q27" s="8" t="n">
        <v>35.44</v>
      </c>
      <c r="R27" s="11" t="n">
        <v>3940</v>
      </c>
      <c r="S27" s="11" t="n">
        <f aca="false">K27*R27</f>
        <v>139633.6</v>
      </c>
      <c r="T27" s="8" t="n">
        <v>24.72000049</v>
      </c>
      <c r="U27" s="8" t="n">
        <v>68.2</v>
      </c>
      <c r="V27" s="12" t="n">
        <f aca="false">IF(U27-T27=0,"",(K27-T27)/(U27-T27))</f>
        <v>0.24655012950344</v>
      </c>
      <c r="W27" s="13" t="n">
        <f aca="false">IF(U27=0,"",K27/U27-1)</f>
        <v>-0.480351906158358</v>
      </c>
      <c r="X27" s="11" t="n">
        <v>1045449</v>
      </c>
      <c r="Y27" s="5" t="s">
        <v>77</v>
      </c>
      <c r="Z27" s="5" t="s">
        <v>79</v>
      </c>
      <c r="AA27" s="5" t="s">
        <v>78</v>
      </c>
      <c r="AB27" s="5"/>
      <c r="AC27" s="5" t="s">
        <v>169</v>
      </c>
      <c r="AD27" s="14" t="n">
        <v>46288.771875</v>
      </c>
    </row>
    <row r="28" customFormat="false" ht="15" hidden="false" customHeight="false" outlineLevel="0" collapsed="false">
      <c r="A28" s="5" t="s">
        <v>170</v>
      </c>
      <c r="B28" s="5" t="s">
        <v>171</v>
      </c>
      <c r="C28" s="5" t="s">
        <v>55</v>
      </c>
      <c r="D28" s="5" t="s">
        <v>56</v>
      </c>
      <c r="E28" s="5" t="s">
        <v>115</v>
      </c>
      <c r="F28" s="5" t="s">
        <v>116</v>
      </c>
      <c r="G28" s="5" t="s">
        <v>59</v>
      </c>
      <c r="H28" s="5" t="s">
        <v>60</v>
      </c>
      <c r="I28" s="6" t="n">
        <v>1</v>
      </c>
      <c r="J28" s="7" t="n">
        <f aca="false">IF(I28="","",1/I28)</f>
        <v>1</v>
      </c>
      <c r="K28" s="8" t="n">
        <v>144.6</v>
      </c>
      <c r="L28" s="9" t="n">
        <v>-3.1</v>
      </c>
      <c r="M28" s="10" t="n">
        <v>-0.021</v>
      </c>
      <c r="N28" s="8" t="n">
        <v>147.75</v>
      </c>
      <c r="O28" s="8" t="n">
        <v>144.15</v>
      </c>
      <c r="P28" s="8" t="n">
        <v>147.75</v>
      </c>
      <c r="Q28" s="8" t="n">
        <v>144.61</v>
      </c>
      <c r="R28" s="11" t="n">
        <v>154</v>
      </c>
      <c r="S28" s="11" t="n">
        <f aca="false">K28*R28</f>
        <v>22268.4</v>
      </c>
      <c r="T28" s="8" t="n">
        <v>104.36</v>
      </c>
      <c r="U28" s="8" t="n">
        <v>251.81</v>
      </c>
      <c r="V28" s="12" t="n">
        <f aca="false">IF(U28-T28=0,"",(K28-T28)/(U28-T28))</f>
        <v>0.272906069854188</v>
      </c>
      <c r="W28" s="13" t="n">
        <f aca="false">IF(U28=0,"",K28/U28-1)</f>
        <v>-0.425757515587149</v>
      </c>
      <c r="X28" s="11" t="n">
        <v>42572</v>
      </c>
      <c r="Y28" s="5" t="s">
        <v>115</v>
      </c>
      <c r="Z28" s="5" t="s">
        <v>117</v>
      </c>
      <c r="AA28" s="5" t="s">
        <v>116</v>
      </c>
      <c r="AB28" s="5"/>
      <c r="AC28" s="5" t="s">
        <v>172</v>
      </c>
      <c r="AD28" s="14" t="n">
        <v>46288.771875</v>
      </c>
    </row>
    <row r="29" customFormat="false" ht="15" hidden="false" customHeight="false" outlineLevel="0" collapsed="false">
      <c r="A29" s="5" t="s">
        <v>173</v>
      </c>
      <c r="B29" s="5" t="s">
        <v>174</v>
      </c>
      <c r="C29" s="5" t="s">
        <v>55</v>
      </c>
      <c r="D29" s="5" t="s">
        <v>56</v>
      </c>
      <c r="E29" s="5" t="s">
        <v>71</v>
      </c>
      <c r="F29" s="5" t="s">
        <v>72</v>
      </c>
      <c r="G29" s="5" t="s">
        <v>59</v>
      </c>
      <c r="H29" s="5" t="s">
        <v>60</v>
      </c>
      <c r="I29" s="6" t="n">
        <v>0.06666667</v>
      </c>
      <c r="J29" s="7" t="n">
        <f aca="false">IF(I29="","",1/I29)</f>
        <v>14.99999925</v>
      </c>
      <c r="K29" s="8" t="n">
        <v>42.81</v>
      </c>
      <c r="L29" s="9" t="n">
        <v>0.52</v>
      </c>
      <c r="M29" s="10" t="n">
        <v>0.0123</v>
      </c>
      <c r="N29" s="8" t="n">
        <v>42.29</v>
      </c>
      <c r="O29" s="8" t="n">
        <v>42.29</v>
      </c>
      <c r="P29" s="8" t="n">
        <v>43.21</v>
      </c>
      <c r="Q29" s="8" t="n">
        <v>42.81</v>
      </c>
      <c r="R29" s="11" t="n">
        <v>875</v>
      </c>
      <c r="S29" s="11" t="n">
        <f aca="false">K29*R29</f>
        <v>37458.75</v>
      </c>
      <c r="T29" s="8" t="n">
        <v>34.5</v>
      </c>
      <c r="U29" s="8" t="n">
        <v>56.2</v>
      </c>
      <c r="V29" s="12" t="n">
        <f aca="false">IF(U29-T29=0,"",(K29-T29)/(U29-T29))</f>
        <v>0.38294930875576</v>
      </c>
      <c r="W29" s="13" t="n">
        <f aca="false">IF(U29=0,"",K29/U29-1)</f>
        <v>-0.238256227758007</v>
      </c>
      <c r="X29" s="11" t="n">
        <v>375210</v>
      </c>
      <c r="Y29" s="5" t="s">
        <v>71</v>
      </c>
      <c r="Z29" s="5" t="s">
        <v>73</v>
      </c>
      <c r="AA29" s="5" t="s">
        <v>72</v>
      </c>
      <c r="AB29" s="5"/>
      <c r="AC29" s="5" t="s">
        <v>175</v>
      </c>
      <c r="AD29" s="14" t="n">
        <v>46288.771875</v>
      </c>
    </row>
    <row r="30" customFormat="false" ht="15" hidden="false" customHeight="false" outlineLevel="0" collapsed="false">
      <c r="A30" s="5" t="s">
        <v>176</v>
      </c>
      <c r="B30" s="5" t="s">
        <v>177</v>
      </c>
      <c r="C30" s="5" t="s">
        <v>55</v>
      </c>
      <c r="D30" s="5" t="s">
        <v>56</v>
      </c>
      <c r="E30" s="5" t="s">
        <v>115</v>
      </c>
      <c r="F30" s="5" t="s">
        <v>116</v>
      </c>
      <c r="G30" s="5" t="s">
        <v>178</v>
      </c>
      <c r="H30" s="5" t="s">
        <v>60</v>
      </c>
      <c r="I30" s="6" t="n">
        <v>0.03125</v>
      </c>
      <c r="J30" s="7" t="n">
        <f aca="false">IF(I30="","",1/I30)</f>
        <v>32</v>
      </c>
      <c r="K30" s="8" t="n">
        <v>50.97</v>
      </c>
      <c r="L30" s="9" t="n">
        <v>-1.24</v>
      </c>
      <c r="M30" s="10" t="n">
        <v>-0.0238</v>
      </c>
      <c r="N30" s="8" t="n">
        <v>52.74</v>
      </c>
      <c r="O30" s="8" t="n">
        <v>49.18</v>
      </c>
      <c r="P30" s="8" t="n">
        <v>52.74</v>
      </c>
      <c r="Q30" s="8" t="n">
        <v>50.97</v>
      </c>
      <c r="R30" s="11" t="n">
        <v>4417</v>
      </c>
      <c r="S30" s="11" t="n">
        <f aca="false">K30*R30</f>
        <v>225134.49</v>
      </c>
      <c r="T30" s="8" t="n">
        <v>48</v>
      </c>
      <c r="U30" s="8" t="n">
        <v>127.88</v>
      </c>
      <c r="V30" s="12" t="n">
        <f aca="false">IF(U30-T30=0,"",(K30-T30)/(U30-T30))</f>
        <v>0.0371807711567351</v>
      </c>
      <c r="W30" s="13" t="n">
        <f aca="false">IF(U30=0,"",K30/U30-1)</f>
        <v>-0.60142320925868</v>
      </c>
      <c r="X30" s="11" t="n">
        <v>562998</v>
      </c>
      <c r="Y30" s="5" t="s">
        <v>115</v>
      </c>
      <c r="Z30" s="5" t="s">
        <v>117</v>
      </c>
      <c r="AA30" s="5" t="s">
        <v>116</v>
      </c>
      <c r="AB30" s="5"/>
      <c r="AC30" s="5" t="s">
        <v>179</v>
      </c>
      <c r="AD30" s="14" t="n">
        <v>46288.771875</v>
      </c>
    </row>
    <row r="31" customFormat="false" ht="15" hidden="false" customHeight="false" outlineLevel="0" collapsed="false">
      <c r="A31" s="5" t="s">
        <v>180</v>
      </c>
      <c r="B31" s="5" t="s">
        <v>181</v>
      </c>
      <c r="C31" s="5" t="s">
        <v>55</v>
      </c>
      <c r="D31" s="5" t="s">
        <v>56</v>
      </c>
      <c r="E31" s="5" t="s">
        <v>182</v>
      </c>
      <c r="F31" s="5" t="s">
        <v>183</v>
      </c>
      <c r="G31" s="5" t="s">
        <v>59</v>
      </c>
      <c r="H31" s="5" t="s">
        <v>60</v>
      </c>
      <c r="I31" s="6" t="n">
        <v>1</v>
      </c>
      <c r="J31" s="7" t="n">
        <f aca="false">IF(I31="","",1/I31)</f>
        <v>1</v>
      </c>
      <c r="K31" s="8" t="n">
        <v>39.04</v>
      </c>
      <c r="L31" s="9" t="n">
        <v>-3.04</v>
      </c>
      <c r="M31" s="10" t="n">
        <v>-0.0722</v>
      </c>
      <c r="N31" s="8" t="n">
        <v>39.7</v>
      </c>
      <c r="O31" s="8" t="n">
        <v>39.04</v>
      </c>
      <c r="P31" s="8" t="n">
        <v>39.7</v>
      </c>
      <c r="Q31" s="8" t="n">
        <v>39.04</v>
      </c>
      <c r="R31" s="11" t="n">
        <v>204</v>
      </c>
      <c r="S31" s="11" t="n">
        <f aca="false">K31*R31</f>
        <v>7964.16</v>
      </c>
      <c r="T31" s="8" t="n">
        <v>35.28</v>
      </c>
      <c r="U31" s="8" t="n">
        <v>46.9</v>
      </c>
      <c r="V31" s="12" t="n">
        <f aca="false">IF(U31-T31=0,"",(K31-T31)/(U31-T31))</f>
        <v>0.323580034423408</v>
      </c>
      <c r="W31" s="13" t="n">
        <f aca="false">IF(U31=0,"",K31/U31-1)</f>
        <v>-0.167590618336887</v>
      </c>
      <c r="X31" s="11" t="n">
        <v>8125</v>
      </c>
      <c r="Y31" s="5" t="s">
        <v>182</v>
      </c>
      <c r="Z31" s="5" t="s">
        <v>184</v>
      </c>
      <c r="AA31" s="5" t="s">
        <v>183</v>
      </c>
      <c r="AB31" s="5"/>
      <c r="AC31" s="5" t="s">
        <v>185</v>
      </c>
      <c r="AD31" s="14" t="n">
        <v>46288.771875</v>
      </c>
    </row>
    <row r="32" customFormat="false" ht="15" hidden="false" customHeight="false" outlineLevel="0" collapsed="false">
      <c r="A32" s="5" t="s">
        <v>186</v>
      </c>
      <c r="B32" s="5" t="s">
        <v>187</v>
      </c>
      <c r="C32" s="5" t="s">
        <v>55</v>
      </c>
      <c r="D32" s="5" t="s">
        <v>56</v>
      </c>
      <c r="E32" s="5" t="s">
        <v>71</v>
      </c>
      <c r="F32" s="5" t="s">
        <v>72</v>
      </c>
      <c r="G32" s="5" t="s">
        <v>59</v>
      </c>
      <c r="H32" s="5" t="s">
        <v>60</v>
      </c>
      <c r="I32" s="6" t="n">
        <v>0.25</v>
      </c>
      <c r="J32" s="7" t="n">
        <f aca="false">IF(I32="","",1/I32)</f>
        <v>4</v>
      </c>
      <c r="K32" s="8" t="n">
        <v>66.98</v>
      </c>
      <c r="L32" s="9" t="n">
        <v>-1.9</v>
      </c>
      <c r="M32" s="10" t="n">
        <v>-0.0276</v>
      </c>
      <c r="N32" s="8" t="n">
        <v>68.88</v>
      </c>
      <c r="O32" s="8" t="n">
        <v>66.98</v>
      </c>
      <c r="P32" s="8" t="n">
        <v>68.88</v>
      </c>
      <c r="Q32" s="8" t="n">
        <v>66.98</v>
      </c>
      <c r="R32" s="11" t="n">
        <v>2359</v>
      </c>
      <c r="S32" s="11" t="n">
        <f aca="false">K32*R32</f>
        <v>158005.82</v>
      </c>
      <c r="T32" s="8" t="n">
        <v>49.66</v>
      </c>
      <c r="U32" s="8" t="n">
        <v>116</v>
      </c>
      <c r="V32" s="12" t="n">
        <f aca="false">IF(U32-T32=0,"",(K32-T32)/(U32-T32))</f>
        <v>0.261079288513717</v>
      </c>
      <c r="W32" s="13" t="n">
        <f aca="false">IF(U32=0,"",K32/U32-1)</f>
        <v>-0.422586206896552</v>
      </c>
      <c r="X32" s="11" t="n">
        <v>48021</v>
      </c>
      <c r="Y32" s="5" t="s">
        <v>71</v>
      </c>
      <c r="Z32" s="5" t="s">
        <v>73</v>
      </c>
      <c r="AA32" s="5" t="s">
        <v>72</v>
      </c>
      <c r="AB32" s="5"/>
      <c r="AC32" s="5" t="s">
        <v>188</v>
      </c>
      <c r="AD32" s="14" t="n">
        <v>46288.771875</v>
      </c>
    </row>
    <row r="33" customFormat="false" ht="15" hidden="false" customHeight="false" outlineLevel="0" collapsed="false">
      <c r="A33" s="5" t="s">
        <v>189</v>
      </c>
      <c r="B33" s="5" t="s">
        <v>190</v>
      </c>
      <c r="C33" s="5" t="s">
        <v>55</v>
      </c>
      <c r="D33" s="5" t="s">
        <v>56</v>
      </c>
      <c r="E33" s="5" t="s">
        <v>99</v>
      </c>
      <c r="F33" s="5" t="s">
        <v>100</v>
      </c>
      <c r="G33" s="5" t="s">
        <v>59</v>
      </c>
      <c r="H33" s="5" t="s">
        <v>86</v>
      </c>
      <c r="I33" s="6" t="n">
        <v>0.04</v>
      </c>
      <c r="J33" s="7" t="n">
        <f aca="false">IF(I33="","",1/I33)</f>
        <v>25</v>
      </c>
      <c r="K33" s="8" t="n">
        <v>198.3</v>
      </c>
      <c r="L33" s="9" t="n">
        <v>-4.69</v>
      </c>
      <c r="M33" s="10" t="n">
        <v>-0.0231</v>
      </c>
      <c r="N33" s="8" t="n">
        <v>198.3</v>
      </c>
      <c r="O33" s="8" t="n">
        <v>198.3</v>
      </c>
      <c r="P33" s="8" t="n">
        <v>198.3</v>
      </c>
      <c r="Q33" s="8" t="n">
        <v>198.3</v>
      </c>
      <c r="R33" s="11" t="n">
        <v>240</v>
      </c>
      <c r="S33" s="11" t="n">
        <f aca="false">K33*R33</f>
        <v>47592</v>
      </c>
      <c r="T33" s="8" t="n">
        <v>143.22</v>
      </c>
      <c r="U33" s="8" t="n">
        <v>213.15</v>
      </c>
      <c r="V33" s="12" t="n">
        <f aca="false">IF(U33-T33=0,"",(K33-T33)/(U33-T33))</f>
        <v>0.787644787644788</v>
      </c>
      <c r="W33" s="13" t="n">
        <f aca="false">IF(U33=0,"",K33/U33-1)</f>
        <v>-0.0696692470091485</v>
      </c>
      <c r="X33" s="11" t="n">
        <v>313518</v>
      </c>
      <c r="Y33" s="5" t="s">
        <v>99</v>
      </c>
      <c r="Z33" s="5" t="s">
        <v>101</v>
      </c>
      <c r="AA33" s="5" t="s">
        <v>100</v>
      </c>
      <c r="AB33" s="5"/>
      <c r="AC33" s="5" t="s">
        <v>191</v>
      </c>
      <c r="AD33" s="14" t="n">
        <v>46288.771875</v>
      </c>
    </row>
    <row r="34" customFormat="false" ht="15" hidden="false" customHeight="false" outlineLevel="0" collapsed="false">
      <c r="A34" s="5" t="s">
        <v>192</v>
      </c>
      <c r="B34" s="5" t="s">
        <v>193</v>
      </c>
      <c r="C34" s="5" t="s">
        <v>55</v>
      </c>
      <c r="D34" s="5" t="s">
        <v>56</v>
      </c>
      <c r="E34" s="5" t="s">
        <v>99</v>
      </c>
      <c r="F34" s="5" t="s">
        <v>100</v>
      </c>
      <c r="G34" s="5" t="s">
        <v>59</v>
      </c>
      <c r="H34" s="5" t="s">
        <v>86</v>
      </c>
      <c r="I34" s="6" t="n">
        <v>0.0666</v>
      </c>
      <c r="J34" s="7" t="n">
        <f aca="false">IF(I34="","",1/I34)</f>
        <v>15.015015015015</v>
      </c>
      <c r="K34" s="8" t="n">
        <v>77.28</v>
      </c>
      <c r="L34" s="9" t="n">
        <v>-2.5</v>
      </c>
      <c r="M34" s="10" t="n">
        <v>-0.0313</v>
      </c>
      <c r="N34" s="8" t="n">
        <v>80</v>
      </c>
      <c r="O34" s="8" t="n">
        <v>77.25</v>
      </c>
      <c r="P34" s="8" t="n">
        <v>80</v>
      </c>
      <c r="Q34" s="8" t="n">
        <v>77.28</v>
      </c>
      <c r="R34" s="11" t="n">
        <v>266</v>
      </c>
      <c r="S34" s="11" t="n">
        <f aca="false">K34*R34</f>
        <v>20556.48</v>
      </c>
      <c r="T34" s="8" t="n">
        <v>70</v>
      </c>
      <c r="U34" s="8" t="n">
        <v>94.05</v>
      </c>
      <c r="V34" s="12" t="n">
        <f aca="false">IF(U34-T34=0,"",(K34-T34)/(U34-T34))</f>
        <v>0.302702702702703</v>
      </c>
      <c r="W34" s="13" t="n">
        <f aca="false">IF(U34=0,"",K34/U34-1)</f>
        <v>-0.178309409888357</v>
      </c>
      <c r="X34" s="11" t="n">
        <v>75839</v>
      </c>
      <c r="Y34" s="5" t="s">
        <v>99</v>
      </c>
      <c r="Z34" s="5" t="s">
        <v>101</v>
      </c>
      <c r="AA34" s="5" t="s">
        <v>100</v>
      </c>
      <c r="AB34" s="5"/>
      <c r="AC34" s="5" t="s">
        <v>194</v>
      </c>
      <c r="AD34" s="14" t="n">
        <v>46288.771875</v>
      </c>
    </row>
    <row r="35" customFormat="false" ht="15" hidden="false" customHeight="false" outlineLevel="0" collapsed="false">
      <c r="A35" s="5" t="s">
        <v>195</v>
      </c>
      <c r="B35" s="5" t="s">
        <v>196</v>
      </c>
      <c r="C35" s="5" t="s">
        <v>55</v>
      </c>
      <c r="D35" s="5" t="s">
        <v>56</v>
      </c>
      <c r="E35" s="5" t="s">
        <v>71</v>
      </c>
      <c r="F35" s="5" t="s">
        <v>72</v>
      </c>
      <c r="G35" s="5" t="s">
        <v>59</v>
      </c>
      <c r="H35" s="5" t="s">
        <v>60</v>
      </c>
      <c r="I35" s="6" t="n">
        <v>0.25</v>
      </c>
      <c r="J35" s="7" t="n">
        <f aca="false">IF(I35="","",1/I35)</f>
        <v>4</v>
      </c>
      <c r="K35" s="8" t="n">
        <v>346.85</v>
      </c>
      <c r="L35" s="9" t="n">
        <v>-7.03</v>
      </c>
      <c r="M35" s="10" t="n">
        <v>-0.0199</v>
      </c>
      <c r="N35" s="8" t="n">
        <v>341.6</v>
      </c>
      <c r="O35" s="8" t="n">
        <v>341.6</v>
      </c>
      <c r="P35" s="8" t="n">
        <v>352.45</v>
      </c>
      <c r="Q35" s="8" t="n">
        <v>346.85</v>
      </c>
      <c r="R35" s="11" t="n">
        <v>126</v>
      </c>
      <c r="S35" s="11" t="n">
        <f aca="false">K35*R35</f>
        <v>43703.1</v>
      </c>
      <c r="T35" s="8" t="n">
        <v>296.35</v>
      </c>
      <c r="U35" s="8" t="n">
        <v>372.22</v>
      </c>
      <c r="V35" s="12" t="n">
        <f aca="false">IF(U35-T35=0,"",(K35-T35)/(U35-T35))</f>
        <v>0.66561223144853</v>
      </c>
      <c r="W35" s="13" t="n">
        <f aca="false">IF(U35=0,"",K35/U35-1)</f>
        <v>-0.0681586158723336</v>
      </c>
      <c r="X35" s="11" t="n">
        <v>68427</v>
      </c>
      <c r="Y35" s="5" t="s">
        <v>71</v>
      </c>
      <c r="Z35" s="5" t="s">
        <v>73</v>
      </c>
      <c r="AA35" s="5" t="s">
        <v>72</v>
      </c>
      <c r="AB35" s="5"/>
      <c r="AC35" s="5" t="s">
        <v>197</v>
      </c>
      <c r="AD35" s="14" t="n">
        <v>46288.771875</v>
      </c>
    </row>
    <row r="36" customFormat="false" ht="15" hidden="false" customHeight="false" outlineLevel="0" collapsed="false">
      <c r="A36" s="5" t="s">
        <v>198</v>
      </c>
      <c r="B36" s="5" t="s">
        <v>199</v>
      </c>
      <c r="C36" s="5" t="s">
        <v>55</v>
      </c>
      <c r="D36" s="5" t="s">
        <v>56</v>
      </c>
      <c r="E36" s="5" t="s">
        <v>115</v>
      </c>
      <c r="F36" s="5" t="s">
        <v>116</v>
      </c>
      <c r="G36" s="5" t="s">
        <v>59</v>
      </c>
      <c r="H36" s="5" t="s">
        <v>86</v>
      </c>
      <c r="I36" s="6" t="n">
        <v>0.1</v>
      </c>
      <c r="J36" s="7" t="n">
        <f aca="false">IF(I36="","",1/I36)</f>
        <v>10</v>
      </c>
      <c r="K36" s="8" t="n">
        <v>10.88</v>
      </c>
      <c r="L36" s="9" t="n">
        <v>0.04</v>
      </c>
      <c r="M36" s="10" t="n">
        <v>0.0037</v>
      </c>
      <c r="N36" s="8" t="n">
        <v>10.62</v>
      </c>
      <c r="O36" s="8" t="n">
        <v>10.43</v>
      </c>
      <c r="P36" s="8" t="n">
        <v>10.88</v>
      </c>
      <c r="Q36" s="8" t="n">
        <v>10.88</v>
      </c>
      <c r="R36" s="11" t="n">
        <v>23</v>
      </c>
      <c r="S36" s="11" t="n">
        <f aca="false">K36*R36</f>
        <v>250.24</v>
      </c>
      <c r="T36" s="8" t="n">
        <v>8</v>
      </c>
      <c r="U36" s="8" t="n">
        <v>15.68</v>
      </c>
      <c r="V36" s="12" t="n">
        <f aca="false">IF(U36-T36=0,"",(K36-T36)/(U36-T36))</f>
        <v>0.375</v>
      </c>
      <c r="W36" s="13" t="n">
        <f aca="false">IF(U36=0,"",K36/U36-1)</f>
        <v>-0.306122448979592</v>
      </c>
      <c r="X36" s="11" t="n">
        <v>13310</v>
      </c>
      <c r="Y36" s="5" t="s">
        <v>115</v>
      </c>
      <c r="Z36" s="5" t="s">
        <v>117</v>
      </c>
      <c r="AA36" s="5" t="s">
        <v>116</v>
      </c>
      <c r="AB36" s="5"/>
      <c r="AC36" s="5" t="s">
        <v>200</v>
      </c>
      <c r="AD36" s="14" t="n">
        <v>46288.771875</v>
      </c>
    </row>
    <row r="37" customFormat="false" ht="15" hidden="false" customHeight="false" outlineLevel="0" collapsed="false">
      <c r="A37" s="5" t="s">
        <v>201</v>
      </c>
      <c r="B37" s="5" t="s">
        <v>202</v>
      </c>
      <c r="C37" s="5" t="s">
        <v>55</v>
      </c>
      <c r="D37" s="5" t="s">
        <v>56</v>
      </c>
      <c r="E37" s="5" t="s">
        <v>90</v>
      </c>
      <c r="F37" s="5" t="s">
        <v>91</v>
      </c>
      <c r="G37" s="5" t="s">
        <v>59</v>
      </c>
      <c r="H37" s="5" t="s">
        <v>60</v>
      </c>
      <c r="I37" s="6" t="n">
        <v>0.5</v>
      </c>
      <c r="J37" s="7" t="n">
        <f aca="false">IF(I37="","",1/I37)</f>
        <v>2</v>
      </c>
      <c r="K37" s="8" t="n">
        <v>411</v>
      </c>
      <c r="L37" s="9" t="n">
        <v>-11.43</v>
      </c>
      <c r="M37" s="10" t="n">
        <v>-0.0271</v>
      </c>
      <c r="N37" s="8" t="n">
        <v>411</v>
      </c>
      <c r="O37" s="8" t="n">
        <v>411</v>
      </c>
      <c r="P37" s="8" t="n">
        <v>411</v>
      </c>
      <c r="Q37" s="8" t="n">
        <v>411</v>
      </c>
      <c r="R37" s="11" t="n">
        <v>1</v>
      </c>
      <c r="S37" s="11" t="n">
        <f aca="false">K37*R37</f>
        <v>411</v>
      </c>
      <c r="T37" s="8" t="n">
        <v>411</v>
      </c>
      <c r="U37" s="8" t="n">
        <v>467.8</v>
      </c>
      <c r="V37" s="12" t="n">
        <f aca="false">IF(U37-T37=0,"",(K37-T37)/(U37-T37))</f>
        <v>0</v>
      </c>
      <c r="W37" s="13" t="n">
        <f aca="false">IF(U37=0,"",K37/U37-1)</f>
        <v>-0.121419410004275</v>
      </c>
      <c r="X37" s="11" t="n">
        <v>136073</v>
      </c>
      <c r="Y37" s="5" t="s">
        <v>90</v>
      </c>
      <c r="Z37" s="5" t="s">
        <v>92</v>
      </c>
      <c r="AA37" s="5" t="s">
        <v>91</v>
      </c>
      <c r="AB37" s="5"/>
      <c r="AC37" s="5" t="s">
        <v>203</v>
      </c>
      <c r="AD37" s="14" t="n">
        <v>46288.771875</v>
      </c>
    </row>
    <row r="38" customFormat="false" ht="15" hidden="false" customHeight="false" outlineLevel="0" collapsed="false">
      <c r="A38" s="5" t="s">
        <v>204</v>
      </c>
      <c r="B38" s="5" t="s">
        <v>205</v>
      </c>
      <c r="C38" s="5" t="s">
        <v>55</v>
      </c>
      <c r="D38" s="5" t="s">
        <v>56</v>
      </c>
      <c r="E38" s="5" t="s">
        <v>71</v>
      </c>
      <c r="F38" s="5" t="s">
        <v>72</v>
      </c>
      <c r="G38" s="5" t="s">
        <v>59</v>
      </c>
      <c r="H38" s="5" t="s">
        <v>60</v>
      </c>
      <c r="I38" s="6" t="n">
        <v>0.04166667</v>
      </c>
      <c r="J38" s="7" t="n">
        <f aca="false">IF(I38="","",1/I38)</f>
        <v>23.9999980800002</v>
      </c>
      <c r="K38" s="8" t="n">
        <v>48.85</v>
      </c>
      <c r="L38" s="9" t="n">
        <v>-0.15</v>
      </c>
      <c r="M38" s="10" t="n">
        <v>-0.0031</v>
      </c>
      <c r="N38" s="8" t="n">
        <v>49.5</v>
      </c>
      <c r="O38" s="8" t="n">
        <v>48.85</v>
      </c>
      <c r="P38" s="8" t="n">
        <v>50.26</v>
      </c>
      <c r="Q38" s="8" t="n">
        <v>48.85</v>
      </c>
      <c r="R38" s="11" t="n">
        <v>1471</v>
      </c>
      <c r="S38" s="11" t="n">
        <f aca="false">K38*R38</f>
        <v>71858.35</v>
      </c>
      <c r="T38" s="8" t="n">
        <v>40.9</v>
      </c>
      <c r="U38" s="8" t="n">
        <v>58.14</v>
      </c>
      <c r="V38" s="12" t="n">
        <f aca="false">IF(U38-T38=0,"",(K38-T38)/(U38-T38))</f>
        <v>0.461136890951276</v>
      </c>
      <c r="W38" s="13" t="n">
        <f aca="false">IF(U38=0,"",K38/U38-1)</f>
        <v>-0.159786721706226</v>
      </c>
      <c r="X38" s="11" t="n">
        <v>296985</v>
      </c>
      <c r="Y38" s="5" t="s">
        <v>71</v>
      </c>
      <c r="Z38" s="5" t="s">
        <v>73</v>
      </c>
      <c r="AA38" s="5" t="s">
        <v>72</v>
      </c>
      <c r="AB38" s="5"/>
      <c r="AC38" s="5" t="s">
        <v>206</v>
      </c>
      <c r="AD38" s="14" t="n">
        <v>46288.771875</v>
      </c>
    </row>
    <row r="39" customFormat="false" ht="15" hidden="false" customHeight="false" outlineLevel="0" collapsed="false">
      <c r="A39" s="5" t="s">
        <v>207</v>
      </c>
      <c r="B39" s="5" t="s">
        <v>208</v>
      </c>
      <c r="C39" s="5" t="s">
        <v>55</v>
      </c>
      <c r="D39" s="5" t="s">
        <v>56</v>
      </c>
      <c r="E39" s="5" t="s">
        <v>115</v>
      </c>
      <c r="F39" s="5" t="s">
        <v>116</v>
      </c>
      <c r="G39" s="5" t="s">
        <v>59</v>
      </c>
      <c r="H39" s="5" t="s">
        <v>60</v>
      </c>
      <c r="I39" s="6" t="n">
        <v>0.05</v>
      </c>
      <c r="J39" s="7" t="n">
        <f aca="false">IF(I39="","",1/I39)</f>
        <v>20</v>
      </c>
      <c r="K39" s="8" t="n">
        <v>56.28</v>
      </c>
      <c r="L39" s="9" t="n">
        <v>0.47</v>
      </c>
      <c r="M39" s="10" t="n">
        <v>0.0084</v>
      </c>
      <c r="N39" s="8" t="n">
        <v>56.94</v>
      </c>
      <c r="O39" s="8" t="n">
        <v>56.28</v>
      </c>
      <c r="P39" s="8" t="n">
        <v>56.94</v>
      </c>
      <c r="Q39" s="8" t="n">
        <v>56.28</v>
      </c>
      <c r="R39" s="11" t="n">
        <v>67</v>
      </c>
      <c r="S39" s="11" t="n">
        <f aca="false">K39*R39</f>
        <v>3770.76</v>
      </c>
      <c r="T39" s="8" t="n">
        <v>47.75</v>
      </c>
      <c r="U39" s="8" t="n">
        <v>86.168</v>
      </c>
      <c r="V39" s="12" t="n">
        <f aca="false">IF(U39-T39=0,"",(K39-T39)/(U39-T39))</f>
        <v>0.222031339476287</v>
      </c>
      <c r="W39" s="13" t="n">
        <f aca="false">IF(U39=0,"",K39/U39-1)</f>
        <v>-0.346857302014669</v>
      </c>
      <c r="X39" s="11" t="n">
        <v>234906</v>
      </c>
      <c r="Y39" s="5" t="s">
        <v>115</v>
      </c>
      <c r="Z39" s="5" t="s">
        <v>117</v>
      </c>
      <c r="AA39" s="5" t="s">
        <v>116</v>
      </c>
      <c r="AB39" s="5"/>
      <c r="AC39" s="5" t="s">
        <v>209</v>
      </c>
      <c r="AD39" s="14" t="n">
        <v>46288.771875</v>
      </c>
    </row>
    <row r="40" customFormat="false" ht="15" hidden="false" customHeight="false" outlineLevel="0" collapsed="false">
      <c r="A40" s="5" t="s">
        <v>210</v>
      </c>
      <c r="B40" s="5" t="s">
        <v>211</v>
      </c>
      <c r="C40" s="5" t="s">
        <v>55</v>
      </c>
      <c r="D40" s="5" t="s">
        <v>56</v>
      </c>
      <c r="E40" s="5" t="s">
        <v>90</v>
      </c>
      <c r="F40" s="5" t="s">
        <v>91</v>
      </c>
      <c r="G40" s="5" t="s">
        <v>59</v>
      </c>
      <c r="H40" s="5" t="s">
        <v>60</v>
      </c>
      <c r="I40" s="6" t="n">
        <v>0.083333</v>
      </c>
      <c r="J40" s="7" t="n">
        <f aca="false">IF(I40="","",1/I40)</f>
        <v>12.000048000192</v>
      </c>
      <c r="K40" s="8" t="n">
        <v>57.06</v>
      </c>
      <c r="L40" s="9" t="n">
        <v>0.12</v>
      </c>
      <c r="M40" s="10" t="n">
        <v>0.0021</v>
      </c>
      <c r="N40" s="8" t="n">
        <v>57.05</v>
      </c>
      <c r="O40" s="8" t="n">
        <v>57.05</v>
      </c>
      <c r="P40" s="8" t="n">
        <v>57.06</v>
      </c>
      <c r="Q40" s="8" t="n">
        <v>57.06</v>
      </c>
      <c r="R40" s="11" t="n">
        <v>900</v>
      </c>
      <c r="S40" s="11" t="n">
        <f aca="false">K40*R40</f>
        <v>51354</v>
      </c>
      <c r="T40" s="8" t="n">
        <v>48.59999951</v>
      </c>
      <c r="U40" s="8" t="n">
        <v>65.43999935</v>
      </c>
      <c r="V40" s="12" t="n">
        <f aca="false">IF(U40-T40=0,"",(K40-T40)/(U40-T40))</f>
        <v>0.502375330782664</v>
      </c>
      <c r="W40" s="13" t="n">
        <f aca="false">IF(U40=0,"",K40/U40-1)</f>
        <v>-0.128056226058016</v>
      </c>
      <c r="X40" s="11" t="n">
        <v>136100</v>
      </c>
      <c r="Y40" s="5" t="s">
        <v>90</v>
      </c>
      <c r="Z40" s="5" t="s">
        <v>92</v>
      </c>
      <c r="AA40" s="5" t="s">
        <v>91</v>
      </c>
      <c r="AB40" s="5"/>
      <c r="AC40" s="5" t="s">
        <v>212</v>
      </c>
      <c r="AD40" s="14" t="n">
        <v>46288.771875</v>
      </c>
    </row>
    <row r="41" customFormat="false" ht="15" hidden="false" customHeight="false" outlineLevel="0" collapsed="false">
      <c r="A41" s="5" t="s">
        <v>213</v>
      </c>
      <c r="B41" s="5" t="s">
        <v>214</v>
      </c>
      <c r="C41" s="5" t="s">
        <v>55</v>
      </c>
      <c r="D41" s="5" t="s">
        <v>56</v>
      </c>
      <c r="E41" s="5" t="s">
        <v>99</v>
      </c>
      <c r="F41" s="5" t="s">
        <v>100</v>
      </c>
      <c r="G41" s="5" t="s">
        <v>59</v>
      </c>
      <c r="H41" s="5" t="s">
        <v>86</v>
      </c>
      <c r="I41" s="6" t="n">
        <v>0.1666</v>
      </c>
      <c r="J41" s="7" t="n">
        <f aca="false">IF(I41="","",1/I41)</f>
        <v>6.00240096038415</v>
      </c>
      <c r="K41" s="8" t="n">
        <v>140.55</v>
      </c>
      <c r="L41" s="9" t="n">
        <v>-8.38</v>
      </c>
      <c r="M41" s="10" t="n">
        <v>-0.0563</v>
      </c>
      <c r="N41" s="8" t="n">
        <v>142.21</v>
      </c>
      <c r="O41" s="8" t="n">
        <v>140.55</v>
      </c>
      <c r="P41" s="8" t="n">
        <v>142.96</v>
      </c>
      <c r="Q41" s="8" t="n">
        <v>140.55</v>
      </c>
      <c r="R41" s="11" t="n">
        <v>522</v>
      </c>
      <c r="S41" s="11" t="n">
        <f aca="false">K41*R41</f>
        <v>73367.1</v>
      </c>
      <c r="T41" s="8" t="n">
        <v>130.02</v>
      </c>
      <c r="U41" s="8" t="n">
        <v>190.4</v>
      </c>
      <c r="V41" s="12" t="n">
        <f aca="false">IF(U41-T41=0,"",(K41-T41)/(U41-T41))</f>
        <v>0.174395495197085</v>
      </c>
      <c r="W41" s="13" t="n">
        <f aca="false">IF(U41=0,"",K41/U41-1)</f>
        <v>-0.261817226890756</v>
      </c>
      <c r="X41" s="11" t="n">
        <v>1341611</v>
      </c>
      <c r="Y41" s="5" t="s">
        <v>99</v>
      </c>
      <c r="Z41" s="5" t="s">
        <v>101</v>
      </c>
      <c r="AA41" s="5" t="s">
        <v>100</v>
      </c>
      <c r="AB41" s="5"/>
      <c r="AC41" s="5" t="s">
        <v>215</v>
      </c>
      <c r="AD41" s="14" t="n">
        <v>46288.771875</v>
      </c>
    </row>
    <row r="42" customFormat="false" ht="15" hidden="false" customHeight="false" outlineLevel="0" collapsed="false">
      <c r="A42" s="5" t="s">
        <v>216</v>
      </c>
      <c r="B42" s="5" t="s">
        <v>217</v>
      </c>
      <c r="C42" s="5" t="s">
        <v>55</v>
      </c>
      <c r="D42" s="5" t="s">
        <v>56</v>
      </c>
      <c r="E42" s="5" t="s">
        <v>182</v>
      </c>
      <c r="F42" s="5" t="s">
        <v>183</v>
      </c>
      <c r="G42" s="5" t="s">
        <v>59</v>
      </c>
      <c r="H42" s="5"/>
      <c r="I42" s="6"/>
      <c r="J42" s="7" t="str">
        <f aca="false">IF(I42="","",1/I42)</f>
        <v/>
      </c>
      <c r="K42" s="8" t="n">
        <v>34.83</v>
      </c>
      <c r="L42" s="9" t="n">
        <v>-0.03</v>
      </c>
      <c r="M42" s="10" t="n">
        <v>-0.0009</v>
      </c>
      <c r="N42" s="8" t="n">
        <v>34.83</v>
      </c>
      <c r="O42" s="8" t="n">
        <v>34.83</v>
      </c>
      <c r="P42" s="8" t="n">
        <v>35.29</v>
      </c>
      <c r="Q42" s="8" t="n">
        <v>34.83</v>
      </c>
      <c r="R42" s="11" t="n">
        <v>2703</v>
      </c>
      <c r="S42" s="11" t="n">
        <f aca="false">K42*R42</f>
        <v>94145.49</v>
      </c>
      <c r="T42" s="8" t="n">
        <v>34</v>
      </c>
      <c r="U42" s="8" t="n">
        <v>44</v>
      </c>
      <c r="V42" s="12" t="n">
        <f aca="false">IF(U42-T42=0,"",(K42-T42)/(U42-T42))</f>
        <v>0.0829999999999998</v>
      </c>
      <c r="W42" s="13" t="n">
        <f aca="false">IF(U42=0,"",K42/U42-1)</f>
        <v>-0.208409090909091</v>
      </c>
      <c r="X42" s="11" t="n">
        <v>6314</v>
      </c>
      <c r="Y42" s="5" t="s">
        <v>182</v>
      </c>
      <c r="Z42" s="5" t="s">
        <v>184</v>
      </c>
      <c r="AA42" s="5" t="s">
        <v>183</v>
      </c>
      <c r="AB42" s="5" t="s">
        <v>111</v>
      </c>
      <c r="AC42" s="5" t="s">
        <v>218</v>
      </c>
      <c r="AD42" s="14" t="n">
        <v>46288.771875</v>
      </c>
    </row>
    <row r="43" customFormat="false" ht="15" hidden="false" customHeight="false" outlineLevel="0" collapsed="false">
      <c r="A43" s="5" t="s">
        <v>219</v>
      </c>
      <c r="B43" s="5" t="s">
        <v>220</v>
      </c>
      <c r="C43" s="5" t="s">
        <v>55</v>
      </c>
      <c r="D43" s="5" t="s">
        <v>56</v>
      </c>
      <c r="E43" s="5" t="s">
        <v>77</v>
      </c>
      <c r="F43" s="5" t="s">
        <v>78</v>
      </c>
      <c r="G43" s="5" t="s">
        <v>59</v>
      </c>
      <c r="H43" s="5" t="s">
        <v>60</v>
      </c>
      <c r="I43" s="6" t="n">
        <v>0.04</v>
      </c>
      <c r="J43" s="7" t="n">
        <f aca="false">IF(I43="","",1/I43)</f>
        <v>25</v>
      </c>
      <c r="K43" s="8" t="n">
        <v>14.12</v>
      </c>
      <c r="L43" s="9" t="n">
        <v>0.29</v>
      </c>
      <c r="M43" s="10" t="n">
        <v>0.021</v>
      </c>
      <c r="N43" s="8" t="n">
        <v>13.5</v>
      </c>
      <c r="O43" s="8" t="n">
        <v>13.5</v>
      </c>
      <c r="P43" s="8" t="n">
        <v>14.13</v>
      </c>
      <c r="Q43" s="8" t="n">
        <v>14.12</v>
      </c>
      <c r="R43" s="11" t="n">
        <v>447</v>
      </c>
      <c r="S43" s="11" t="n">
        <f aca="false">K43*R43</f>
        <v>6311.64</v>
      </c>
      <c r="T43" s="8" t="n">
        <v>10.21</v>
      </c>
      <c r="U43" s="8" t="n">
        <v>20.3</v>
      </c>
      <c r="V43" s="12" t="n">
        <f aca="false">IF(U43-T43=0,"",(K43-T43)/(U43-T43))</f>
        <v>0.387512388503469</v>
      </c>
      <c r="W43" s="13" t="n">
        <f aca="false">IF(U43=0,"",K43/U43-1)</f>
        <v>-0.304433497536946</v>
      </c>
      <c r="X43" s="11" t="n">
        <v>15149</v>
      </c>
      <c r="Y43" s="5" t="s">
        <v>77</v>
      </c>
      <c r="Z43" s="5" t="s">
        <v>79</v>
      </c>
      <c r="AA43" s="5" t="s">
        <v>78</v>
      </c>
      <c r="AB43" s="5"/>
      <c r="AC43" s="5" t="s">
        <v>221</v>
      </c>
      <c r="AD43" s="14" t="n">
        <v>46288.771875</v>
      </c>
    </row>
    <row r="44" customFormat="false" ht="15" hidden="false" customHeight="false" outlineLevel="0" collapsed="false">
      <c r="A44" s="5" t="s">
        <v>222</v>
      </c>
      <c r="B44" s="5" t="s">
        <v>223</v>
      </c>
      <c r="C44" s="5" t="s">
        <v>55</v>
      </c>
      <c r="D44" s="5" t="s">
        <v>56</v>
      </c>
      <c r="E44" s="5" t="s">
        <v>71</v>
      </c>
      <c r="F44" s="5" t="s">
        <v>72</v>
      </c>
      <c r="G44" s="5" t="s">
        <v>59</v>
      </c>
      <c r="H44" s="5" t="s">
        <v>60</v>
      </c>
      <c r="I44" s="6" t="n">
        <v>0.1</v>
      </c>
      <c r="J44" s="7" t="n">
        <f aca="false">IF(I44="","",1/I44)</f>
        <v>10</v>
      </c>
      <c r="K44" s="8" t="n">
        <v>65.1</v>
      </c>
      <c r="L44" s="9" t="n">
        <v>0.24</v>
      </c>
      <c r="M44" s="10" t="n">
        <v>0.0037</v>
      </c>
      <c r="N44" s="8" t="n">
        <v>65.1</v>
      </c>
      <c r="O44" s="8" t="n">
        <v>65.1</v>
      </c>
      <c r="P44" s="8" t="n">
        <v>65.1</v>
      </c>
      <c r="Q44" s="8" t="n">
        <v>65.1</v>
      </c>
      <c r="R44" s="11" t="n">
        <v>2</v>
      </c>
      <c r="S44" s="11" t="n">
        <f aca="false">K44*R44</f>
        <v>130.2</v>
      </c>
      <c r="T44" s="8" t="n">
        <v>50</v>
      </c>
      <c r="U44" s="8" t="n">
        <v>94.31</v>
      </c>
      <c r="V44" s="12" t="n">
        <f aca="false">IF(U44-T44=0,"",(K44-T44)/(U44-T44))</f>
        <v>0.340780862107876</v>
      </c>
      <c r="W44" s="13" t="n">
        <f aca="false">IF(U44=0,"",K44/U44-1)</f>
        <v>-0.309723253101474</v>
      </c>
      <c r="X44" s="11" t="n">
        <v>142948</v>
      </c>
      <c r="Y44" s="5" t="s">
        <v>71</v>
      </c>
      <c r="Z44" s="5" t="s">
        <v>73</v>
      </c>
      <c r="AA44" s="5" t="s">
        <v>72</v>
      </c>
      <c r="AB44" s="5"/>
      <c r="AC44" s="5" t="s">
        <v>224</v>
      </c>
      <c r="AD44" s="14" t="n">
        <v>46288.771875</v>
      </c>
    </row>
    <row r="45" customFormat="false" ht="15" hidden="false" customHeight="false" outlineLevel="0" collapsed="false">
      <c r="A45" s="5" t="s">
        <v>225</v>
      </c>
      <c r="B45" s="5" t="s">
        <v>226</v>
      </c>
      <c r="C45" s="5" t="s">
        <v>55</v>
      </c>
      <c r="D45" s="5" t="s">
        <v>56</v>
      </c>
      <c r="E45" s="5" t="s">
        <v>99</v>
      </c>
      <c r="F45" s="5" t="s">
        <v>100</v>
      </c>
      <c r="G45" s="5" t="s">
        <v>59</v>
      </c>
      <c r="H45" s="5" t="s">
        <v>60</v>
      </c>
      <c r="I45" s="6" t="n">
        <v>0.125</v>
      </c>
      <c r="J45" s="7" t="n">
        <f aca="false">IF(I45="","",1/I45)</f>
        <v>8</v>
      </c>
      <c r="K45" s="8" t="n">
        <v>45.8</v>
      </c>
      <c r="L45" s="9" t="n">
        <v>0</v>
      </c>
      <c r="M45" s="10" t="n">
        <v>0</v>
      </c>
      <c r="N45" s="8" t="n">
        <v>45.8</v>
      </c>
      <c r="O45" s="8" t="n">
        <v>45.8</v>
      </c>
      <c r="P45" s="8" t="n">
        <v>45.8</v>
      </c>
      <c r="Q45" s="8" t="n">
        <v>45.8</v>
      </c>
      <c r="R45" s="11" t="n">
        <v>5</v>
      </c>
      <c r="S45" s="11" t="n">
        <f aca="false">K45*R45</f>
        <v>229</v>
      </c>
      <c r="T45" s="8" t="n">
        <v>21.45</v>
      </c>
      <c r="U45" s="8" t="n">
        <v>59.95</v>
      </c>
      <c r="V45" s="12" t="n">
        <f aca="false">IF(U45-T45=0,"",(K45-T45)/(U45-T45))</f>
        <v>0.632467532467532</v>
      </c>
      <c r="W45" s="13" t="n">
        <f aca="false">IF(U45=0,"",K45/U45-1)</f>
        <v>-0.236030025020851</v>
      </c>
      <c r="X45" s="11" t="n">
        <v>51948</v>
      </c>
      <c r="Y45" s="5" t="s">
        <v>99</v>
      </c>
      <c r="Z45" s="5" t="s">
        <v>101</v>
      </c>
      <c r="AA45" s="5" t="s">
        <v>100</v>
      </c>
      <c r="AB45" s="5"/>
      <c r="AC45" s="5" t="s">
        <v>227</v>
      </c>
      <c r="AD45" s="14" t="n">
        <v>46288.771875</v>
      </c>
    </row>
    <row r="46" customFormat="false" ht="15" hidden="false" customHeight="false" outlineLevel="0" collapsed="false">
      <c r="A46" s="5" t="s">
        <v>228</v>
      </c>
      <c r="B46" s="5" t="s">
        <v>229</v>
      </c>
      <c r="C46" s="5" t="s">
        <v>55</v>
      </c>
      <c r="D46" s="5" t="s">
        <v>56</v>
      </c>
      <c r="E46" s="5" t="s">
        <v>230</v>
      </c>
      <c r="F46" s="5" t="s">
        <v>231</v>
      </c>
      <c r="G46" s="5" t="s">
        <v>59</v>
      </c>
      <c r="H46" s="5" t="s">
        <v>60</v>
      </c>
      <c r="I46" s="6" t="n">
        <v>0.066666667</v>
      </c>
      <c r="J46" s="7" t="n">
        <f aca="false">IF(I46="","",1/I46)</f>
        <v>14.999999925</v>
      </c>
      <c r="K46" s="8" t="n">
        <v>77.92</v>
      </c>
      <c r="L46" s="9" t="n">
        <v>2.32</v>
      </c>
      <c r="M46" s="10" t="n">
        <v>0.0307</v>
      </c>
      <c r="N46" s="8" t="n">
        <v>75.52</v>
      </c>
      <c r="O46" s="8" t="n">
        <v>75.52</v>
      </c>
      <c r="P46" s="8" t="n">
        <v>78.64</v>
      </c>
      <c r="Q46" s="8" t="n">
        <v>77.92</v>
      </c>
      <c r="R46" s="11" t="n">
        <v>13</v>
      </c>
      <c r="S46" s="11" t="n">
        <f aca="false">K46*R46</f>
        <v>1012.96</v>
      </c>
      <c r="T46" s="8" t="n">
        <v>38.03</v>
      </c>
      <c r="U46" s="8" t="n">
        <v>81.52</v>
      </c>
      <c r="V46" s="12" t="n">
        <f aca="false">IF(U46-T46=0,"",(K46-T46)/(U46-T46))</f>
        <v>0.917222349965509</v>
      </c>
      <c r="W46" s="13" t="n">
        <f aca="false">IF(U46=0,"",K46/U46-1)</f>
        <v>-0.044160942100098</v>
      </c>
      <c r="X46" s="11" t="n">
        <v>57791</v>
      </c>
      <c r="Y46" s="5" t="s">
        <v>230</v>
      </c>
      <c r="Z46" s="5" t="s">
        <v>232</v>
      </c>
      <c r="AA46" s="5" t="s">
        <v>231</v>
      </c>
      <c r="AB46" s="5"/>
      <c r="AC46" s="5" t="s">
        <v>233</v>
      </c>
      <c r="AD46" s="14" t="n">
        <v>46288.771875</v>
      </c>
    </row>
    <row r="47" customFormat="false" ht="15" hidden="false" customHeight="false" outlineLevel="0" collapsed="false">
      <c r="A47" s="5" t="s">
        <v>234</v>
      </c>
      <c r="B47" s="5" t="s">
        <v>235</v>
      </c>
      <c r="C47" s="5" t="s">
        <v>55</v>
      </c>
      <c r="D47" s="5" t="s">
        <v>56</v>
      </c>
      <c r="E47" s="5" t="s">
        <v>57</v>
      </c>
      <c r="F47" s="5" t="s">
        <v>58</v>
      </c>
      <c r="G47" s="5" t="s">
        <v>59</v>
      </c>
      <c r="H47" s="5" t="s">
        <v>60</v>
      </c>
      <c r="I47" s="6" t="n">
        <v>0.25</v>
      </c>
      <c r="J47" s="7" t="n">
        <f aca="false">IF(I47="","",1/I47)</f>
        <v>4</v>
      </c>
      <c r="K47" s="8" t="n">
        <v>61.86</v>
      </c>
      <c r="L47" s="9" t="n">
        <v>-0.3</v>
      </c>
      <c r="M47" s="10" t="n">
        <v>-0.0048</v>
      </c>
      <c r="N47" s="8" t="n">
        <v>61.92</v>
      </c>
      <c r="O47" s="8" t="n">
        <v>61.86</v>
      </c>
      <c r="P47" s="8" t="n">
        <v>62.28</v>
      </c>
      <c r="Q47" s="8" t="n">
        <v>61.86</v>
      </c>
      <c r="R47" s="11" t="n">
        <v>3</v>
      </c>
      <c r="S47" s="11" t="n">
        <f aca="false">K47*R47</f>
        <v>185.58</v>
      </c>
      <c r="T47" s="8" t="n">
        <v>55</v>
      </c>
      <c r="U47" s="8" t="n">
        <v>78.35</v>
      </c>
      <c r="V47" s="12" t="n">
        <f aca="false">IF(U47-T47=0,"",(K47-T47)/(U47-T47))</f>
        <v>0.293790149892934</v>
      </c>
      <c r="W47" s="13" t="n">
        <f aca="false">IF(U47=0,"",K47/U47-1)</f>
        <v>-0.210465858328015</v>
      </c>
      <c r="X47" s="11" t="n">
        <v>15600</v>
      </c>
      <c r="Y47" s="5" t="s">
        <v>57</v>
      </c>
      <c r="Z47" s="5" t="s">
        <v>61</v>
      </c>
      <c r="AA47" s="5" t="s">
        <v>58</v>
      </c>
      <c r="AB47" s="5"/>
      <c r="AC47" s="5" t="s">
        <v>236</v>
      </c>
      <c r="AD47" s="14" t="n">
        <v>46288.771875</v>
      </c>
    </row>
    <row r="48" customFormat="false" ht="15" hidden="false" customHeight="false" outlineLevel="0" collapsed="false">
      <c r="A48" s="5" t="s">
        <v>237</v>
      </c>
      <c r="B48" s="5" t="s">
        <v>238</v>
      </c>
      <c r="C48" s="5" t="s">
        <v>55</v>
      </c>
      <c r="D48" s="5" t="s">
        <v>56</v>
      </c>
      <c r="E48" s="5" t="s">
        <v>77</v>
      </c>
      <c r="F48" s="5" t="s">
        <v>78</v>
      </c>
      <c r="G48" s="5" t="s">
        <v>59</v>
      </c>
      <c r="H48" s="5" t="s">
        <v>60</v>
      </c>
      <c r="I48" s="6" t="n">
        <v>0.055555556</v>
      </c>
      <c r="J48" s="7" t="n">
        <f aca="false">IF(I48="","",1/I48)</f>
        <v>17.999999856</v>
      </c>
      <c r="K48" s="8" t="n">
        <v>129.47</v>
      </c>
      <c r="L48" s="9" t="n">
        <v>-0.68</v>
      </c>
      <c r="M48" s="10" t="n">
        <v>-0.0052</v>
      </c>
      <c r="N48" s="8" t="n">
        <v>129.47</v>
      </c>
      <c r="O48" s="8" t="n">
        <v>129.47</v>
      </c>
      <c r="P48" s="8" t="n">
        <v>129.47</v>
      </c>
      <c r="Q48" s="8" t="n">
        <v>129.47</v>
      </c>
      <c r="R48" s="11" t="n">
        <v>2</v>
      </c>
      <c r="S48" s="11" t="n">
        <f aca="false">K48*R48</f>
        <v>258.94</v>
      </c>
      <c r="T48" s="8" t="n">
        <v>94.6</v>
      </c>
      <c r="U48" s="8" t="n">
        <v>227.46</v>
      </c>
      <c r="V48" s="12" t="n">
        <f aca="false">IF(U48-T48=0,"",(K48-T48)/(U48-T48))</f>
        <v>0.262456721360831</v>
      </c>
      <c r="W48" s="13" t="n">
        <f aca="false">IF(U48=0,"",K48/U48-1)</f>
        <v>-0.430801019959553</v>
      </c>
      <c r="X48" s="11" t="n">
        <v>190962</v>
      </c>
      <c r="Y48" s="5" t="s">
        <v>77</v>
      </c>
      <c r="Z48" s="5" t="s">
        <v>79</v>
      </c>
      <c r="AA48" s="5" t="s">
        <v>78</v>
      </c>
      <c r="AB48" s="5"/>
      <c r="AC48" s="5" t="s">
        <v>239</v>
      </c>
      <c r="AD48" s="14" t="n">
        <v>46288.771875</v>
      </c>
    </row>
    <row r="49" customFormat="false" ht="15" hidden="false" customHeight="false" outlineLevel="0" collapsed="false">
      <c r="A49" s="5" t="s">
        <v>240</v>
      </c>
      <c r="B49" s="5" t="s">
        <v>241</v>
      </c>
      <c r="C49" s="5" t="s">
        <v>55</v>
      </c>
      <c r="D49" s="5" t="s">
        <v>56</v>
      </c>
      <c r="E49" s="5" t="s">
        <v>242</v>
      </c>
      <c r="F49" s="5" t="s">
        <v>243</v>
      </c>
      <c r="G49" s="5" t="s">
        <v>59</v>
      </c>
      <c r="H49" s="5" t="s">
        <v>60</v>
      </c>
      <c r="I49" s="6" t="n">
        <v>0.083333333</v>
      </c>
      <c r="J49" s="7" t="n">
        <f aca="false">IF(I49="","",1/I49)</f>
        <v>12.000000048</v>
      </c>
      <c r="K49" s="8" t="n">
        <v>14.14</v>
      </c>
      <c r="L49" s="9" t="n">
        <v>-0.24</v>
      </c>
      <c r="M49" s="10" t="n">
        <v>-0.0167</v>
      </c>
      <c r="N49" s="8" t="n">
        <v>14.14</v>
      </c>
      <c r="O49" s="8" t="n">
        <v>14.14</v>
      </c>
      <c r="P49" s="8" t="n">
        <v>14.14</v>
      </c>
      <c r="Q49" s="8" t="n">
        <v>14.14</v>
      </c>
      <c r="R49" s="11" t="n">
        <v>100</v>
      </c>
      <c r="S49" s="11" t="n">
        <f aca="false">K49*R49</f>
        <v>1414</v>
      </c>
      <c r="T49" s="8" t="n">
        <v>8.9</v>
      </c>
      <c r="U49" s="8" t="n">
        <v>17.7</v>
      </c>
      <c r="V49" s="12" t="n">
        <f aca="false">IF(U49-T49=0,"",(K49-T49)/(U49-T49))</f>
        <v>0.595454545454546</v>
      </c>
      <c r="W49" s="13" t="n">
        <f aca="false">IF(U49=0,"",K49/U49-1)</f>
        <v>-0.201129943502825</v>
      </c>
      <c r="X49" s="11" t="n">
        <v>7686</v>
      </c>
      <c r="Y49" s="5" t="s">
        <v>242</v>
      </c>
      <c r="Z49" s="5" t="s">
        <v>244</v>
      </c>
      <c r="AA49" s="5" t="s">
        <v>243</v>
      </c>
      <c r="AB49" s="5"/>
      <c r="AC49" s="5" t="s">
        <v>245</v>
      </c>
      <c r="AD49" s="14" t="n">
        <v>46288.771875</v>
      </c>
    </row>
    <row r="50" customFormat="false" ht="15" hidden="false" customHeight="false" outlineLevel="0" collapsed="false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250</v>
      </c>
      <c r="F50" s="5" t="s">
        <v>251</v>
      </c>
      <c r="G50" s="5" t="s">
        <v>59</v>
      </c>
      <c r="H50" s="5" t="s">
        <v>252</v>
      </c>
      <c r="I50" s="6" t="n">
        <v>1</v>
      </c>
      <c r="J50" s="7" t="n">
        <f aca="false">IF(I50="","",1/I50)</f>
        <v>1</v>
      </c>
      <c r="K50" s="8" t="n">
        <v>22.07</v>
      </c>
      <c r="L50" s="9" t="n">
        <v>-1.1</v>
      </c>
      <c r="M50" s="10" t="n">
        <v>-0.0475</v>
      </c>
      <c r="N50" s="8" t="n">
        <v>22.07</v>
      </c>
      <c r="O50" s="8" t="n">
        <v>22.07</v>
      </c>
      <c r="P50" s="8" t="n">
        <v>22.07</v>
      </c>
      <c r="Q50" s="8" t="n">
        <v>22.07</v>
      </c>
      <c r="R50" s="11" t="n">
        <v>9</v>
      </c>
      <c r="S50" s="11" t="n">
        <f aca="false">K50*R50</f>
        <v>198.63</v>
      </c>
      <c r="T50" s="8" t="n">
        <v>13.41</v>
      </c>
      <c r="U50" s="8" t="n">
        <v>82.31</v>
      </c>
      <c r="V50" s="12" t="n">
        <f aca="false">IF(U50-T50=0,"",(K50-T50)/(U50-T50))</f>
        <v>0.125689404934688</v>
      </c>
      <c r="W50" s="13" t="n">
        <f aca="false">IF(U50=0,"",K50/U50-1)</f>
        <v>-0.7318673308225</v>
      </c>
      <c r="X50" s="11"/>
      <c r="Y50" s="5" t="s">
        <v>253</v>
      </c>
      <c r="Z50" s="5" t="s">
        <v>254</v>
      </c>
      <c r="AA50" s="5" t="s">
        <v>251</v>
      </c>
      <c r="AB50" s="5"/>
      <c r="AC50" s="5" t="s">
        <v>255</v>
      </c>
      <c r="AD50" s="14" t="n">
        <v>46288.771875</v>
      </c>
    </row>
    <row r="51" customFormat="false" ht="15" hidden="false" customHeight="false" outlineLevel="0" collapsed="false">
      <c r="A51" s="5" t="s">
        <v>256</v>
      </c>
      <c r="B51" s="5" t="s">
        <v>257</v>
      </c>
      <c r="C51" s="5" t="s">
        <v>55</v>
      </c>
      <c r="D51" s="5" t="s">
        <v>56</v>
      </c>
      <c r="E51" s="5" t="s">
        <v>127</v>
      </c>
      <c r="F51" s="5" t="s">
        <v>128</v>
      </c>
      <c r="G51" s="5" t="s">
        <v>59</v>
      </c>
      <c r="H51" s="5" t="s">
        <v>60</v>
      </c>
      <c r="I51" s="6" t="n">
        <v>1</v>
      </c>
      <c r="J51" s="7" t="n">
        <f aca="false">IF(I51="","",1/I51)</f>
        <v>1</v>
      </c>
      <c r="K51" s="8" t="n">
        <v>69.02</v>
      </c>
      <c r="L51" s="9" t="n">
        <v>-0.7</v>
      </c>
      <c r="M51" s="10" t="n">
        <v>-0.01</v>
      </c>
      <c r="N51" s="8" t="n">
        <v>69.36</v>
      </c>
      <c r="O51" s="8" t="n">
        <v>68.5</v>
      </c>
      <c r="P51" s="8" t="n">
        <v>69.36</v>
      </c>
      <c r="Q51" s="8" t="n">
        <v>69.02</v>
      </c>
      <c r="R51" s="11" t="n">
        <v>2130</v>
      </c>
      <c r="S51" s="11" t="n">
        <f aca="false">K51*R51</f>
        <v>147012.6</v>
      </c>
      <c r="T51" s="8" t="n">
        <v>52.78</v>
      </c>
      <c r="U51" s="8" t="n">
        <v>97</v>
      </c>
      <c r="V51" s="12" t="n">
        <f aca="false">IF(U51-T51=0,"",(K51-T51)/(U51-T51))</f>
        <v>0.367254635911352</v>
      </c>
      <c r="W51" s="13" t="n">
        <f aca="false">IF(U51=0,"",K51/U51-1)</f>
        <v>-0.288453608247423</v>
      </c>
      <c r="X51" s="11" t="n">
        <v>46108</v>
      </c>
      <c r="Y51" s="5" t="s">
        <v>127</v>
      </c>
      <c r="Z51" s="5" t="s">
        <v>129</v>
      </c>
      <c r="AA51" s="5" t="s">
        <v>128</v>
      </c>
      <c r="AB51" s="5"/>
      <c r="AC51" s="5" t="s">
        <v>258</v>
      </c>
      <c r="AD51" s="14" t="n">
        <v>46288.771875</v>
      </c>
    </row>
    <row r="52" customFormat="false" ht="15" hidden="false" customHeight="false" outlineLevel="0" collapsed="false">
      <c r="A52" s="5" t="s">
        <v>259</v>
      </c>
      <c r="B52" s="5" t="s">
        <v>260</v>
      </c>
      <c r="C52" s="5" t="s">
        <v>55</v>
      </c>
      <c r="D52" s="5" t="s">
        <v>56</v>
      </c>
      <c r="E52" s="5" t="s">
        <v>77</v>
      </c>
      <c r="F52" s="5" t="s">
        <v>78</v>
      </c>
      <c r="G52" s="5" t="s">
        <v>59</v>
      </c>
      <c r="H52" s="5" t="s">
        <v>60</v>
      </c>
      <c r="I52" s="6" t="n">
        <v>0.05</v>
      </c>
      <c r="J52" s="7" t="n">
        <f aca="false">IF(I52="","",1/I52)</f>
        <v>20</v>
      </c>
      <c r="K52" s="8" t="n">
        <v>87.17</v>
      </c>
      <c r="L52" s="9" t="n">
        <v>0.47</v>
      </c>
      <c r="M52" s="10" t="n">
        <v>0.0054</v>
      </c>
      <c r="N52" s="8" t="n">
        <v>88.05</v>
      </c>
      <c r="O52" s="8" t="n">
        <v>86.41</v>
      </c>
      <c r="P52" s="8" t="n">
        <v>88.25</v>
      </c>
      <c r="Q52" s="8" t="n">
        <v>86.72</v>
      </c>
      <c r="R52" s="11" t="n">
        <v>201114</v>
      </c>
      <c r="S52" s="11" t="n">
        <f aca="false">K52*R52</f>
        <v>17531107.38</v>
      </c>
      <c r="T52" s="8" t="n">
        <v>63.42</v>
      </c>
      <c r="U52" s="8" t="n">
        <v>88.51</v>
      </c>
      <c r="V52" s="12" t="n">
        <f aca="false">IF(U52-T52=0,"",(K52-T52)/(U52-T52))</f>
        <v>0.946592267835791</v>
      </c>
      <c r="W52" s="13" t="n">
        <f aca="false">IF(U52=0,"",K52/U52-1)</f>
        <v>-0.0151395322562423</v>
      </c>
      <c r="X52" s="11" t="n">
        <v>25375499</v>
      </c>
      <c r="Y52" s="5" t="s">
        <v>77</v>
      </c>
      <c r="Z52" s="5" t="s">
        <v>79</v>
      </c>
      <c r="AA52" s="5" t="s">
        <v>78</v>
      </c>
      <c r="AB52" s="5"/>
      <c r="AC52" s="5" t="s">
        <v>261</v>
      </c>
      <c r="AD52" s="14" t="n">
        <v>46288.771875</v>
      </c>
    </row>
    <row r="53" customFormat="false" ht="15" hidden="false" customHeight="false" outlineLevel="0" collapsed="false">
      <c r="A53" s="5" t="s">
        <v>262</v>
      </c>
      <c r="B53" s="5" t="s">
        <v>263</v>
      </c>
      <c r="C53" s="5" t="s">
        <v>55</v>
      </c>
      <c r="D53" s="5" t="s">
        <v>56</v>
      </c>
      <c r="E53" s="5" t="s">
        <v>99</v>
      </c>
      <c r="F53" s="5" t="s">
        <v>100</v>
      </c>
      <c r="G53" s="5" t="s">
        <v>59</v>
      </c>
      <c r="H53" s="5" t="s">
        <v>60</v>
      </c>
      <c r="I53" s="6" t="n">
        <v>0.0625</v>
      </c>
      <c r="J53" s="7" t="n">
        <f aca="false">IF(I53="","",1/I53)</f>
        <v>16</v>
      </c>
      <c r="K53" s="8" t="n">
        <v>85.83</v>
      </c>
      <c r="L53" s="9" t="n">
        <v>0.84</v>
      </c>
      <c r="M53" s="10" t="n">
        <v>0.0099</v>
      </c>
      <c r="N53" s="8" t="n">
        <v>85.13</v>
      </c>
      <c r="O53" s="8" t="n">
        <v>85.13</v>
      </c>
      <c r="P53" s="8" t="n">
        <v>86.4</v>
      </c>
      <c r="Q53" s="8" t="n">
        <v>85.83</v>
      </c>
      <c r="R53" s="11" t="n">
        <v>1424</v>
      </c>
      <c r="S53" s="11" t="n">
        <f aca="false">K53*R53</f>
        <v>122221.92</v>
      </c>
      <c r="T53" s="8" t="n">
        <v>58.81</v>
      </c>
      <c r="U53" s="8" t="n">
        <v>89.99</v>
      </c>
      <c r="V53" s="12" t="n">
        <f aca="false">IF(U53-T53=0,"",(K53-T53)/(U53-T53))</f>
        <v>0.866581141757537</v>
      </c>
      <c r="W53" s="13" t="n">
        <f aca="false">IF(U53=0,"",K53/U53-1)</f>
        <v>-0.0462273585953995</v>
      </c>
      <c r="X53" s="11" t="n">
        <v>2398450</v>
      </c>
      <c r="Y53" s="5" t="s">
        <v>99</v>
      </c>
      <c r="Z53" s="5" t="s">
        <v>101</v>
      </c>
      <c r="AA53" s="5" t="s">
        <v>100</v>
      </c>
      <c r="AB53" s="5"/>
      <c r="AC53" s="5" t="s">
        <v>264</v>
      </c>
      <c r="AD53" s="14" t="n">
        <v>46288.771875</v>
      </c>
    </row>
    <row r="54" customFormat="false" ht="15" hidden="false" customHeight="false" outlineLevel="0" collapsed="false">
      <c r="A54" s="5" t="s">
        <v>265</v>
      </c>
      <c r="B54" s="5" t="s">
        <v>266</v>
      </c>
      <c r="C54" s="5" t="s">
        <v>248</v>
      </c>
      <c r="D54" s="5" t="s">
        <v>249</v>
      </c>
      <c r="E54" s="5" t="s">
        <v>250</v>
      </c>
      <c r="F54" s="5" t="s">
        <v>251</v>
      </c>
      <c r="G54" s="5" t="s">
        <v>59</v>
      </c>
      <c r="H54" s="5" t="s">
        <v>60</v>
      </c>
      <c r="I54" s="6" t="n">
        <v>0.5</v>
      </c>
      <c r="J54" s="7" t="n">
        <f aca="false">IF(I54="","",1/I54)</f>
        <v>2</v>
      </c>
      <c r="K54" s="8" t="n">
        <v>106.14</v>
      </c>
      <c r="L54" s="9" t="n">
        <v>1.02</v>
      </c>
      <c r="M54" s="10" t="n">
        <v>0.0097</v>
      </c>
      <c r="N54" s="8" t="n">
        <v>106.14</v>
      </c>
      <c r="O54" s="8" t="n">
        <v>106.14</v>
      </c>
      <c r="P54" s="8" t="n">
        <v>106.14</v>
      </c>
      <c r="Q54" s="8" t="n">
        <v>106.14</v>
      </c>
      <c r="R54" s="11" t="n">
        <v>50</v>
      </c>
      <c r="S54" s="11" t="n">
        <f aca="false">K54*R54</f>
        <v>5307</v>
      </c>
      <c r="T54" s="8" t="n">
        <v>95.58</v>
      </c>
      <c r="U54" s="8" t="n">
        <v>134.23</v>
      </c>
      <c r="V54" s="12" t="n">
        <f aca="false">IF(U54-T54=0,"",(K54-T54)/(U54-T54))</f>
        <v>0.273221216041397</v>
      </c>
      <c r="W54" s="13" t="n">
        <f aca="false">IF(U54=0,"",K54/U54-1)</f>
        <v>-0.209267674886389</v>
      </c>
      <c r="X54" s="11"/>
      <c r="Y54" s="5" t="s">
        <v>253</v>
      </c>
      <c r="Z54" s="5" t="s">
        <v>254</v>
      </c>
      <c r="AA54" s="5" t="s">
        <v>251</v>
      </c>
      <c r="AB54" s="5"/>
      <c r="AC54" s="5" t="s">
        <v>267</v>
      </c>
      <c r="AD54" s="14" t="n">
        <v>46288.771875</v>
      </c>
    </row>
    <row r="55" customFormat="false" ht="15" hidden="false" customHeight="false" outlineLevel="0" collapsed="false">
      <c r="A55" s="5" t="s">
        <v>268</v>
      </c>
      <c r="B55" s="5" t="s">
        <v>269</v>
      </c>
      <c r="C55" s="5" t="s">
        <v>55</v>
      </c>
      <c r="D55" s="5" t="s">
        <v>56</v>
      </c>
      <c r="E55" s="5" t="s">
        <v>99</v>
      </c>
      <c r="F55" s="5" t="s">
        <v>100</v>
      </c>
      <c r="G55" s="5" t="s">
        <v>59</v>
      </c>
      <c r="H55" s="5"/>
      <c r="I55" s="6"/>
      <c r="J55" s="7" t="str">
        <f aca="false">IF(I55="","",1/I55)</f>
        <v/>
      </c>
      <c r="K55" s="8" t="n">
        <v>44.44</v>
      </c>
      <c r="L55" s="9" t="n">
        <v>-5.57</v>
      </c>
      <c r="M55" s="10" t="n">
        <v>-0.1114</v>
      </c>
      <c r="N55" s="8" t="n">
        <v>44.98</v>
      </c>
      <c r="O55" s="8" t="n">
        <v>44.28</v>
      </c>
      <c r="P55" s="8" t="n">
        <v>44.98</v>
      </c>
      <c r="Q55" s="8" t="n">
        <v>44.44</v>
      </c>
      <c r="R55" s="11" t="n">
        <v>409</v>
      </c>
      <c r="S55" s="11" t="n">
        <f aca="false">K55*R55</f>
        <v>18175.96</v>
      </c>
      <c r="T55" s="8" t="n">
        <v>33.5</v>
      </c>
      <c r="U55" s="8" t="n">
        <v>61.08</v>
      </c>
      <c r="V55" s="12" t="n">
        <f aca="false">IF(U55-T55=0,"",(K55-T55)/(U55-T55))</f>
        <v>0.396664249456128</v>
      </c>
      <c r="W55" s="13" t="n">
        <f aca="false">IF(U55=0,"",K55/U55-1)</f>
        <v>-0.272429600523903</v>
      </c>
      <c r="X55" s="11" t="n">
        <v>918237</v>
      </c>
      <c r="Y55" s="5" t="s">
        <v>99</v>
      </c>
      <c r="Z55" s="5" t="s">
        <v>101</v>
      </c>
      <c r="AA55" s="5" t="s">
        <v>100</v>
      </c>
      <c r="AB55" s="5" t="s">
        <v>111</v>
      </c>
      <c r="AC55" s="5" t="s">
        <v>270</v>
      </c>
      <c r="AD55" s="14" t="n">
        <v>46288.771875</v>
      </c>
    </row>
    <row r="56" customFormat="false" ht="15" hidden="false" customHeight="false" outlineLevel="0" collapsed="false">
      <c r="A56" s="5" t="s">
        <v>271</v>
      </c>
      <c r="B56" s="5" t="s">
        <v>272</v>
      </c>
      <c r="C56" s="5" t="s">
        <v>55</v>
      </c>
      <c r="D56" s="5" t="s">
        <v>56</v>
      </c>
      <c r="E56" s="5" t="s">
        <v>273</v>
      </c>
      <c r="F56" s="5" t="s">
        <v>274</v>
      </c>
      <c r="G56" s="5" t="s">
        <v>59</v>
      </c>
      <c r="H56" s="5" t="s">
        <v>86</v>
      </c>
      <c r="I56" s="6" t="n">
        <v>0.1667</v>
      </c>
      <c r="J56" s="7" t="n">
        <f aca="false">IF(I56="","",1/I56)</f>
        <v>5.99880023995201</v>
      </c>
      <c r="K56" s="8" t="n">
        <v>66.64</v>
      </c>
      <c r="L56" s="9" t="n">
        <v>0.43</v>
      </c>
      <c r="M56" s="10" t="n">
        <v>0.0065</v>
      </c>
      <c r="N56" s="8" t="n">
        <v>66.03</v>
      </c>
      <c r="O56" s="8" t="n">
        <v>66.03</v>
      </c>
      <c r="P56" s="8" t="n">
        <v>66.7</v>
      </c>
      <c r="Q56" s="8" t="n">
        <v>66.64</v>
      </c>
      <c r="R56" s="11" t="n">
        <v>3</v>
      </c>
      <c r="S56" s="11" t="n">
        <f aca="false">K56*R56</f>
        <v>199.92</v>
      </c>
      <c r="T56" s="8" t="n">
        <v>52</v>
      </c>
      <c r="U56" s="8" t="n">
        <v>73.41</v>
      </c>
      <c r="V56" s="12" t="n">
        <f aca="false">IF(U56-T56=0,"",(K56-T56)/(U56-T56))</f>
        <v>0.683792620270902</v>
      </c>
      <c r="W56" s="13" t="n">
        <f aca="false">IF(U56=0,"",K56/U56-1)</f>
        <v>-0.092221768151478</v>
      </c>
      <c r="X56" s="11" t="n">
        <v>794275</v>
      </c>
      <c r="Y56" s="5" t="s">
        <v>273</v>
      </c>
      <c r="Z56" s="5" t="s">
        <v>275</v>
      </c>
      <c r="AA56" s="5" t="s">
        <v>274</v>
      </c>
      <c r="AB56" s="5"/>
      <c r="AC56" s="5" t="s">
        <v>276</v>
      </c>
      <c r="AD56" s="14" t="n">
        <v>46288.771875</v>
      </c>
    </row>
    <row r="57" customFormat="false" ht="15" hidden="false" customHeight="false" outlineLevel="0" collapsed="false">
      <c r="A57" s="5" t="s">
        <v>277</v>
      </c>
      <c r="B57" s="5" t="s">
        <v>278</v>
      </c>
      <c r="C57" s="5" t="s">
        <v>55</v>
      </c>
      <c r="D57" s="5" t="s">
        <v>56</v>
      </c>
      <c r="E57" s="5" t="s">
        <v>115</v>
      </c>
      <c r="F57" s="5" t="s">
        <v>116</v>
      </c>
      <c r="G57" s="5" t="s">
        <v>59</v>
      </c>
      <c r="H57" s="5" t="s">
        <v>60</v>
      </c>
      <c r="I57" s="6" t="n">
        <v>1</v>
      </c>
      <c r="J57" s="7" t="n">
        <f aca="false">IF(I57="","",1/I57)</f>
        <v>1</v>
      </c>
      <c r="K57" s="8" t="n">
        <v>955.04</v>
      </c>
      <c r="L57" s="9" t="n">
        <v>11.69</v>
      </c>
      <c r="M57" s="10" t="n">
        <v>0.0124</v>
      </c>
      <c r="N57" s="8" t="n">
        <v>950.34</v>
      </c>
      <c r="O57" s="8" t="n">
        <v>950.34</v>
      </c>
      <c r="P57" s="8" t="n">
        <v>955.04</v>
      </c>
      <c r="Q57" s="8" t="n">
        <v>955.04</v>
      </c>
      <c r="R57" s="11" t="n">
        <v>45</v>
      </c>
      <c r="S57" s="11" t="n">
        <f aca="false">K57*R57</f>
        <v>42976.8</v>
      </c>
      <c r="T57" s="8" t="n">
        <v>609</v>
      </c>
      <c r="U57" s="8" t="n">
        <v>1564.2</v>
      </c>
      <c r="V57" s="12" t="n">
        <f aca="false">IF(U57-T57=0,"",(K57-T57)/(U57-T57))</f>
        <v>0.362269681742044</v>
      </c>
      <c r="W57" s="13" t="n">
        <f aca="false">IF(U57=0,"",K57/U57-1)</f>
        <v>-0.389438690704514</v>
      </c>
      <c r="X57" s="11" t="n">
        <v>575363</v>
      </c>
      <c r="Y57" s="5" t="s">
        <v>115</v>
      </c>
      <c r="Z57" s="5" t="s">
        <v>117</v>
      </c>
      <c r="AA57" s="5" t="s">
        <v>116</v>
      </c>
      <c r="AB57" s="5"/>
      <c r="AC57" s="5" t="s">
        <v>279</v>
      </c>
      <c r="AD57" s="14" t="n">
        <v>46288.771875</v>
      </c>
    </row>
    <row r="58" customFormat="false" ht="15" hidden="false" customHeight="false" outlineLevel="0" collapsed="false">
      <c r="A58" s="5" t="s">
        <v>280</v>
      </c>
      <c r="B58" s="5" t="s">
        <v>281</v>
      </c>
      <c r="C58" s="5" t="s">
        <v>248</v>
      </c>
      <c r="D58" s="5" t="s">
        <v>249</v>
      </c>
      <c r="E58" s="5" t="s">
        <v>250</v>
      </c>
      <c r="F58" s="5" t="s">
        <v>251</v>
      </c>
      <c r="G58" s="5" t="s">
        <v>59</v>
      </c>
      <c r="H58" s="5" t="s">
        <v>60</v>
      </c>
      <c r="I58" s="6" t="n">
        <v>0.16666666</v>
      </c>
      <c r="J58" s="7" t="n">
        <f aca="false">IF(I58="","",1/I58)</f>
        <v>6.00000024000001</v>
      </c>
      <c r="K58" s="8" t="n">
        <v>66.08</v>
      </c>
      <c r="L58" s="9" t="n">
        <v>-0.33</v>
      </c>
      <c r="M58" s="10" t="n">
        <v>-0.005</v>
      </c>
      <c r="N58" s="8" t="n">
        <v>66</v>
      </c>
      <c r="O58" s="8" t="n">
        <v>66</v>
      </c>
      <c r="P58" s="8" t="n">
        <v>66.08</v>
      </c>
      <c r="Q58" s="8" t="n">
        <v>66.08</v>
      </c>
      <c r="R58" s="11" t="n">
        <v>40</v>
      </c>
      <c r="S58" s="11" t="n">
        <f aca="false">K58*R58</f>
        <v>2643.2</v>
      </c>
      <c r="T58" s="8" t="n">
        <v>56.01</v>
      </c>
      <c r="U58" s="8" t="n">
        <v>69.99</v>
      </c>
      <c r="V58" s="12" t="n">
        <f aca="false">IF(U58-T58=0,"",(K58-T58)/(U58-T58))</f>
        <v>0.720314735336195</v>
      </c>
      <c r="W58" s="13" t="n">
        <f aca="false">IF(U58=0,"",K58/U58-1)</f>
        <v>-0.0558651235890841</v>
      </c>
      <c r="X58" s="11"/>
      <c r="Y58" s="5" t="s">
        <v>253</v>
      </c>
      <c r="Z58" s="5" t="s">
        <v>254</v>
      </c>
      <c r="AA58" s="5" t="s">
        <v>251</v>
      </c>
      <c r="AB58" s="5"/>
      <c r="AC58" s="5" t="s">
        <v>282</v>
      </c>
      <c r="AD58" s="14" t="n">
        <v>46288.771875</v>
      </c>
    </row>
    <row r="59" customFormat="false" ht="15" hidden="false" customHeight="false" outlineLevel="0" collapsed="false">
      <c r="A59" s="5" t="s">
        <v>283</v>
      </c>
      <c r="B59" s="5" t="s">
        <v>284</v>
      </c>
      <c r="C59" s="5" t="s">
        <v>55</v>
      </c>
      <c r="D59" s="5" t="s">
        <v>56</v>
      </c>
      <c r="E59" s="5" t="s">
        <v>115</v>
      </c>
      <c r="F59" s="5" t="s">
        <v>116</v>
      </c>
      <c r="G59" s="5" t="s">
        <v>59</v>
      </c>
      <c r="H59" s="5" t="s">
        <v>60</v>
      </c>
      <c r="I59" s="6" t="n">
        <v>0.02</v>
      </c>
      <c r="J59" s="7" t="n">
        <f aca="false">IF(I59="","",1/I59)</f>
        <v>50</v>
      </c>
      <c r="K59" s="8" t="n">
        <v>24.85</v>
      </c>
      <c r="L59" s="9" t="n">
        <v>0.61</v>
      </c>
      <c r="M59" s="10" t="n">
        <v>0.0252</v>
      </c>
      <c r="N59" s="8" t="n">
        <v>24.21</v>
      </c>
      <c r="O59" s="8" t="n">
        <v>24.21</v>
      </c>
      <c r="P59" s="8" t="n">
        <v>24.95</v>
      </c>
      <c r="Q59" s="8" t="n">
        <v>24.85</v>
      </c>
      <c r="R59" s="11" t="n">
        <v>58497</v>
      </c>
      <c r="S59" s="11" t="n">
        <f aca="false">K59*R59</f>
        <v>1453650.45</v>
      </c>
      <c r="T59" s="8" t="n">
        <v>19.48</v>
      </c>
      <c r="U59" s="8" t="n">
        <v>40.27</v>
      </c>
      <c r="V59" s="12" t="n">
        <f aca="false">IF(U59-T59=0,"",(K59-T59)/(U59-T59))</f>
        <v>0.258297258297258</v>
      </c>
      <c r="W59" s="13" t="n">
        <f aca="false">IF(U59=0,"",K59/U59-1)</f>
        <v>-0.38291532157934</v>
      </c>
      <c r="X59" s="11" t="n">
        <v>484669</v>
      </c>
      <c r="Y59" s="5" t="s">
        <v>115</v>
      </c>
      <c r="Z59" s="5" t="s">
        <v>117</v>
      </c>
      <c r="AA59" s="5" t="s">
        <v>116</v>
      </c>
      <c r="AB59" s="5"/>
      <c r="AC59" s="5" t="s">
        <v>285</v>
      </c>
      <c r="AD59" s="14" t="n">
        <v>46288.771875</v>
      </c>
    </row>
    <row r="60" customFormat="false" ht="15" hidden="false" customHeight="false" outlineLevel="0" collapsed="false">
      <c r="A60" s="5" t="s">
        <v>286</v>
      </c>
      <c r="B60" s="5" t="s">
        <v>287</v>
      </c>
      <c r="C60" s="5" t="s">
        <v>55</v>
      </c>
      <c r="D60" s="5" t="s">
        <v>56</v>
      </c>
      <c r="E60" s="5" t="s">
        <v>115</v>
      </c>
      <c r="F60" s="5" t="s">
        <v>116</v>
      </c>
      <c r="G60" s="5" t="s">
        <v>59</v>
      </c>
      <c r="H60" s="5" t="s">
        <v>60</v>
      </c>
      <c r="I60" s="6" t="n">
        <v>0.04166667</v>
      </c>
      <c r="J60" s="7" t="n">
        <f aca="false">IF(I60="","",1/I60)</f>
        <v>23.9999980800002</v>
      </c>
      <c r="K60" s="8" t="n">
        <v>57.12</v>
      </c>
      <c r="L60" s="9" t="n">
        <v>-0.38</v>
      </c>
      <c r="M60" s="10" t="n">
        <v>-0.0066</v>
      </c>
      <c r="N60" s="8" t="n">
        <v>57.12</v>
      </c>
      <c r="O60" s="8" t="n">
        <v>57.12</v>
      </c>
      <c r="P60" s="8" t="n">
        <v>57.12</v>
      </c>
      <c r="Q60" s="8" t="n">
        <v>57.12</v>
      </c>
      <c r="R60" s="11" t="n">
        <v>10</v>
      </c>
      <c r="S60" s="11" t="n">
        <f aca="false">K60*R60</f>
        <v>571.2</v>
      </c>
      <c r="T60" s="8" t="n">
        <v>39</v>
      </c>
      <c r="U60" s="8" t="n">
        <v>65.23</v>
      </c>
      <c r="V60" s="12" t="n">
        <f aca="false">IF(U60-T60=0,"",(K60-T60)/(U60-T60))</f>
        <v>0.690812047274113</v>
      </c>
      <c r="W60" s="13" t="n">
        <f aca="false">IF(U60=0,"",K60/U60-1)</f>
        <v>-0.124329296336042</v>
      </c>
      <c r="X60" s="11" t="n">
        <v>548198</v>
      </c>
      <c r="Y60" s="5" t="s">
        <v>115</v>
      </c>
      <c r="Z60" s="5" t="s">
        <v>117</v>
      </c>
      <c r="AA60" s="5" t="s">
        <v>116</v>
      </c>
      <c r="AB60" s="5"/>
      <c r="AC60" s="5" t="s">
        <v>288</v>
      </c>
      <c r="AD60" s="14" t="n">
        <v>46288.771875</v>
      </c>
    </row>
    <row r="61" customFormat="false" ht="15" hidden="false" customHeight="false" outlineLevel="0" collapsed="false">
      <c r="A61" s="5" t="s">
        <v>289</v>
      </c>
      <c r="B61" s="5" t="s">
        <v>290</v>
      </c>
      <c r="C61" s="5" t="s">
        <v>55</v>
      </c>
      <c r="D61" s="5" t="s">
        <v>56</v>
      </c>
      <c r="E61" s="5" t="s">
        <v>71</v>
      </c>
      <c r="F61" s="5" t="s">
        <v>72</v>
      </c>
      <c r="G61" s="5" t="s">
        <v>59</v>
      </c>
      <c r="H61" s="5" t="s">
        <v>60</v>
      </c>
      <c r="I61" s="6" t="n">
        <v>1</v>
      </c>
      <c r="J61" s="7" t="n">
        <f aca="false">IF(I61="","",1/I61)</f>
        <v>1</v>
      </c>
      <c r="K61" s="8" t="n">
        <v>382.2</v>
      </c>
      <c r="L61" s="9" t="n">
        <v>-7.83</v>
      </c>
      <c r="M61" s="10" t="n">
        <v>-0.0201</v>
      </c>
      <c r="N61" s="8" t="n">
        <v>386</v>
      </c>
      <c r="O61" s="8" t="n">
        <v>382.2</v>
      </c>
      <c r="P61" s="8" t="n">
        <v>386</v>
      </c>
      <c r="Q61" s="8" t="n">
        <v>382.2</v>
      </c>
      <c r="R61" s="11" t="n">
        <v>2</v>
      </c>
      <c r="S61" s="11" t="n">
        <f aca="false">K61*R61</f>
        <v>764.4</v>
      </c>
      <c r="T61" s="8" t="n">
        <v>365.93</v>
      </c>
      <c r="U61" s="8" t="n">
        <v>483.36</v>
      </c>
      <c r="V61" s="12" t="n">
        <f aca="false">IF(U61-T61=0,"",(K61-T61)/(U61-T61))</f>
        <v>0.138550625904794</v>
      </c>
      <c r="W61" s="13" t="n">
        <f aca="false">IF(U61=0,"",K61/U61-1)</f>
        <v>-0.209285004965243</v>
      </c>
      <c r="X61" s="11" t="n">
        <v>201183</v>
      </c>
      <c r="Y61" s="5" t="s">
        <v>71</v>
      </c>
      <c r="Z61" s="5" t="s">
        <v>73</v>
      </c>
      <c r="AA61" s="5" t="s">
        <v>72</v>
      </c>
      <c r="AB61" s="5"/>
      <c r="AC61" s="5" t="s">
        <v>291</v>
      </c>
      <c r="AD61" s="14" t="n">
        <v>46288.771875</v>
      </c>
    </row>
    <row r="62" customFormat="false" ht="15" hidden="false" customHeight="false" outlineLevel="0" collapsed="false">
      <c r="A62" s="5" t="s">
        <v>292</v>
      </c>
      <c r="B62" s="5" t="s">
        <v>293</v>
      </c>
      <c r="C62" s="5" t="s">
        <v>55</v>
      </c>
      <c r="D62" s="5" t="s">
        <v>56</v>
      </c>
      <c r="E62" s="5" t="s">
        <v>182</v>
      </c>
      <c r="F62" s="5" t="s">
        <v>183</v>
      </c>
      <c r="G62" s="5" t="s">
        <v>59</v>
      </c>
      <c r="H62" s="5" t="s">
        <v>60</v>
      </c>
      <c r="I62" s="6" t="n">
        <v>0.05</v>
      </c>
      <c r="J62" s="7" t="n">
        <f aca="false">IF(I62="","",1/I62)</f>
        <v>20</v>
      </c>
      <c r="K62" s="8" t="n">
        <v>38.65</v>
      </c>
      <c r="L62" s="9" t="n">
        <v>-2.87</v>
      </c>
      <c r="M62" s="10" t="n">
        <v>-0.0691</v>
      </c>
      <c r="N62" s="8" t="n">
        <v>41.94</v>
      </c>
      <c r="O62" s="8" t="n">
        <v>38.64</v>
      </c>
      <c r="P62" s="8" t="n">
        <v>41.94</v>
      </c>
      <c r="Q62" s="8" t="n">
        <v>38.65</v>
      </c>
      <c r="R62" s="11" t="n">
        <v>24570</v>
      </c>
      <c r="S62" s="11" t="n">
        <f aca="false">K62*R62</f>
        <v>949630.5</v>
      </c>
      <c r="T62" s="8" t="n">
        <v>30</v>
      </c>
      <c r="U62" s="8" t="n">
        <v>50.06</v>
      </c>
      <c r="V62" s="12" t="n">
        <f aca="false">IF(U62-T62=0,"",(K62-T62)/(U62-T62))</f>
        <v>0.431206380857428</v>
      </c>
      <c r="W62" s="13" t="n">
        <f aca="false">IF(U62=0,"",K62/U62-1)</f>
        <v>-0.227926488214143</v>
      </c>
      <c r="X62" s="11" t="n">
        <v>495852</v>
      </c>
      <c r="Y62" s="5" t="s">
        <v>182</v>
      </c>
      <c r="Z62" s="5" t="s">
        <v>184</v>
      </c>
      <c r="AA62" s="5" t="s">
        <v>183</v>
      </c>
      <c r="AB62" s="5"/>
      <c r="AC62" s="5" t="s">
        <v>294</v>
      </c>
      <c r="AD62" s="14" t="n">
        <v>46288.771875</v>
      </c>
    </row>
    <row r="63" customFormat="false" ht="15" hidden="false" customHeight="false" outlineLevel="0" collapsed="false">
      <c r="A63" s="5" t="s">
        <v>295</v>
      </c>
      <c r="B63" s="5" t="s">
        <v>296</v>
      </c>
      <c r="C63" s="5" t="s">
        <v>55</v>
      </c>
      <c r="D63" s="5" t="s">
        <v>56</v>
      </c>
      <c r="E63" s="5" t="s">
        <v>99</v>
      </c>
      <c r="F63" s="5" t="s">
        <v>100</v>
      </c>
      <c r="G63" s="5" t="s">
        <v>59</v>
      </c>
      <c r="H63" s="5" t="s">
        <v>60</v>
      </c>
      <c r="I63" s="6" t="n">
        <v>0.03571</v>
      </c>
      <c r="J63" s="7" t="n">
        <f aca="false">IF(I63="","",1/I63)</f>
        <v>28.0033604032484</v>
      </c>
      <c r="K63" s="8" t="n">
        <v>75.4</v>
      </c>
      <c r="L63" s="9" t="n">
        <v>0.42</v>
      </c>
      <c r="M63" s="10" t="n">
        <v>0.0056</v>
      </c>
      <c r="N63" s="8" t="n">
        <v>74.4</v>
      </c>
      <c r="O63" s="8" t="n">
        <v>74.4</v>
      </c>
      <c r="P63" s="8" t="n">
        <v>75.4</v>
      </c>
      <c r="Q63" s="8" t="n">
        <v>75.4</v>
      </c>
      <c r="R63" s="11" t="n">
        <v>15</v>
      </c>
      <c r="S63" s="11" t="n">
        <f aca="false">K63*R63</f>
        <v>1131</v>
      </c>
      <c r="T63" s="8" t="n">
        <v>48.4</v>
      </c>
      <c r="U63" s="8" t="n">
        <v>83.38</v>
      </c>
      <c r="V63" s="12" t="n">
        <f aca="false">IF(U63-T63=0,"",(K63-T63)/(U63-T63))</f>
        <v>0.771869639794168</v>
      </c>
      <c r="W63" s="13" t="n">
        <f aca="false">IF(U63=0,"",K63/U63-1)</f>
        <v>-0.0957064044135283</v>
      </c>
      <c r="X63" s="11" t="n">
        <v>1135051</v>
      </c>
      <c r="Y63" s="5" t="s">
        <v>99</v>
      </c>
      <c r="Z63" s="5" t="s">
        <v>101</v>
      </c>
      <c r="AA63" s="5" t="s">
        <v>100</v>
      </c>
      <c r="AB63" s="5"/>
      <c r="AC63" s="5" t="s">
        <v>297</v>
      </c>
      <c r="AD63" s="14" t="n">
        <v>46288.771875</v>
      </c>
    </row>
    <row r="64" customFormat="false" ht="15" hidden="false" customHeight="false" outlineLevel="0" collapsed="false">
      <c r="A64" s="5" t="s">
        <v>298</v>
      </c>
      <c r="B64" s="5" t="s">
        <v>299</v>
      </c>
      <c r="C64" s="5" t="s">
        <v>55</v>
      </c>
      <c r="D64" s="5" t="s">
        <v>56</v>
      </c>
      <c r="E64" s="5" t="s">
        <v>57</v>
      </c>
      <c r="F64" s="5" t="s">
        <v>58</v>
      </c>
      <c r="G64" s="5" t="s">
        <v>59</v>
      </c>
      <c r="H64" s="5" t="s">
        <v>60</v>
      </c>
      <c r="I64" s="6" t="n">
        <v>0.05</v>
      </c>
      <c r="J64" s="7" t="n">
        <f aca="false">IF(I64="","",1/I64)</f>
        <v>20</v>
      </c>
      <c r="K64" s="8" t="n">
        <v>64.82</v>
      </c>
      <c r="L64" s="9" t="n">
        <v>-0.56</v>
      </c>
      <c r="M64" s="10" t="n">
        <v>-0.0086</v>
      </c>
      <c r="N64" s="8" t="n">
        <v>65.38</v>
      </c>
      <c r="O64" s="8" t="n">
        <v>63.95</v>
      </c>
      <c r="P64" s="8" t="n">
        <v>65.38</v>
      </c>
      <c r="Q64" s="8" t="n">
        <v>64.43</v>
      </c>
      <c r="R64" s="11" t="n">
        <v>696643</v>
      </c>
      <c r="S64" s="11" t="n">
        <f aca="false">K64*R64</f>
        <v>45156399.26</v>
      </c>
      <c r="T64" s="8" t="n">
        <v>51.1</v>
      </c>
      <c r="U64" s="8" t="n">
        <v>72.85</v>
      </c>
      <c r="V64" s="12" t="n">
        <f aca="false">IF(U64-T64=0,"",(K64-T64)/(U64-T64))</f>
        <v>0.630804597701149</v>
      </c>
      <c r="W64" s="13" t="n">
        <f aca="false">IF(U64=0,"",K64/U64-1)</f>
        <v>-0.110226492793411</v>
      </c>
      <c r="X64" s="11" t="n">
        <v>14075202</v>
      </c>
      <c r="Y64" s="5" t="s">
        <v>57</v>
      </c>
      <c r="Z64" s="5" t="s">
        <v>61</v>
      </c>
      <c r="AA64" s="5" t="s">
        <v>58</v>
      </c>
      <c r="AB64" s="5"/>
      <c r="AC64" s="5" t="s">
        <v>300</v>
      </c>
      <c r="AD64" s="14" t="n">
        <v>46288.771875</v>
      </c>
    </row>
    <row r="65" customFormat="false" ht="15" hidden="false" customHeight="false" outlineLevel="0" collapsed="false">
      <c r="A65" s="5" t="s">
        <v>301</v>
      </c>
      <c r="B65" s="5" t="s">
        <v>302</v>
      </c>
      <c r="C65" s="5" t="s">
        <v>248</v>
      </c>
      <c r="D65" s="5" t="s">
        <v>249</v>
      </c>
      <c r="E65" s="5" t="s">
        <v>250</v>
      </c>
      <c r="F65" s="5" t="s">
        <v>251</v>
      </c>
      <c r="G65" s="5" t="s">
        <v>59</v>
      </c>
      <c r="H65" s="5" t="s">
        <v>60</v>
      </c>
      <c r="I65" s="6" t="n">
        <v>0.333333333</v>
      </c>
      <c r="J65" s="7" t="n">
        <f aca="false">IF(I65="","",1/I65)</f>
        <v>3.000000003</v>
      </c>
      <c r="K65" s="8" t="n">
        <v>48.9</v>
      </c>
      <c r="L65" s="9" t="n">
        <v>0</v>
      </c>
      <c r="M65" s="10" t="n">
        <v>0</v>
      </c>
      <c r="N65" s="8" t="n">
        <v>48.9</v>
      </c>
      <c r="O65" s="8" t="n">
        <v>48.9</v>
      </c>
      <c r="P65" s="8" t="n">
        <v>48.9</v>
      </c>
      <c r="Q65" s="8" t="n">
        <v>48.9</v>
      </c>
      <c r="R65" s="11" t="n">
        <v>7</v>
      </c>
      <c r="S65" s="11" t="n">
        <f aca="false">K65*R65</f>
        <v>342.3</v>
      </c>
      <c r="T65" s="8" t="n">
        <v>48.25</v>
      </c>
      <c r="U65" s="8" t="n">
        <v>54.65</v>
      </c>
      <c r="V65" s="12" t="n">
        <f aca="false">IF(U65-T65=0,"",(K65-T65)/(U65-T65))</f>
        <v>0.1015625</v>
      </c>
      <c r="W65" s="13" t="n">
        <f aca="false">IF(U65=0,"",K65/U65-1)</f>
        <v>-0.105215004574565</v>
      </c>
      <c r="X65" s="11"/>
      <c r="Y65" s="5" t="s">
        <v>253</v>
      </c>
      <c r="Z65" s="5" t="s">
        <v>254</v>
      </c>
      <c r="AA65" s="5" t="s">
        <v>251</v>
      </c>
      <c r="AB65" s="5"/>
      <c r="AC65" s="5" t="s">
        <v>303</v>
      </c>
      <c r="AD65" s="14" t="n">
        <v>46288.771875</v>
      </c>
    </row>
    <row r="66" customFormat="false" ht="15" hidden="false" customHeight="false" outlineLevel="0" collapsed="false">
      <c r="A66" s="5" t="s">
        <v>304</v>
      </c>
      <c r="B66" s="5" t="s">
        <v>305</v>
      </c>
      <c r="C66" s="5" t="s">
        <v>55</v>
      </c>
      <c r="D66" s="5" t="s">
        <v>56</v>
      </c>
      <c r="E66" s="5" t="s">
        <v>142</v>
      </c>
      <c r="F66" s="5" t="s">
        <v>143</v>
      </c>
      <c r="G66" s="5" t="s">
        <v>59</v>
      </c>
      <c r="H66" s="5"/>
      <c r="I66" s="6"/>
      <c r="J66" s="7" t="str">
        <f aca="false">IF(I66="","",1/I66)</f>
        <v/>
      </c>
      <c r="K66" s="8" t="n">
        <v>111.97</v>
      </c>
      <c r="L66" s="9" t="n">
        <v>-1.78</v>
      </c>
      <c r="M66" s="10" t="n">
        <v>-0.0156</v>
      </c>
      <c r="N66" s="8" t="n">
        <v>111.97</v>
      </c>
      <c r="O66" s="8" t="n">
        <v>111.97</v>
      </c>
      <c r="P66" s="8" t="n">
        <v>111.97</v>
      </c>
      <c r="Q66" s="8" t="n">
        <v>111.97</v>
      </c>
      <c r="R66" s="11" t="n">
        <v>5</v>
      </c>
      <c r="S66" s="11" t="n">
        <f aca="false">K66*R66</f>
        <v>559.85</v>
      </c>
      <c r="T66" s="8" t="n">
        <v>111.97</v>
      </c>
      <c r="U66" s="8" t="n">
        <v>238.8</v>
      </c>
      <c r="V66" s="12" t="n">
        <f aca="false">IF(U66-T66=0,"",(K66-T66)/(U66-T66))</f>
        <v>0</v>
      </c>
      <c r="W66" s="13" t="n">
        <f aca="false">IF(U66=0,"",K66/U66-1)</f>
        <v>-0.531113902847571</v>
      </c>
      <c r="X66" s="11" t="n">
        <v>47403</v>
      </c>
      <c r="Y66" s="5" t="s">
        <v>142</v>
      </c>
      <c r="Z66" s="5" t="s">
        <v>144</v>
      </c>
      <c r="AA66" s="5" t="s">
        <v>143</v>
      </c>
      <c r="AB66" s="5" t="s">
        <v>111</v>
      </c>
      <c r="AC66" s="5" t="s">
        <v>306</v>
      </c>
      <c r="AD66" s="14" t="n">
        <v>46288.771875</v>
      </c>
    </row>
    <row r="67" customFormat="false" ht="15" hidden="false" customHeight="false" outlineLevel="0" collapsed="false">
      <c r="A67" s="5" t="s">
        <v>307</v>
      </c>
      <c r="B67" s="5" t="s">
        <v>308</v>
      </c>
      <c r="C67" s="5" t="s">
        <v>248</v>
      </c>
      <c r="D67" s="5" t="s">
        <v>249</v>
      </c>
      <c r="E67" s="5" t="s">
        <v>250</v>
      </c>
      <c r="F67" s="5" t="s">
        <v>251</v>
      </c>
      <c r="G67" s="5" t="s">
        <v>59</v>
      </c>
      <c r="H67" s="5" t="s">
        <v>60</v>
      </c>
      <c r="I67" s="6" t="n">
        <v>0.1</v>
      </c>
      <c r="J67" s="7" t="n">
        <f aca="false">IF(I67="","",1/I67)</f>
        <v>10</v>
      </c>
      <c r="K67" s="8" t="n">
        <v>47.02</v>
      </c>
      <c r="L67" s="9" t="n">
        <v>-0.23</v>
      </c>
      <c r="M67" s="10" t="n">
        <v>-0.0049</v>
      </c>
      <c r="N67" s="8" t="n">
        <v>47.4</v>
      </c>
      <c r="O67" s="8" t="n">
        <v>47</v>
      </c>
      <c r="P67" s="8" t="n">
        <v>47.61</v>
      </c>
      <c r="Q67" s="8" t="n">
        <v>47.02</v>
      </c>
      <c r="R67" s="11" t="n">
        <v>218</v>
      </c>
      <c r="S67" s="11" t="n">
        <f aca="false">K67*R67</f>
        <v>10250.36</v>
      </c>
      <c r="T67" s="8" t="n">
        <v>35.7</v>
      </c>
      <c r="U67" s="8" t="n">
        <v>53.99</v>
      </c>
      <c r="V67" s="12" t="n">
        <f aca="false">IF(U67-T67=0,"",(K67-T67)/(U67-T67))</f>
        <v>0.618917441224713</v>
      </c>
      <c r="W67" s="13" t="n">
        <f aca="false">IF(U67=0,"",K67/U67-1)</f>
        <v>-0.129097981107613</v>
      </c>
      <c r="X67" s="11"/>
      <c r="Y67" s="5" t="s">
        <v>253</v>
      </c>
      <c r="Z67" s="5" t="s">
        <v>254</v>
      </c>
      <c r="AA67" s="5" t="s">
        <v>251</v>
      </c>
      <c r="AB67" s="5"/>
      <c r="AC67" s="5" t="s">
        <v>309</v>
      </c>
      <c r="AD67" s="14" t="n">
        <v>46288.771875</v>
      </c>
    </row>
    <row r="68" customFormat="false" ht="15" hidden="false" customHeight="false" outlineLevel="0" collapsed="false">
      <c r="A68" s="5" t="s">
        <v>310</v>
      </c>
      <c r="B68" s="5" t="s">
        <v>311</v>
      </c>
      <c r="C68" s="5" t="s">
        <v>55</v>
      </c>
      <c r="D68" s="5" t="s">
        <v>56</v>
      </c>
      <c r="E68" s="5" t="s">
        <v>312</v>
      </c>
      <c r="F68" s="5" t="s">
        <v>313</v>
      </c>
      <c r="G68" s="5" t="s">
        <v>59</v>
      </c>
      <c r="H68" s="5"/>
      <c r="I68" s="6"/>
      <c r="J68" s="7" t="str">
        <f aca="false">IF(I68="","",1/I68)</f>
        <v/>
      </c>
      <c r="K68" s="8" t="n">
        <v>185.25</v>
      </c>
      <c r="L68" s="9" t="n">
        <v>-3.23</v>
      </c>
      <c r="M68" s="10" t="n">
        <v>-0.0171</v>
      </c>
      <c r="N68" s="8" t="n">
        <v>188.47</v>
      </c>
      <c r="O68" s="8" t="n">
        <v>184.87</v>
      </c>
      <c r="P68" s="8" t="n">
        <v>195.51</v>
      </c>
      <c r="Q68" s="8" t="n">
        <v>185.25</v>
      </c>
      <c r="R68" s="11" t="n">
        <v>1680</v>
      </c>
      <c r="S68" s="11" t="n">
        <f aca="false">K68*R68</f>
        <v>311220</v>
      </c>
      <c r="T68" s="8" t="n">
        <v>95.3</v>
      </c>
      <c r="U68" s="8" t="n">
        <v>203.5</v>
      </c>
      <c r="V68" s="12" t="n">
        <f aca="false">IF(U68-T68=0,"",(K68-T68)/(U68-T68))</f>
        <v>0.831330868761553</v>
      </c>
      <c r="W68" s="13" t="n">
        <f aca="false">IF(U68=0,"",K68/U68-1)</f>
        <v>-0.0896805896805897</v>
      </c>
      <c r="X68" s="11" t="n">
        <v>278106</v>
      </c>
      <c r="Y68" s="5" t="s">
        <v>312</v>
      </c>
      <c r="Z68" s="5" t="s">
        <v>314</v>
      </c>
      <c r="AA68" s="5" t="s">
        <v>313</v>
      </c>
      <c r="AB68" s="5" t="s">
        <v>111</v>
      </c>
      <c r="AC68" s="5" t="s">
        <v>315</v>
      </c>
      <c r="AD68" s="14" t="n">
        <v>46288.771875</v>
      </c>
    </row>
    <row r="69" customFormat="false" ht="15" hidden="false" customHeight="false" outlineLevel="0" collapsed="false">
      <c r="A69" s="5" t="s">
        <v>316</v>
      </c>
      <c r="B69" s="5" t="s">
        <v>317</v>
      </c>
      <c r="C69" s="5" t="s">
        <v>55</v>
      </c>
      <c r="D69" s="5" t="s">
        <v>56</v>
      </c>
      <c r="E69" s="5" t="s">
        <v>77</v>
      </c>
      <c r="F69" s="5" t="s">
        <v>78</v>
      </c>
      <c r="G69" s="5" t="s">
        <v>59</v>
      </c>
      <c r="H69" s="5" t="s">
        <v>60</v>
      </c>
      <c r="I69" s="6" t="n">
        <v>0.04</v>
      </c>
      <c r="J69" s="7" t="n">
        <f aca="false">IF(I69="","",1/I69)</f>
        <v>25</v>
      </c>
      <c r="K69" s="8" t="n">
        <v>46.13</v>
      </c>
      <c r="L69" s="9" t="n">
        <v>-0.59</v>
      </c>
      <c r="M69" s="10" t="n">
        <v>-0.0126</v>
      </c>
      <c r="N69" s="8" t="n">
        <v>46</v>
      </c>
      <c r="O69" s="8" t="n">
        <v>45.8</v>
      </c>
      <c r="P69" s="8" t="n">
        <v>46.26</v>
      </c>
      <c r="Q69" s="8" t="n">
        <v>46.13</v>
      </c>
      <c r="R69" s="11" t="n">
        <v>29</v>
      </c>
      <c r="S69" s="11" t="n">
        <f aca="false">K69*R69</f>
        <v>1337.77</v>
      </c>
      <c r="T69" s="8" t="n">
        <v>40.4276</v>
      </c>
      <c r="U69" s="8" t="n">
        <v>61.18</v>
      </c>
      <c r="V69" s="12" t="n">
        <f aca="false">IF(U69-T69=0,"",(K69-T69)/(U69-T69))</f>
        <v>0.27478267573871</v>
      </c>
      <c r="W69" s="13" t="n">
        <f aca="false">IF(U69=0,"",K69/U69-1)</f>
        <v>-0.245995423340961</v>
      </c>
      <c r="X69" s="11" t="n">
        <v>459948</v>
      </c>
      <c r="Y69" s="5" t="s">
        <v>77</v>
      </c>
      <c r="Z69" s="5" t="s">
        <v>79</v>
      </c>
      <c r="AA69" s="5" t="s">
        <v>78</v>
      </c>
      <c r="AB69" s="5"/>
      <c r="AC69" s="5" t="s">
        <v>318</v>
      </c>
      <c r="AD69" s="14" t="n">
        <v>46288.771875</v>
      </c>
    </row>
    <row r="70" customFormat="false" ht="15" hidden="false" customHeight="false" outlineLevel="0" collapsed="false">
      <c r="A70" s="5" t="s">
        <v>319</v>
      </c>
      <c r="B70" s="5" t="s">
        <v>320</v>
      </c>
      <c r="C70" s="5" t="s">
        <v>55</v>
      </c>
      <c r="D70" s="5" t="s">
        <v>56</v>
      </c>
      <c r="E70" s="5" t="s">
        <v>77</v>
      </c>
      <c r="F70" s="5" t="s">
        <v>78</v>
      </c>
      <c r="G70" s="5" t="s">
        <v>59</v>
      </c>
      <c r="H70" s="5"/>
      <c r="I70" s="6"/>
      <c r="J70" s="7" t="str">
        <f aca="false">IF(I70="","",1/I70)</f>
        <v/>
      </c>
      <c r="K70" s="8" t="n">
        <v>163.6</v>
      </c>
      <c r="L70" s="9" t="n">
        <v>1.3</v>
      </c>
      <c r="M70" s="10" t="n">
        <v>0.008</v>
      </c>
      <c r="N70" s="8" t="n">
        <v>161</v>
      </c>
      <c r="O70" s="8" t="n">
        <v>159.8</v>
      </c>
      <c r="P70" s="8" t="n">
        <v>163.6</v>
      </c>
      <c r="Q70" s="8" t="n">
        <v>163.24</v>
      </c>
      <c r="R70" s="11" t="n">
        <v>17756</v>
      </c>
      <c r="S70" s="11" t="n">
        <f aca="false">K70*R70</f>
        <v>2904881.6</v>
      </c>
      <c r="T70" s="8" t="n">
        <v>90.9</v>
      </c>
      <c r="U70" s="8" t="n">
        <v>190.5</v>
      </c>
      <c r="V70" s="12" t="n">
        <f aca="false">IF(U70-T70=0,"",(K70-T70)/(U70-T70))</f>
        <v>0.729919678714859</v>
      </c>
      <c r="W70" s="13" t="n">
        <f aca="false">IF(U70=0,"",K70/U70-1)</f>
        <v>-0.141207349081365</v>
      </c>
      <c r="X70" s="11" t="n">
        <v>3373374</v>
      </c>
      <c r="Y70" s="5" t="s">
        <v>77</v>
      </c>
      <c r="Z70" s="5" t="s">
        <v>79</v>
      </c>
      <c r="AA70" s="5" t="s">
        <v>78</v>
      </c>
      <c r="AB70" s="5" t="s">
        <v>111</v>
      </c>
      <c r="AC70" s="5" t="s">
        <v>321</v>
      </c>
      <c r="AD70" s="14" t="n">
        <v>46288.771875</v>
      </c>
    </row>
    <row r="71" customFormat="false" ht="15" hidden="false" customHeight="false" outlineLevel="0" collapsed="false">
      <c r="A71" s="5" t="s">
        <v>322</v>
      </c>
      <c r="B71" s="5" t="s">
        <v>323</v>
      </c>
      <c r="C71" s="5" t="s">
        <v>55</v>
      </c>
      <c r="D71" s="5" t="s">
        <v>56</v>
      </c>
      <c r="E71" s="5" t="s">
        <v>324</v>
      </c>
      <c r="F71" s="5" t="s">
        <v>325</v>
      </c>
      <c r="G71" s="5" t="s">
        <v>59</v>
      </c>
      <c r="H71" s="5" t="s">
        <v>60</v>
      </c>
      <c r="I71" s="6" t="n">
        <v>0.33334</v>
      </c>
      <c r="J71" s="7" t="n">
        <f aca="false">IF(I71="","",1/I71)</f>
        <v>2.99994000119998</v>
      </c>
      <c r="K71" s="8" t="n">
        <v>43.46</v>
      </c>
      <c r="L71" s="9" t="n">
        <v>0.92</v>
      </c>
      <c r="M71" s="10" t="n">
        <v>0.0216</v>
      </c>
      <c r="N71" s="8" t="n">
        <v>42.8</v>
      </c>
      <c r="O71" s="8" t="n">
        <v>42.8</v>
      </c>
      <c r="P71" s="8" t="n">
        <v>43.7</v>
      </c>
      <c r="Q71" s="8" t="n">
        <v>43.64</v>
      </c>
      <c r="R71" s="11" t="n">
        <v>1950</v>
      </c>
      <c r="S71" s="11" t="n">
        <f aca="false">K71*R71</f>
        <v>84747</v>
      </c>
      <c r="T71" s="8" t="n">
        <v>32.26</v>
      </c>
      <c r="U71" s="8" t="n">
        <v>51.3</v>
      </c>
      <c r="V71" s="12" t="n">
        <f aca="false">IF(U71-T71=0,"",(K71-T71)/(U71-T71))</f>
        <v>0.588235294117647</v>
      </c>
      <c r="W71" s="13" t="n">
        <f aca="false">IF(U71=0,"",K71/U71-1)</f>
        <v>-0.152826510721248</v>
      </c>
      <c r="X71" s="11" t="n">
        <v>880219</v>
      </c>
      <c r="Y71" s="5" t="s">
        <v>324</v>
      </c>
      <c r="Z71" s="5" t="s">
        <v>326</v>
      </c>
      <c r="AA71" s="5" t="s">
        <v>325</v>
      </c>
      <c r="AB71" s="5"/>
      <c r="AC71" s="5" t="s">
        <v>327</v>
      </c>
      <c r="AD71" s="14" t="n">
        <v>46288.771875</v>
      </c>
    </row>
    <row r="72" customFormat="false" ht="15" hidden="false" customHeight="false" outlineLevel="0" collapsed="false">
      <c r="A72" s="5" t="s">
        <v>328</v>
      </c>
      <c r="B72" s="5" t="s">
        <v>329</v>
      </c>
      <c r="C72" s="5" t="s">
        <v>55</v>
      </c>
      <c r="D72" s="5" t="s">
        <v>330</v>
      </c>
      <c r="E72" s="5" t="s">
        <v>312</v>
      </c>
      <c r="F72" s="5" t="s">
        <v>313</v>
      </c>
      <c r="G72" s="5" t="s">
        <v>59</v>
      </c>
      <c r="H72" s="5" t="s">
        <v>60</v>
      </c>
      <c r="I72" s="6" t="n">
        <v>1</v>
      </c>
      <c r="J72" s="7" t="n">
        <f aca="false">IF(I72="","",1/I72)</f>
        <v>1</v>
      </c>
      <c r="K72" s="8" t="n">
        <v>147.5</v>
      </c>
      <c r="L72" s="9" t="n">
        <v>-9.48</v>
      </c>
      <c r="M72" s="10" t="n">
        <v>-0.0604</v>
      </c>
      <c r="N72" s="8" t="n">
        <v>154</v>
      </c>
      <c r="O72" s="8" t="n">
        <v>144.11</v>
      </c>
      <c r="P72" s="8" t="n">
        <v>154.01</v>
      </c>
      <c r="Q72" s="8" t="n">
        <v>147.5</v>
      </c>
      <c r="R72" s="11" t="n">
        <v>1080561</v>
      </c>
      <c r="S72" s="11" t="n">
        <f aca="false">K72*R72</f>
        <v>159382747.5</v>
      </c>
      <c r="T72" s="8" t="n">
        <v>49.9</v>
      </c>
      <c r="U72" s="8" t="n">
        <v>182.95</v>
      </c>
      <c r="V72" s="12" t="n">
        <f aca="false">IF(U72-T72=0,"",(K72-T72)/(U72-T72))</f>
        <v>0.733558812476513</v>
      </c>
      <c r="W72" s="13" t="n">
        <f aca="false">IF(U72=0,"",K72/U72-1)</f>
        <v>-0.19376878928669</v>
      </c>
      <c r="X72" s="11" t="n">
        <v>39781</v>
      </c>
      <c r="Y72" s="5" t="s">
        <v>312</v>
      </c>
      <c r="Z72" s="5" t="s">
        <v>314</v>
      </c>
      <c r="AA72" s="5" t="s">
        <v>313</v>
      </c>
      <c r="AB72" s="5"/>
      <c r="AC72" s="5" t="s">
        <v>331</v>
      </c>
      <c r="AD72" s="14" t="n">
        <v>46288.771875</v>
      </c>
    </row>
    <row r="73" customFormat="false" ht="15" hidden="false" customHeight="false" outlineLevel="0" collapsed="false">
      <c r="A73" s="5" t="s">
        <v>332</v>
      </c>
      <c r="B73" s="5" t="s">
        <v>333</v>
      </c>
      <c r="C73" s="5" t="s">
        <v>55</v>
      </c>
      <c r="D73" s="5" t="s">
        <v>56</v>
      </c>
      <c r="E73" s="5" t="s">
        <v>77</v>
      </c>
      <c r="F73" s="5" t="s">
        <v>78</v>
      </c>
      <c r="G73" s="5" t="s">
        <v>59</v>
      </c>
      <c r="H73" s="5" t="s">
        <v>60</v>
      </c>
      <c r="I73" s="6" t="n">
        <v>0.02857</v>
      </c>
      <c r="J73" s="7" t="n">
        <f aca="false">IF(I73="","",1/I73)</f>
        <v>35.0017500875044</v>
      </c>
      <c r="K73" s="8" t="n">
        <v>26.28</v>
      </c>
      <c r="L73" s="9" t="n">
        <v>-0.33</v>
      </c>
      <c r="M73" s="10" t="n">
        <v>-0.0124</v>
      </c>
      <c r="N73" s="8" t="n">
        <v>26.62</v>
      </c>
      <c r="O73" s="8" t="n">
        <v>26.16</v>
      </c>
      <c r="P73" s="8" t="n">
        <v>26.62</v>
      </c>
      <c r="Q73" s="8" t="n">
        <v>26.26</v>
      </c>
      <c r="R73" s="11" t="n">
        <v>158149</v>
      </c>
      <c r="S73" s="11" t="n">
        <f aca="false">K73*R73</f>
        <v>4156155.72</v>
      </c>
      <c r="T73" s="8" t="n">
        <v>21.78</v>
      </c>
      <c r="U73" s="8" t="n">
        <v>35.76</v>
      </c>
      <c r="V73" s="12" t="n">
        <f aca="false">IF(U73-T73=0,"",(K73-T73)/(U73-T73))</f>
        <v>0.321888412017167</v>
      </c>
      <c r="W73" s="13" t="n">
        <f aca="false">IF(U73=0,"",K73/U73-1)</f>
        <v>-0.26510067114094</v>
      </c>
      <c r="X73" s="11" t="n">
        <v>8905727</v>
      </c>
      <c r="Y73" s="5" t="s">
        <v>77</v>
      </c>
      <c r="Z73" s="5" t="s">
        <v>79</v>
      </c>
      <c r="AA73" s="5" t="s">
        <v>78</v>
      </c>
      <c r="AB73" s="5"/>
      <c r="AC73" s="5" t="s">
        <v>334</v>
      </c>
      <c r="AD73" s="14" t="n">
        <v>46288.771875</v>
      </c>
    </row>
    <row r="74" customFormat="false" ht="15" hidden="false" customHeight="false" outlineLevel="0" collapsed="false">
      <c r="A74" s="5" t="s">
        <v>335</v>
      </c>
      <c r="B74" s="5" t="s">
        <v>336</v>
      </c>
      <c r="C74" s="5" t="s">
        <v>55</v>
      </c>
      <c r="D74" s="5" t="s">
        <v>56</v>
      </c>
      <c r="E74" s="5" t="s">
        <v>71</v>
      </c>
      <c r="F74" s="5" t="s">
        <v>72</v>
      </c>
      <c r="G74" s="5" t="s">
        <v>59</v>
      </c>
      <c r="H74" s="5" t="s">
        <v>60</v>
      </c>
      <c r="I74" s="6" t="n">
        <v>0.1</v>
      </c>
      <c r="J74" s="7" t="n">
        <f aca="false">IF(I74="","",1/I74)</f>
        <v>10</v>
      </c>
      <c r="K74" s="8" t="n">
        <v>155.96</v>
      </c>
      <c r="L74" s="9" t="n">
        <v>-0.12</v>
      </c>
      <c r="M74" s="10" t="n">
        <v>-0.0008</v>
      </c>
      <c r="N74" s="8" t="n">
        <v>157.27</v>
      </c>
      <c r="O74" s="8" t="n">
        <v>155.92</v>
      </c>
      <c r="P74" s="8" t="n">
        <v>157.27</v>
      </c>
      <c r="Q74" s="8" t="n">
        <v>155.96</v>
      </c>
      <c r="R74" s="11" t="n">
        <v>175</v>
      </c>
      <c r="S74" s="11" t="n">
        <f aca="false">K74*R74</f>
        <v>27293</v>
      </c>
      <c r="T74" s="8" t="n">
        <v>150</v>
      </c>
      <c r="U74" s="8" t="n">
        <v>213.57</v>
      </c>
      <c r="V74" s="12" t="n">
        <f aca="false">IF(U74-T74=0,"",(K74-T74)/(U74-T74))</f>
        <v>0.0937549158408055</v>
      </c>
      <c r="W74" s="13" t="n">
        <f aca="false">IF(U74=0,"",K74/U74-1)</f>
        <v>-0.269747623729925</v>
      </c>
      <c r="X74" s="11" t="n">
        <v>1054334</v>
      </c>
      <c r="Y74" s="5" t="s">
        <v>71</v>
      </c>
      <c r="Z74" s="5" t="s">
        <v>73</v>
      </c>
      <c r="AA74" s="5" t="s">
        <v>72</v>
      </c>
      <c r="AB74" s="5"/>
      <c r="AC74" s="5" t="s">
        <v>337</v>
      </c>
      <c r="AD74" s="14" t="n">
        <v>46288.771875</v>
      </c>
    </row>
    <row r="75" customFormat="false" ht="15" hidden="false" customHeight="false" outlineLevel="0" collapsed="false">
      <c r="A75" s="5" t="s">
        <v>338</v>
      </c>
      <c r="B75" s="5" t="s">
        <v>339</v>
      </c>
      <c r="C75" s="5" t="s">
        <v>248</v>
      </c>
      <c r="D75" s="5" t="s">
        <v>249</v>
      </c>
      <c r="E75" s="5" t="s">
        <v>250</v>
      </c>
      <c r="F75" s="5" t="s">
        <v>251</v>
      </c>
      <c r="G75" s="5" t="s">
        <v>59</v>
      </c>
      <c r="H75" s="5" t="s">
        <v>252</v>
      </c>
      <c r="I75" s="6" t="n">
        <v>0.16666667</v>
      </c>
      <c r="J75" s="7" t="n">
        <f aca="false">IF(I75="","",1/I75)</f>
        <v>5.99999988</v>
      </c>
      <c r="K75" s="8" t="n">
        <v>35.49</v>
      </c>
      <c r="L75" s="9" t="n">
        <v>2.59</v>
      </c>
      <c r="M75" s="10" t="n">
        <v>0.0787</v>
      </c>
      <c r="N75" s="8" t="n">
        <v>35.49</v>
      </c>
      <c r="O75" s="8" t="n">
        <v>35.49</v>
      </c>
      <c r="P75" s="8" t="n">
        <v>35.49</v>
      </c>
      <c r="Q75" s="8" t="n">
        <v>35.49</v>
      </c>
      <c r="R75" s="11" t="n">
        <v>7</v>
      </c>
      <c r="S75" s="11" t="n">
        <f aca="false">K75*R75</f>
        <v>248.43</v>
      </c>
      <c r="T75" s="8" t="n">
        <v>30.5</v>
      </c>
      <c r="U75" s="8" t="n">
        <v>72.2</v>
      </c>
      <c r="V75" s="12" t="n">
        <f aca="false">IF(U75-T75=0,"",(K75-T75)/(U75-T75))</f>
        <v>0.119664268585132</v>
      </c>
      <c r="W75" s="13" t="n">
        <f aca="false">IF(U75=0,"",K75/U75-1)</f>
        <v>-0.508448753462604</v>
      </c>
      <c r="X75" s="11"/>
      <c r="Y75" s="5" t="s">
        <v>253</v>
      </c>
      <c r="Z75" s="5" t="s">
        <v>254</v>
      </c>
      <c r="AA75" s="5" t="s">
        <v>251</v>
      </c>
      <c r="AB75" s="5"/>
      <c r="AC75" s="5" t="s">
        <v>340</v>
      </c>
      <c r="AD75" s="14" t="n">
        <v>46288.771875</v>
      </c>
    </row>
    <row r="76" customFormat="false" ht="15" hidden="false" customHeight="false" outlineLevel="0" collapsed="false">
      <c r="A76" s="5" t="s">
        <v>341</v>
      </c>
      <c r="B76" s="5" t="s">
        <v>342</v>
      </c>
      <c r="C76" s="5" t="s">
        <v>55</v>
      </c>
      <c r="D76" s="5" t="s">
        <v>56</v>
      </c>
      <c r="E76" s="5" t="s">
        <v>57</v>
      </c>
      <c r="F76" s="5" t="s">
        <v>58</v>
      </c>
      <c r="G76" s="5" t="s">
        <v>59</v>
      </c>
      <c r="H76" s="5"/>
      <c r="I76" s="6"/>
      <c r="J76" s="7" t="str">
        <f aca="false">IF(I76="","",1/I76)</f>
        <v/>
      </c>
      <c r="K76" s="8" t="n">
        <v>65.94</v>
      </c>
      <c r="L76" s="9" t="n">
        <v>-3.08</v>
      </c>
      <c r="M76" s="10" t="n">
        <v>-0.0446</v>
      </c>
      <c r="N76" s="8" t="n">
        <v>65.26</v>
      </c>
      <c r="O76" s="8" t="n">
        <v>65.26</v>
      </c>
      <c r="P76" s="8" t="n">
        <v>65.94</v>
      </c>
      <c r="Q76" s="8" t="n">
        <v>65.94</v>
      </c>
      <c r="R76" s="11" t="n">
        <v>10</v>
      </c>
      <c r="S76" s="11" t="n">
        <f aca="false">K76*R76</f>
        <v>659.4</v>
      </c>
      <c r="T76" s="8" t="n">
        <v>65.26</v>
      </c>
      <c r="U76" s="8" t="n">
        <v>104.29</v>
      </c>
      <c r="V76" s="12" t="n">
        <f aca="false">IF(U76-T76=0,"",(K76-T76)/(U76-T76))</f>
        <v>0.0174224955162693</v>
      </c>
      <c r="W76" s="13" t="n">
        <f aca="false">IF(U76=0,"",K76/U76-1)</f>
        <v>-0.367724614056957</v>
      </c>
      <c r="X76" s="11" t="n">
        <v>241850</v>
      </c>
      <c r="Y76" s="5" t="s">
        <v>57</v>
      </c>
      <c r="Z76" s="5" t="s">
        <v>61</v>
      </c>
      <c r="AA76" s="5" t="s">
        <v>58</v>
      </c>
      <c r="AB76" s="5" t="s">
        <v>111</v>
      </c>
      <c r="AC76" s="5" t="s">
        <v>343</v>
      </c>
      <c r="AD76" s="14" t="n">
        <v>46288.771875</v>
      </c>
    </row>
    <row r="77" customFormat="false" ht="15" hidden="false" customHeight="false" outlineLevel="0" collapsed="false">
      <c r="A77" s="5" t="s">
        <v>344</v>
      </c>
      <c r="B77" s="5" t="s">
        <v>345</v>
      </c>
      <c r="C77" s="5" t="s">
        <v>55</v>
      </c>
      <c r="D77" s="5" t="s">
        <v>56</v>
      </c>
      <c r="E77" s="5" t="s">
        <v>71</v>
      </c>
      <c r="F77" s="5" t="s">
        <v>72</v>
      </c>
      <c r="G77" s="5" t="s">
        <v>59</v>
      </c>
      <c r="H77" s="5" t="s">
        <v>60</v>
      </c>
      <c r="I77" s="6" t="n">
        <v>0.25</v>
      </c>
      <c r="J77" s="7" t="n">
        <f aca="false">IF(I77="","",1/I77)</f>
        <v>4</v>
      </c>
      <c r="K77" s="8" t="n">
        <v>48.19</v>
      </c>
      <c r="L77" s="9" t="n">
        <v>-0.35</v>
      </c>
      <c r="M77" s="10" t="n">
        <v>-0.0072</v>
      </c>
      <c r="N77" s="8" t="n">
        <v>48.54</v>
      </c>
      <c r="O77" s="8" t="n">
        <v>47.8</v>
      </c>
      <c r="P77" s="8" t="n">
        <v>48.54</v>
      </c>
      <c r="Q77" s="8" t="n">
        <v>48.19</v>
      </c>
      <c r="R77" s="11" t="n">
        <v>10690</v>
      </c>
      <c r="S77" s="11" t="n">
        <f aca="false">K77*R77</f>
        <v>515151.1</v>
      </c>
      <c r="T77" s="8" t="n">
        <v>47.5</v>
      </c>
      <c r="U77" s="8" t="n">
        <v>70</v>
      </c>
      <c r="V77" s="12" t="n">
        <f aca="false">IF(U77-T77=0,"",(K77-T77)/(U77-T77))</f>
        <v>0.0306666666666666</v>
      </c>
      <c r="W77" s="13" t="n">
        <f aca="false">IF(U77=0,"",K77/U77-1)</f>
        <v>-0.311571428571429</v>
      </c>
      <c r="X77" s="11" t="n">
        <v>432480</v>
      </c>
      <c r="Y77" s="5" t="s">
        <v>71</v>
      </c>
      <c r="Z77" s="5" t="s">
        <v>73</v>
      </c>
      <c r="AA77" s="5" t="s">
        <v>72</v>
      </c>
      <c r="AB77" s="5"/>
      <c r="AC77" s="5" t="s">
        <v>346</v>
      </c>
      <c r="AD77" s="14" t="n">
        <v>46288.771875</v>
      </c>
    </row>
    <row r="78" customFormat="false" ht="15" hidden="false" customHeight="false" outlineLevel="0" collapsed="false">
      <c r="A78" s="5" t="s">
        <v>347</v>
      </c>
      <c r="B78" s="5" t="s">
        <v>348</v>
      </c>
      <c r="C78" s="5" t="s">
        <v>55</v>
      </c>
      <c r="D78" s="5" t="s">
        <v>56</v>
      </c>
      <c r="E78" s="5" t="s">
        <v>99</v>
      </c>
      <c r="F78" s="5" t="s">
        <v>100</v>
      </c>
      <c r="G78" s="5" t="s">
        <v>59</v>
      </c>
      <c r="H78" s="5"/>
      <c r="I78" s="6"/>
      <c r="J78" s="7" t="str">
        <f aca="false">IF(I78="","",1/I78)</f>
        <v/>
      </c>
      <c r="K78" s="8" t="n">
        <v>57.95</v>
      </c>
      <c r="L78" s="9" t="n">
        <v>-0.75</v>
      </c>
      <c r="M78" s="10" t="n">
        <v>-0.0128</v>
      </c>
      <c r="N78" s="8" t="n">
        <v>57.95</v>
      </c>
      <c r="O78" s="8" t="n">
        <v>57.95</v>
      </c>
      <c r="P78" s="8" t="n">
        <v>57.95</v>
      </c>
      <c r="Q78" s="8" t="n">
        <v>57.95</v>
      </c>
      <c r="R78" s="11" t="n">
        <v>3</v>
      </c>
      <c r="S78" s="11" t="n">
        <f aca="false">K78*R78</f>
        <v>173.85</v>
      </c>
      <c r="T78" s="8" t="n">
        <v>40.97</v>
      </c>
      <c r="U78" s="8" t="n">
        <v>73.27</v>
      </c>
      <c r="V78" s="12" t="n">
        <f aca="false">IF(U78-T78=0,"",(K78-T78)/(U78-T78))</f>
        <v>0.525696594427245</v>
      </c>
      <c r="W78" s="13" t="n">
        <f aca="false">IF(U78=0,"",K78/U78-1)</f>
        <v>-0.209089668349938</v>
      </c>
      <c r="X78" s="11" t="n">
        <v>62653</v>
      </c>
      <c r="Y78" s="5" t="s">
        <v>99</v>
      </c>
      <c r="Z78" s="5" t="s">
        <v>101</v>
      </c>
      <c r="AA78" s="5" t="s">
        <v>100</v>
      </c>
      <c r="AB78" s="5" t="s">
        <v>111</v>
      </c>
      <c r="AC78" s="5" t="s">
        <v>349</v>
      </c>
      <c r="AD78" s="14" t="n">
        <v>46288.771875</v>
      </c>
    </row>
    <row r="79" customFormat="false" ht="15" hidden="false" customHeight="false" outlineLevel="0" collapsed="false">
      <c r="A79" s="5" t="s">
        <v>350</v>
      </c>
      <c r="B79" s="5" t="s">
        <v>351</v>
      </c>
      <c r="C79" s="5" t="s">
        <v>55</v>
      </c>
      <c r="D79" s="5" t="s">
        <v>56</v>
      </c>
      <c r="E79" s="5" t="s">
        <v>71</v>
      </c>
      <c r="F79" s="5" t="s">
        <v>72</v>
      </c>
      <c r="G79" s="5" t="s">
        <v>59</v>
      </c>
      <c r="H79" s="5" t="s">
        <v>60</v>
      </c>
      <c r="I79" s="6" t="n">
        <v>0.25</v>
      </c>
      <c r="J79" s="7" t="n">
        <f aca="false">IF(I79="","",1/I79)</f>
        <v>4</v>
      </c>
      <c r="K79" s="8" t="n">
        <v>61</v>
      </c>
      <c r="L79" s="9" t="n">
        <v>-1</v>
      </c>
      <c r="M79" s="10" t="n">
        <v>-0.0161</v>
      </c>
      <c r="N79" s="8" t="n">
        <v>61</v>
      </c>
      <c r="O79" s="8" t="n">
        <v>61</v>
      </c>
      <c r="P79" s="8" t="n">
        <v>61</v>
      </c>
      <c r="Q79" s="8" t="n">
        <v>61</v>
      </c>
      <c r="R79" s="11" t="n">
        <v>1</v>
      </c>
      <c r="S79" s="11" t="n">
        <f aca="false">K79*R79</f>
        <v>61</v>
      </c>
      <c r="T79" s="8" t="n">
        <v>58.75</v>
      </c>
      <c r="U79" s="8" t="n">
        <v>66.8925</v>
      </c>
      <c r="V79" s="12" t="n">
        <f aca="false">IF(U79-T79=0,"",(K79-T79)/(U79-T79))</f>
        <v>0.276327909118821</v>
      </c>
      <c r="W79" s="13" t="n">
        <f aca="false">IF(U79=0,"",K79/U79-1)</f>
        <v>-0.0880890981799155</v>
      </c>
      <c r="X79" s="11" t="n">
        <v>300530</v>
      </c>
      <c r="Y79" s="5" t="s">
        <v>71</v>
      </c>
      <c r="Z79" s="5" t="s">
        <v>73</v>
      </c>
      <c r="AA79" s="5" t="s">
        <v>72</v>
      </c>
      <c r="AB79" s="5"/>
      <c r="AC79" s="5" t="s">
        <v>352</v>
      </c>
      <c r="AD79" s="14" t="n">
        <v>46288.771875</v>
      </c>
    </row>
    <row r="80" customFormat="false" ht="15" hidden="false" customHeight="false" outlineLevel="0" collapsed="false">
      <c r="A80" s="5" t="s">
        <v>353</v>
      </c>
      <c r="B80" s="5" t="s">
        <v>354</v>
      </c>
      <c r="C80" s="5" t="s">
        <v>55</v>
      </c>
      <c r="D80" s="5" t="s">
        <v>56</v>
      </c>
      <c r="E80" s="5" t="s">
        <v>57</v>
      </c>
      <c r="F80" s="5" t="s">
        <v>58</v>
      </c>
      <c r="G80" s="5" t="s">
        <v>59</v>
      </c>
      <c r="H80" s="5"/>
      <c r="I80" s="6"/>
      <c r="J80" s="7" t="str">
        <f aca="false">IF(I80="","",1/I80)</f>
        <v/>
      </c>
      <c r="K80" s="8" t="n">
        <v>22.2</v>
      </c>
      <c r="L80" s="9" t="n">
        <v>0</v>
      </c>
      <c r="M80" s="10" t="n">
        <v>0</v>
      </c>
      <c r="N80" s="8" t="n">
        <v>22.21</v>
      </c>
      <c r="O80" s="8" t="n">
        <v>22.2</v>
      </c>
      <c r="P80" s="8" t="n">
        <v>22.21</v>
      </c>
      <c r="Q80" s="8" t="n">
        <v>22.2</v>
      </c>
      <c r="R80" s="11" t="n">
        <v>901</v>
      </c>
      <c r="S80" s="11" t="n">
        <f aca="false">K80*R80</f>
        <v>20002.2</v>
      </c>
      <c r="T80" s="8" t="n">
        <v>19.55</v>
      </c>
      <c r="U80" s="8" t="n">
        <v>34.8</v>
      </c>
      <c r="V80" s="12" t="n">
        <f aca="false">IF(U80-T80=0,"",(K80-T80)/(U80-T80))</f>
        <v>0.173770491803279</v>
      </c>
      <c r="W80" s="13" t="n">
        <f aca="false">IF(U80=0,"",K80/U80-1)</f>
        <v>-0.362068965517241</v>
      </c>
      <c r="X80" s="11" t="n">
        <v>17729</v>
      </c>
      <c r="Y80" s="5" t="s">
        <v>57</v>
      </c>
      <c r="Z80" s="5" t="s">
        <v>61</v>
      </c>
      <c r="AA80" s="5" t="s">
        <v>58</v>
      </c>
      <c r="AB80" s="5" t="s">
        <v>111</v>
      </c>
      <c r="AC80" s="5" t="s">
        <v>355</v>
      </c>
      <c r="AD80" s="14" t="n">
        <v>46288.771875</v>
      </c>
    </row>
    <row r="81" customFormat="false" ht="15" hidden="false" customHeight="false" outlineLevel="0" collapsed="false">
      <c r="A81" s="5" t="s">
        <v>356</v>
      </c>
      <c r="B81" s="5" t="s">
        <v>357</v>
      </c>
      <c r="C81" s="5" t="s">
        <v>55</v>
      </c>
      <c r="D81" s="5" t="s">
        <v>56</v>
      </c>
      <c r="E81" s="5" t="s">
        <v>71</v>
      </c>
      <c r="F81" s="5" t="s">
        <v>72</v>
      </c>
      <c r="G81" s="5" t="s">
        <v>59</v>
      </c>
      <c r="H81" s="5" t="s">
        <v>86</v>
      </c>
      <c r="I81" s="6" t="n">
        <v>1</v>
      </c>
      <c r="J81" s="7" t="n">
        <f aca="false">IF(I81="","",1/I81)</f>
        <v>1</v>
      </c>
      <c r="K81" s="8" t="n">
        <v>125.45</v>
      </c>
      <c r="L81" s="9" t="n">
        <v>-2.47</v>
      </c>
      <c r="M81" s="10" t="n">
        <v>-0.0193</v>
      </c>
      <c r="N81" s="8" t="n">
        <v>127.01</v>
      </c>
      <c r="O81" s="8" t="n">
        <v>125.45</v>
      </c>
      <c r="P81" s="8" t="n">
        <v>127.01</v>
      </c>
      <c r="Q81" s="8" t="n">
        <v>125.45</v>
      </c>
      <c r="R81" s="11" t="n">
        <v>7</v>
      </c>
      <c r="S81" s="11" t="n">
        <f aca="false">K81*R81</f>
        <v>878.15</v>
      </c>
      <c r="T81" s="8" t="n">
        <v>104.6</v>
      </c>
      <c r="U81" s="8" t="n">
        <v>147.3</v>
      </c>
      <c r="V81" s="12" t="n">
        <f aca="false">IF(U81-T81=0,"",(K81-T81)/(U81-T81))</f>
        <v>0.488290398126464</v>
      </c>
      <c r="W81" s="13" t="n">
        <f aca="false">IF(U81=0,"",K81/U81-1)</f>
        <v>-0.148336727766463</v>
      </c>
      <c r="X81" s="11" t="n">
        <v>424966</v>
      </c>
      <c r="Y81" s="5" t="s">
        <v>71</v>
      </c>
      <c r="Z81" s="5" t="s">
        <v>73</v>
      </c>
      <c r="AA81" s="5" t="s">
        <v>72</v>
      </c>
      <c r="AB81" s="5"/>
      <c r="AC81" s="5" t="s">
        <v>358</v>
      </c>
      <c r="AD81" s="14" t="n">
        <v>46288.771875</v>
      </c>
    </row>
    <row r="82" customFormat="false" ht="15" hidden="false" customHeight="false" outlineLevel="0" collapsed="false">
      <c r="A82" s="5" t="s">
        <v>359</v>
      </c>
      <c r="B82" s="5" t="s">
        <v>360</v>
      </c>
      <c r="C82" s="5" t="s">
        <v>55</v>
      </c>
      <c r="D82" s="5" t="s">
        <v>56</v>
      </c>
      <c r="E82" s="5" t="s">
        <v>99</v>
      </c>
      <c r="F82" s="5" t="s">
        <v>100</v>
      </c>
      <c r="G82" s="5" t="s">
        <v>59</v>
      </c>
      <c r="H82" s="5" t="s">
        <v>60</v>
      </c>
      <c r="I82" s="6" t="n">
        <v>0.2</v>
      </c>
      <c r="J82" s="7" t="n">
        <f aca="false">IF(I82="","",1/I82)</f>
        <v>5</v>
      </c>
      <c r="K82" s="8" t="n">
        <v>186.3</v>
      </c>
      <c r="L82" s="9" t="n">
        <v>2.57</v>
      </c>
      <c r="M82" s="10" t="n">
        <v>0.014</v>
      </c>
      <c r="N82" s="8" t="n">
        <v>186.3</v>
      </c>
      <c r="O82" s="8" t="n">
        <v>186.3</v>
      </c>
      <c r="P82" s="8" t="n">
        <v>186.3</v>
      </c>
      <c r="Q82" s="8" t="n">
        <v>186.3</v>
      </c>
      <c r="R82" s="11" t="n">
        <v>2</v>
      </c>
      <c r="S82" s="11" t="n">
        <f aca="false">K82*R82</f>
        <v>372.6</v>
      </c>
      <c r="T82" s="8" t="n">
        <v>139.29</v>
      </c>
      <c r="U82" s="8" t="n">
        <v>242.96</v>
      </c>
      <c r="V82" s="12" t="n">
        <f aca="false">IF(U82-T82=0,"",(K82-T82)/(U82-T82))</f>
        <v>0.453458088164368</v>
      </c>
      <c r="W82" s="13" t="n">
        <f aca="false">IF(U82=0,"",K82/U82-1)</f>
        <v>-0.233207112281857</v>
      </c>
      <c r="X82" s="11" t="n">
        <v>255101</v>
      </c>
      <c r="Y82" s="5" t="s">
        <v>99</v>
      </c>
      <c r="Z82" s="5" t="s">
        <v>101</v>
      </c>
      <c r="AA82" s="5" t="s">
        <v>100</v>
      </c>
      <c r="AB82" s="5"/>
      <c r="AC82" s="5" t="s">
        <v>361</v>
      </c>
      <c r="AD82" s="14" t="n">
        <v>46288.771875</v>
      </c>
    </row>
    <row r="83" customFormat="false" ht="15" hidden="false" customHeight="false" outlineLevel="0" collapsed="false">
      <c r="A83" s="5" t="s">
        <v>362</v>
      </c>
      <c r="B83" s="5" t="s">
        <v>363</v>
      </c>
      <c r="C83" s="5" t="s">
        <v>55</v>
      </c>
      <c r="D83" s="5" t="s">
        <v>56</v>
      </c>
      <c r="E83" s="5" t="s">
        <v>273</v>
      </c>
      <c r="F83" s="5" t="s">
        <v>274</v>
      </c>
      <c r="G83" s="5" t="s">
        <v>59</v>
      </c>
      <c r="H83" s="5" t="s">
        <v>60</v>
      </c>
      <c r="I83" s="6" t="n">
        <v>1</v>
      </c>
      <c r="J83" s="7" t="n">
        <f aca="false">IF(I83="","",1/I83)</f>
        <v>1</v>
      </c>
      <c r="K83" s="8" t="n">
        <v>136.06</v>
      </c>
      <c r="L83" s="9" t="n">
        <v>-0.02</v>
      </c>
      <c r="M83" s="10" t="n">
        <v>-0.0001</v>
      </c>
      <c r="N83" s="8" t="n">
        <v>136.06</v>
      </c>
      <c r="O83" s="8" t="n">
        <v>136.06</v>
      </c>
      <c r="P83" s="8" t="n">
        <v>136.06</v>
      </c>
      <c r="Q83" s="8" t="n">
        <v>136.06</v>
      </c>
      <c r="R83" s="11" t="n">
        <v>2</v>
      </c>
      <c r="S83" s="11" t="n">
        <f aca="false">K83*R83</f>
        <v>272.12</v>
      </c>
      <c r="T83" s="8" t="n">
        <v>118.08</v>
      </c>
      <c r="U83" s="8" t="n">
        <v>167.45</v>
      </c>
      <c r="V83" s="12" t="n">
        <f aca="false">IF(U83-T83=0,"",(K83-T83)/(U83-T83))</f>
        <v>0.364188778610492</v>
      </c>
      <c r="W83" s="13" t="n">
        <f aca="false">IF(U83=0,"",K83/U83-1)</f>
        <v>-0.18745894296805</v>
      </c>
      <c r="X83" s="11" t="n">
        <v>62699</v>
      </c>
      <c r="Y83" s="5" t="s">
        <v>273</v>
      </c>
      <c r="Z83" s="5" t="s">
        <v>275</v>
      </c>
      <c r="AA83" s="5" t="s">
        <v>274</v>
      </c>
      <c r="AB83" s="5"/>
      <c r="AC83" s="5" t="s">
        <v>364</v>
      </c>
      <c r="AD83" s="14" t="n">
        <v>46288.771875</v>
      </c>
    </row>
    <row r="84" customFormat="false" ht="15" hidden="false" customHeight="false" outlineLevel="0" collapsed="false">
      <c r="A84" s="5" t="s">
        <v>365</v>
      </c>
      <c r="B84" s="5" t="s">
        <v>366</v>
      </c>
      <c r="C84" s="5" t="s">
        <v>55</v>
      </c>
      <c r="D84" s="5" t="s">
        <v>56</v>
      </c>
      <c r="E84" s="5" t="s">
        <v>115</v>
      </c>
      <c r="F84" s="5" t="s">
        <v>116</v>
      </c>
      <c r="G84" s="5" t="s">
        <v>59</v>
      </c>
      <c r="H84" s="5" t="s">
        <v>86</v>
      </c>
      <c r="I84" s="6" t="n">
        <v>0.2</v>
      </c>
      <c r="J84" s="7" t="n">
        <f aca="false">IF(I84="","",1/I84)</f>
        <v>5</v>
      </c>
      <c r="K84" s="8" t="n">
        <v>15.51</v>
      </c>
      <c r="L84" s="9" t="n">
        <v>-0.03</v>
      </c>
      <c r="M84" s="10" t="n">
        <v>-0.0019</v>
      </c>
      <c r="N84" s="8" t="n">
        <v>15.6</v>
      </c>
      <c r="O84" s="8" t="n">
        <v>15.48</v>
      </c>
      <c r="P84" s="8" t="n">
        <v>15.6</v>
      </c>
      <c r="Q84" s="8" t="n">
        <v>15.51</v>
      </c>
      <c r="R84" s="11" t="n">
        <v>99</v>
      </c>
      <c r="S84" s="11" t="n">
        <f aca="false">K84*R84</f>
        <v>1535.49</v>
      </c>
      <c r="T84" s="8" t="n">
        <v>14.88</v>
      </c>
      <c r="U84" s="8" t="n">
        <v>38</v>
      </c>
      <c r="V84" s="12" t="n">
        <f aca="false">IF(U84-T84=0,"",(K84-T84)/(U84-T84))</f>
        <v>0.0272491349480968</v>
      </c>
      <c r="W84" s="13" t="n">
        <f aca="false">IF(U84=0,"",K84/U84-1)</f>
        <v>-0.591842105263158</v>
      </c>
      <c r="X84" s="11" t="n">
        <v>32364</v>
      </c>
      <c r="Y84" s="5" t="s">
        <v>115</v>
      </c>
      <c r="Z84" s="5" t="s">
        <v>117</v>
      </c>
      <c r="AA84" s="5" t="s">
        <v>116</v>
      </c>
      <c r="AB84" s="5"/>
      <c r="AC84" s="5" t="s">
        <v>367</v>
      </c>
      <c r="AD84" s="14" t="n">
        <v>46288.771875</v>
      </c>
    </row>
    <row r="85" customFormat="false" ht="15" hidden="false" customHeight="false" outlineLevel="0" collapsed="false">
      <c r="A85" s="5" t="s">
        <v>368</v>
      </c>
      <c r="B85" s="5" t="s">
        <v>369</v>
      </c>
      <c r="C85" s="5" t="s">
        <v>55</v>
      </c>
      <c r="D85" s="5" t="s">
        <v>56</v>
      </c>
      <c r="E85" s="5" t="s">
        <v>370</v>
      </c>
      <c r="F85" s="5" t="s">
        <v>371</v>
      </c>
      <c r="G85" s="5" t="s">
        <v>59</v>
      </c>
      <c r="H85" s="5" t="s">
        <v>60</v>
      </c>
      <c r="I85" s="6" t="n">
        <v>1</v>
      </c>
      <c r="J85" s="7" t="n">
        <f aca="false">IF(I85="","",1/I85)</f>
        <v>1</v>
      </c>
      <c r="K85" s="8" t="n">
        <v>293.77</v>
      </c>
      <c r="L85" s="9" t="n">
        <v>2.03</v>
      </c>
      <c r="M85" s="10" t="n">
        <v>0.007</v>
      </c>
      <c r="N85" s="8" t="n">
        <v>293.77</v>
      </c>
      <c r="O85" s="8" t="n">
        <v>293.77</v>
      </c>
      <c r="P85" s="8" t="n">
        <v>293.77</v>
      </c>
      <c r="Q85" s="8" t="n">
        <v>293.77</v>
      </c>
      <c r="R85" s="11" t="n">
        <v>50</v>
      </c>
      <c r="S85" s="11" t="n">
        <f aca="false">K85*R85</f>
        <v>14688.5</v>
      </c>
      <c r="T85" s="8" t="n">
        <v>243.6</v>
      </c>
      <c r="U85" s="8" t="n">
        <v>348.4</v>
      </c>
      <c r="V85" s="12" t="n">
        <f aca="false">IF(U85-T85=0,"",(K85-T85)/(U85-T85))</f>
        <v>0.478721374045802</v>
      </c>
      <c r="W85" s="13" t="n">
        <f aca="false">IF(U85=0,"",K85/U85-1)</f>
        <v>-0.156802525832377</v>
      </c>
      <c r="X85" s="11" t="n">
        <v>290893</v>
      </c>
      <c r="Y85" s="5" t="s">
        <v>370</v>
      </c>
      <c r="Z85" s="5" t="s">
        <v>372</v>
      </c>
      <c r="AA85" s="5" t="s">
        <v>371</v>
      </c>
      <c r="AB85" s="5"/>
      <c r="AC85" s="5" t="s">
        <v>373</v>
      </c>
      <c r="AD85" s="14" t="n">
        <v>46288.771875</v>
      </c>
    </row>
    <row r="86" customFormat="false" ht="15" hidden="false" customHeight="false" outlineLevel="0" collapsed="false">
      <c r="A86" s="5" t="s">
        <v>374</v>
      </c>
      <c r="B86" s="5" t="s">
        <v>375</v>
      </c>
      <c r="C86" s="5" t="s">
        <v>55</v>
      </c>
      <c r="D86" s="5" t="s">
        <v>56</v>
      </c>
      <c r="E86" s="5" t="s">
        <v>65</v>
      </c>
      <c r="F86" s="5" t="s">
        <v>66</v>
      </c>
      <c r="G86" s="5" t="s">
        <v>59</v>
      </c>
      <c r="H86" s="5"/>
      <c r="I86" s="6"/>
      <c r="J86" s="7" t="str">
        <f aca="false">IF(I86="","",1/I86)</f>
        <v/>
      </c>
      <c r="K86" s="8" t="n">
        <v>162.17</v>
      </c>
      <c r="L86" s="9" t="n">
        <v>-0.34</v>
      </c>
      <c r="M86" s="10" t="n">
        <v>-0.0021</v>
      </c>
      <c r="N86" s="8" t="n">
        <v>162.17</v>
      </c>
      <c r="O86" s="8" t="n">
        <v>162.17</v>
      </c>
      <c r="P86" s="8" t="n">
        <v>162.17</v>
      </c>
      <c r="Q86" s="8" t="n">
        <v>162.17</v>
      </c>
      <c r="R86" s="11" t="n">
        <v>2</v>
      </c>
      <c r="S86" s="11" t="n">
        <f aca="false">K86*R86</f>
        <v>324.34</v>
      </c>
      <c r="T86" s="8" t="n">
        <v>123.3</v>
      </c>
      <c r="U86" s="8" t="n">
        <v>166.26</v>
      </c>
      <c r="V86" s="12" t="n">
        <f aca="false">IF(U86-T86=0,"",(K86-T86)/(U86-T86))</f>
        <v>0.904795158286778</v>
      </c>
      <c r="W86" s="13" t="n">
        <f aca="false">IF(U86=0,"",K86/U86-1)</f>
        <v>-0.0246000240587032</v>
      </c>
      <c r="X86" s="11" t="n">
        <v>81240</v>
      </c>
      <c r="Y86" s="5" t="s">
        <v>65</v>
      </c>
      <c r="Z86" s="5" t="s">
        <v>67</v>
      </c>
      <c r="AA86" s="5" t="s">
        <v>66</v>
      </c>
      <c r="AB86" s="5" t="s">
        <v>111</v>
      </c>
      <c r="AC86" s="5" t="s">
        <v>376</v>
      </c>
      <c r="AD86" s="14" t="n">
        <v>46288.771875</v>
      </c>
    </row>
    <row r="87" customFormat="false" ht="15" hidden="false" customHeight="false" outlineLevel="0" collapsed="false">
      <c r="A87" s="5" t="s">
        <v>377</v>
      </c>
      <c r="B87" s="5" t="s">
        <v>378</v>
      </c>
      <c r="C87" s="5" t="s">
        <v>55</v>
      </c>
      <c r="D87" s="5" t="s">
        <v>56</v>
      </c>
      <c r="E87" s="5" t="s">
        <v>99</v>
      </c>
      <c r="F87" s="5" t="s">
        <v>100</v>
      </c>
      <c r="G87" s="5" t="s">
        <v>59</v>
      </c>
      <c r="H87" s="5" t="s">
        <v>86</v>
      </c>
      <c r="I87" s="6" t="n">
        <v>0.04</v>
      </c>
      <c r="J87" s="7" t="n">
        <f aca="false">IF(I87="","",1/I87)</f>
        <v>25</v>
      </c>
      <c r="K87" s="8" t="n">
        <v>72.73</v>
      </c>
      <c r="L87" s="9" t="n">
        <v>-1.27</v>
      </c>
      <c r="M87" s="10" t="n">
        <v>-0.0172</v>
      </c>
      <c r="N87" s="8" t="n">
        <v>73.29</v>
      </c>
      <c r="O87" s="8" t="n">
        <v>72.73</v>
      </c>
      <c r="P87" s="8" t="n">
        <v>73.29</v>
      </c>
      <c r="Q87" s="8" t="n">
        <v>72.73</v>
      </c>
      <c r="R87" s="11" t="n">
        <v>42</v>
      </c>
      <c r="S87" s="11" t="n">
        <f aca="false">K87*R87</f>
        <v>3054.66</v>
      </c>
      <c r="T87" s="8" t="n">
        <v>54</v>
      </c>
      <c r="U87" s="8" t="n">
        <v>74</v>
      </c>
      <c r="V87" s="12" t="n">
        <f aca="false">IF(U87-T87=0,"",(K87-T87)/(U87-T87))</f>
        <v>0.9365</v>
      </c>
      <c r="W87" s="13" t="n">
        <f aca="false">IF(U87=0,"",K87/U87-1)</f>
        <v>-0.0171621621621622</v>
      </c>
      <c r="X87" s="11" t="n">
        <v>210156</v>
      </c>
      <c r="Y87" s="5" t="s">
        <v>99</v>
      </c>
      <c r="Z87" s="5" t="s">
        <v>101</v>
      </c>
      <c r="AA87" s="5" t="s">
        <v>100</v>
      </c>
      <c r="AB87" s="5"/>
      <c r="AC87" s="5" t="s">
        <v>379</v>
      </c>
      <c r="AD87" s="14" t="n">
        <v>46288.771875</v>
      </c>
    </row>
    <row r="88" customFormat="false" ht="15" hidden="false" customHeight="false" outlineLevel="0" collapsed="false">
      <c r="A88" s="5" t="s">
        <v>380</v>
      </c>
      <c r="B88" s="5" t="s">
        <v>381</v>
      </c>
      <c r="C88" s="5" t="s">
        <v>55</v>
      </c>
      <c r="D88" s="5" t="s">
        <v>56</v>
      </c>
      <c r="E88" s="5" t="s">
        <v>99</v>
      </c>
      <c r="F88" s="5" t="s">
        <v>100</v>
      </c>
      <c r="G88" s="5" t="s">
        <v>59</v>
      </c>
      <c r="H88" s="5" t="s">
        <v>60</v>
      </c>
      <c r="I88" s="6" t="n">
        <v>0.5</v>
      </c>
      <c r="J88" s="7" t="n">
        <f aca="false">IF(I88="","",1/I88)</f>
        <v>2</v>
      </c>
      <c r="K88" s="8" t="n">
        <v>159.52</v>
      </c>
      <c r="L88" s="9" t="n">
        <v>-4.31</v>
      </c>
      <c r="M88" s="10" t="n">
        <v>-0.0263</v>
      </c>
      <c r="N88" s="8" t="n">
        <v>159.53</v>
      </c>
      <c r="O88" s="8" t="n">
        <v>159.52</v>
      </c>
      <c r="P88" s="8" t="n">
        <v>159.53</v>
      </c>
      <c r="Q88" s="8" t="n">
        <v>159.52</v>
      </c>
      <c r="R88" s="11" t="n">
        <v>300</v>
      </c>
      <c r="S88" s="11" t="n">
        <f aca="false">K88*R88</f>
        <v>47856</v>
      </c>
      <c r="T88" s="8" t="n">
        <v>123.51</v>
      </c>
      <c r="U88" s="8" t="n">
        <v>174.41</v>
      </c>
      <c r="V88" s="12" t="n">
        <f aca="false">IF(U88-T88=0,"",(K88-T88)/(U88-T88))</f>
        <v>0.707465618860511</v>
      </c>
      <c r="W88" s="13" t="n">
        <f aca="false">IF(U88=0,"",K88/U88-1)</f>
        <v>-0.0853735450948913</v>
      </c>
      <c r="X88" s="11" t="n">
        <v>62778</v>
      </c>
      <c r="Y88" s="5" t="s">
        <v>99</v>
      </c>
      <c r="Z88" s="5" t="s">
        <v>101</v>
      </c>
      <c r="AA88" s="5" t="s">
        <v>100</v>
      </c>
      <c r="AB88" s="5"/>
      <c r="AC88" s="5" t="s">
        <v>382</v>
      </c>
      <c r="AD88" s="14" t="n">
        <v>46288.771875</v>
      </c>
    </row>
    <row r="89" customFormat="false" ht="15" hidden="false" customHeight="false" outlineLevel="0" collapsed="false">
      <c r="A89" s="5" t="s">
        <v>383</v>
      </c>
      <c r="B89" s="5" t="s">
        <v>384</v>
      </c>
      <c r="C89" s="5" t="s">
        <v>55</v>
      </c>
      <c r="D89" s="5" t="s">
        <v>56</v>
      </c>
      <c r="E89" s="5" t="s">
        <v>99</v>
      </c>
      <c r="F89" s="5" t="s">
        <v>100</v>
      </c>
      <c r="G89" s="5" t="s">
        <v>59</v>
      </c>
      <c r="H89" s="5" t="s">
        <v>86</v>
      </c>
      <c r="I89" s="6" t="n">
        <v>0.0625</v>
      </c>
      <c r="J89" s="7" t="n">
        <f aca="false">IF(I89="","",1/I89)</f>
        <v>16</v>
      </c>
      <c r="K89" s="8" t="n">
        <v>31.86</v>
      </c>
      <c r="L89" s="9" t="n">
        <v>-0.45</v>
      </c>
      <c r="M89" s="10" t="n">
        <v>-0.0139</v>
      </c>
      <c r="N89" s="8" t="n">
        <v>31.86</v>
      </c>
      <c r="O89" s="8" t="n">
        <v>31.86</v>
      </c>
      <c r="P89" s="8" t="n">
        <v>31.86</v>
      </c>
      <c r="Q89" s="8" t="n">
        <v>31.86</v>
      </c>
      <c r="R89" s="11" t="n">
        <v>8</v>
      </c>
      <c r="S89" s="11" t="n">
        <f aca="false">K89*R89</f>
        <v>254.88</v>
      </c>
      <c r="T89" s="8" t="n">
        <v>25.78</v>
      </c>
      <c r="U89" s="8" t="n">
        <v>41</v>
      </c>
      <c r="V89" s="12" t="n">
        <f aca="false">IF(U89-T89=0,"",(K89-T89)/(U89-T89))</f>
        <v>0.399474375821288</v>
      </c>
      <c r="W89" s="13" t="n">
        <f aca="false">IF(U89=0,"",K89/U89-1)</f>
        <v>-0.222926829268293</v>
      </c>
      <c r="X89" s="11" t="n">
        <v>129678</v>
      </c>
      <c r="Y89" s="5" t="s">
        <v>99</v>
      </c>
      <c r="Z89" s="5" t="s">
        <v>101</v>
      </c>
      <c r="AA89" s="5" t="s">
        <v>100</v>
      </c>
      <c r="AB89" s="5"/>
      <c r="AC89" s="5" t="s">
        <v>385</v>
      </c>
      <c r="AD89" s="14" t="n">
        <v>46288.771875</v>
      </c>
    </row>
    <row r="90" customFormat="false" ht="15" hidden="false" customHeight="false" outlineLevel="0" collapsed="false">
      <c r="A90" s="5" t="s">
        <v>386</v>
      </c>
      <c r="B90" s="5" t="s">
        <v>387</v>
      </c>
      <c r="C90" s="5" t="s">
        <v>55</v>
      </c>
      <c r="D90" s="5" t="s">
        <v>56</v>
      </c>
      <c r="E90" s="5" t="s">
        <v>160</v>
      </c>
      <c r="F90" s="5" t="s">
        <v>161</v>
      </c>
      <c r="G90" s="5" t="s">
        <v>59</v>
      </c>
      <c r="H90" s="5" t="s">
        <v>86</v>
      </c>
      <c r="I90" s="6" t="n">
        <v>0.25</v>
      </c>
      <c r="J90" s="7" t="n">
        <f aca="false">IF(I90="","",1/I90)</f>
        <v>4</v>
      </c>
      <c r="K90" s="8" t="n">
        <v>57.5</v>
      </c>
      <c r="L90" s="9" t="n">
        <v>1.54</v>
      </c>
      <c r="M90" s="10" t="n">
        <v>0.0275</v>
      </c>
      <c r="N90" s="8" t="n">
        <v>57</v>
      </c>
      <c r="O90" s="8" t="n">
        <v>57</v>
      </c>
      <c r="P90" s="8" t="n">
        <v>57.5</v>
      </c>
      <c r="Q90" s="8" t="n">
        <v>57.5</v>
      </c>
      <c r="R90" s="11" t="n">
        <v>126</v>
      </c>
      <c r="S90" s="11" t="n">
        <f aca="false">K90*R90</f>
        <v>7245</v>
      </c>
      <c r="T90" s="8" t="n">
        <v>44.17</v>
      </c>
      <c r="U90" s="8" t="n">
        <v>63.12</v>
      </c>
      <c r="V90" s="12" t="n">
        <f aca="false">IF(U90-T90=0,"",(K90-T90)/(U90-T90))</f>
        <v>0.703430079155673</v>
      </c>
      <c r="W90" s="13" t="n">
        <f aca="false">IF(U90=0,"",K90/U90-1)</f>
        <v>-0.0890367553865652</v>
      </c>
      <c r="X90" s="11" t="n">
        <v>572050</v>
      </c>
      <c r="Y90" s="5" t="s">
        <v>160</v>
      </c>
      <c r="Z90" s="5" t="s">
        <v>162</v>
      </c>
      <c r="AA90" s="5" t="s">
        <v>161</v>
      </c>
      <c r="AB90" s="5"/>
      <c r="AC90" s="5" t="s">
        <v>388</v>
      </c>
      <c r="AD90" s="14" t="n">
        <v>46288.771875</v>
      </c>
    </row>
    <row r="91" customFormat="false" ht="15" hidden="false" customHeight="false" outlineLevel="0" collapsed="false">
      <c r="A91" s="5" t="s">
        <v>389</v>
      </c>
      <c r="B91" s="5" t="s">
        <v>390</v>
      </c>
      <c r="C91" s="5" t="s">
        <v>55</v>
      </c>
      <c r="D91" s="5" t="s">
        <v>56</v>
      </c>
      <c r="E91" s="5" t="s">
        <v>115</v>
      </c>
      <c r="F91" s="5" t="s">
        <v>116</v>
      </c>
      <c r="G91" s="5" t="s">
        <v>59</v>
      </c>
      <c r="H91" s="5" t="s">
        <v>60</v>
      </c>
      <c r="I91" s="6" t="n">
        <v>0.25</v>
      </c>
      <c r="J91" s="7" t="n">
        <f aca="false">IF(I91="","",1/I91)</f>
        <v>4</v>
      </c>
      <c r="K91" s="8" t="n">
        <v>216</v>
      </c>
      <c r="L91" s="9" t="n">
        <v>-20.68</v>
      </c>
      <c r="M91" s="10" t="n">
        <v>-0.0874</v>
      </c>
      <c r="N91" s="8" t="n">
        <v>216.44</v>
      </c>
      <c r="O91" s="8" t="n">
        <v>216</v>
      </c>
      <c r="P91" s="8" t="n">
        <v>216.44</v>
      </c>
      <c r="Q91" s="8" t="n">
        <v>216</v>
      </c>
      <c r="R91" s="11" t="n">
        <v>46</v>
      </c>
      <c r="S91" s="11" t="n">
        <f aca="false">K91*R91</f>
        <v>9936</v>
      </c>
      <c r="T91" s="8" t="n">
        <v>179.67</v>
      </c>
      <c r="U91" s="8" t="n">
        <v>317.6</v>
      </c>
      <c r="V91" s="12" t="n">
        <f aca="false">IF(U91-T91=0,"",(K91-T91)/(U91-T91))</f>
        <v>0.263394475458566</v>
      </c>
      <c r="W91" s="13" t="n">
        <f aca="false">IF(U91=0,"",K91/U91-1)</f>
        <v>-0.319899244332494</v>
      </c>
      <c r="X91" s="11" t="n">
        <v>95127</v>
      </c>
      <c r="Y91" s="5" t="s">
        <v>115</v>
      </c>
      <c r="Z91" s="5" t="s">
        <v>117</v>
      </c>
      <c r="AA91" s="5" t="s">
        <v>116</v>
      </c>
      <c r="AB91" s="5"/>
      <c r="AC91" s="5" t="s">
        <v>391</v>
      </c>
      <c r="AD91" s="14" t="n">
        <v>46288.771875</v>
      </c>
    </row>
    <row r="92" customFormat="false" ht="15" hidden="false" customHeight="false" outlineLevel="0" collapsed="false">
      <c r="A92" s="5" t="s">
        <v>392</v>
      </c>
      <c r="B92" s="5" t="s">
        <v>393</v>
      </c>
      <c r="C92" s="5" t="s">
        <v>55</v>
      </c>
      <c r="D92" s="5" t="s">
        <v>56</v>
      </c>
      <c r="E92" s="5" t="s">
        <v>71</v>
      </c>
      <c r="F92" s="5" t="s">
        <v>72</v>
      </c>
      <c r="G92" s="5" t="s">
        <v>59</v>
      </c>
      <c r="H92" s="5" t="s">
        <v>86</v>
      </c>
      <c r="I92" s="6" t="n">
        <v>0.5</v>
      </c>
      <c r="J92" s="7" t="n">
        <f aca="false">IF(I92="","",1/I92)</f>
        <v>2</v>
      </c>
      <c r="K92" s="8" t="n">
        <v>88.83</v>
      </c>
      <c r="L92" s="9" t="n">
        <v>0</v>
      </c>
      <c r="M92" s="10" t="n">
        <v>0</v>
      </c>
      <c r="N92" s="8" t="n">
        <v>88.83</v>
      </c>
      <c r="O92" s="8" t="n">
        <v>88.83</v>
      </c>
      <c r="P92" s="8" t="n">
        <v>88.83</v>
      </c>
      <c r="Q92" s="8" t="n">
        <v>88.83</v>
      </c>
      <c r="R92" s="11" t="n">
        <v>22</v>
      </c>
      <c r="S92" s="11" t="n">
        <f aca="false">K92*R92</f>
        <v>1954.26</v>
      </c>
      <c r="T92" s="8" t="n">
        <v>69.65</v>
      </c>
      <c r="U92" s="8" t="n">
        <v>96.9</v>
      </c>
      <c r="V92" s="12" t="n">
        <f aca="false">IF(U92-T92=0,"",(K92-T92)/(U92-T92))</f>
        <v>0.703853211009174</v>
      </c>
      <c r="W92" s="13" t="n">
        <f aca="false">IF(U92=0,"",K92/U92-1)</f>
        <v>-0.0832817337461301</v>
      </c>
      <c r="X92" s="11" t="n">
        <v>84209</v>
      </c>
      <c r="Y92" s="5" t="s">
        <v>71</v>
      </c>
      <c r="Z92" s="5" t="s">
        <v>73</v>
      </c>
      <c r="AA92" s="5" t="s">
        <v>72</v>
      </c>
      <c r="AB92" s="5"/>
      <c r="AC92" s="5" t="s">
        <v>394</v>
      </c>
      <c r="AD92" s="14" t="n">
        <v>46288.771875</v>
      </c>
    </row>
    <row r="93" customFormat="false" ht="15" hidden="false" customHeight="false" outlineLevel="0" collapsed="false">
      <c r="A93" s="5" t="s">
        <v>395</v>
      </c>
      <c r="B93" s="5" t="s">
        <v>396</v>
      </c>
      <c r="C93" s="5" t="s">
        <v>55</v>
      </c>
      <c r="D93" s="5" t="s">
        <v>56</v>
      </c>
      <c r="E93" s="5" t="s">
        <v>99</v>
      </c>
      <c r="F93" s="5" t="s">
        <v>100</v>
      </c>
      <c r="G93" s="5" t="s">
        <v>59</v>
      </c>
      <c r="H93" s="5" t="s">
        <v>60</v>
      </c>
      <c r="I93" s="6" t="n">
        <v>0.25</v>
      </c>
      <c r="J93" s="7" t="n">
        <f aca="false">IF(I93="","",1/I93)</f>
        <v>4</v>
      </c>
      <c r="K93" s="8" t="n">
        <v>57.41</v>
      </c>
      <c r="L93" s="9" t="n">
        <v>1.79</v>
      </c>
      <c r="M93" s="10" t="n">
        <v>0.0322</v>
      </c>
      <c r="N93" s="8" t="n">
        <v>57.41</v>
      </c>
      <c r="O93" s="8" t="n">
        <v>57.41</v>
      </c>
      <c r="P93" s="8" t="n">
        <v>57.41</v>
      </c>
      <c r="Q93" s="8" t="n">
        <v>57.41</v>
      </c>
      <c r="R93" s="11" t="n">
        <v>4</v>
      </c>
      <c r="S93" s="11" t="n">
        <f aca="false">K93*R93</f>
        <v>229.64</v>
      </c>
      <c r="T93" s="8" t="n">
        <v>50.2875</v>
      </c>
      <c r="U93" s="8" t="n">
        <v>140.9075</v>
      </c>
      <c r="V93" s="12" t="n">
        <f aca="false">IF(U93-T93=0,"",(K93-T93)/(U93-T93))</f>
        <v>0.0785974398587508</v>
      </c>
      <c r="W93" s="13" t="n">
        <f aca="false">IF(U93=0,"",K93/U93-1)</f>
        <v>-0.592569593527669</v>
      </c>
      <c r="X93" s="11" t="n">
        <v>333160</v>
      </c>
      <c r="Y93" s="5" t="s">
        <v>99</v>
      </c>
      <c r="Z93" s="5" t="s">
        <v>101</v>
      </c>
      <c r="AA93" s="5" t="s">
        <v>100</v>
      </c>
      <c r="AB93" s="5"/>
      <c r="AC93" s="5" t="s">
        <v>397</v>
      </c>
      <c r="AD93" s="14" t="n">
        <v>46288.771875</v>
      </c>
    </row>
    <row r="94" customFormat="false" ht="15" hidden="false" customHeight="false" outlineLevel="0" collapsed="false">
      <c r="A94" s="5" t="s">
        <v>398</v>
      </c>
      <c r="B94" s="5" t="s">
        <v>399</v>
      </c>
      <c r="C94" s="5" t="s">
        <v>55</v>
      </c>
      <c r="D94" s="5" t="s">
        <v>56</v>
      </c>
      <c r="E94" s="5" t="s">
        <v>273</v>
      </c>
      <c r="F94" s="5" t="s">
        <v>274</v>
      </c>
      <c r="G94" s="5" t="s">
        <v>59</v>
      </c>
      <c r="H94" s="5" t="s">
        <v>86</v>
      </c>
      <c r="I94" s="6" t="n">
        <v>0.2</v>
      </c>
      <c r="J94" s="7" t="n">
        <f aca="false">IF(I94="","",1/I94)</f>
        <v>5</v>
      </c>
      <c r="K94" s="8" t="n">
        <v>57.68</v>
      </c>
      <c r="L94" s="9" t="n">
        <v>0.51</v>
      </c>
      <c r="M94" s="10" t="n">
        <v>0.0089</v>
      </c>
      <c r="N94" s="8" t="n">
        <v>57.17</v>
      </c>
      <c r="O94" s="8" t="n">
        <v>56.85</v>
      </c>
      <c r="P94" s="8" t="n">
        <v>58.08</v>
      </c>
      <c r="Q94" s="8" t="n">
        <v>57.68</v>
      </c>
      <c r="R94" s="11" t="n">
        <v>162</v>
      </c>
      <c r="S94" s="11" t="n">
        <f aca="false">K94*R94</f>
        <v>9344.16</v>
      </c>
      <c r="T94" s="8" t="n">
        <v>53.7</v>
      </c>
      <c r="U94" s="8" t="n">
        <v>68.75</v>
      </c>
      <c r="V94" s="12" t="n">
        <f aca="false">IF(U94-T94=0,"",(K94-T94)/(U94-T94))</f>
        <v>0.264451827242525</v>
      </c>
      <c r="W94" s="13" t="n">
        <f aca="false">IF(U94=0,"",K94/U94-1)</f>
        <v>-0.161018181818182</v>
      </c>
      <c r="X94" s="11" t="n">
        <v>611965</v>
      </c>
      <c r="Y94" s="5" t="s">
        <v>273</v>
      </c>
      <c r="Z94" s="5" t="s">
        <v>275</v>
      </c>
      <c r="AA94" s="5" t="s">
        <v>274</v>
      </c>
      <c r="AB94" s="5"/>
      <c r="AC94" s="5" t="s">
        <v>400</v>
      </c>
      <c r="AD94" s="14" t="n">
        <v>46288.771875</v>
      </c>
    </row>
    <row r="95" customFormat="false" ht="15" hidden="false" customHeight="false" outlineLevel="0" collapsed="false">
      <c r="A95" s="5" t="s">
        <v>401</v>
      </c>
      <c r="B95" s="5" t="s">
        <v>402</v>
      </c>
      <c r="C95" s="5" t="s">
        <v>55</v>
      </c>
      <c r="D95" s="5" t="s">
        <v>56</v>
      </c>
      <c r="E95" s="5" t="s">
        <v>115</v>
      </c>
      <c r="F95" s="5" t="s">
        <v>116</v>
      </c>
      <c r="G95" s="5" t="s">
        <v>59</v>
      </c>
      <c r="H95" s="5"/>
      <c r="I95" s="6"/>
      <c r="J95" s="7" t="str">
        <f aca="false">IF(I95="","",1/I95)</f>
        <v/>
      </c>
      <c r="K95" s="8" t="n">
        <v>63.63</v>
      </c>
      <c r="L95" s="9" t="n">
        <v>-1.12</v>
      </c>
      <c r="M95" s="10" t="n">
        <v>-0.0173</v>
      </c>
      <c r="N95" s="8" t="n">
        <v>63.63</v>
      </c>
      <c r="O95" s="8" t="n">
        <v>63.63</v>
      </c>
      <c r="P95" s="8" t="n">
        <v>63.63</v>
      </c>
      <c r="Q95" s="8" t="n">
        <v>63.63</v>
      </c>
      <c r="R95" s="11" t="n">
        <v>110</v>
      </c>
      <c r="S95" s="11" t="n">
        <f aca="false">K95*R95</f>
        <v>6999.3</v>
      </c>
      <c r="T95" s="8" t="n">
        <v>47.4</v>
      </c>
      <c r="U95" s="8" t="n">
        <v>87.2</v>
      </c>
      <c r="V95" s="12" t="n">
        <f aca="false">IF(U95-T95=0,"",(K95-T95)/(U95-T95))</f>
        <v>0.407788944723618</v>
      </c>
      <c r="W95" s="13" t="n">
        <f aca="false">IF(U95=0,"",K95/U95-1)</f>
        <v>-0.270298165137615</v>
      </c>
      <c r="X95" s="11" t="n">
        <v>14835</v>
      </c>
      <c r="Y95" s="5" t="s">
        <v>115</v>
      </c>
      <c r="Z95" s="5" t="s">
        <v>117</v>
      </c>
      <c r="AA95" s="5" t="s">
        <v>116</v>
      </c>
      <c r="AB95" s="5" t="s">
        <v>111</v>
      </c>
      <c r="AC95" s="5" t="s">
        <v>403</v>
      </c>
      <c r="AD95" s="14" t="n">
        <v>46288.771875</v>
      </c>
    </row>
    <row r="96" customFormat="false" ht="15" hidden="false" customHeight="false" outlineLevel="0" collapsed="false">
      <c r="A96" s="5" t="s">
        <v>404</v>
      </c>
      <c r="B96" s="5" t="s">
        <v>405</v>
      </c>
      <c r="C96" s="5" t="s">
        <v>55</v>
      </c>
      <c r="D96" s="5" t="s">
        <v>56</v>
      </c>
      <c r="E96" s="5" t="s">
        <v>71</v>
      </c>
      <c r="F96" s="5" t="s">
        <v>72</v>
      </c>
      <c r="G96" s="5" t="s">
        <v>59</v>
      </c>
      <c r="H96" s="5" t="s">
        <v>60</v>
      </c>
      <c r="I96" s="6" t="n">
        <v>0.0833333</v>
      </c>
      <c r="J96" s="7" t="n">
        <f aca="false">IF(I96="","",1/I96)</f>
        <v>12.0000048000019</v>
      </c>
      <c r="K96" s="8" t="n">
        <v>167.28</v>
      </c>
      <c r="L96" s="9" t="n">
        <v>2.33</v>
      </c>
      <c r="M96" s="10" t="n">
        <v>0.0141</v>
      </c>
      <c r="N96" s="8" t="n">
        <v>167.79</v>
      </c>
      <c r="O96" s="8" t="n">
        <v>167.28</v>
      </c>
      <c r="P96" s="8" t="n">
        <v>167.79</v>
      </c>
      <c r="Q96" s="8" t="n">
        <v>167.28</v>
      </c>
      <c r="R96" s="11" t="n">
        <v>51</v>
      </c>
      <c r="S96" s="11" t="n">
        <f aca="false">K96*R96</f>
        <v>8531.28</v>
      </c>
      <c r="T96" s="8" t="n">
        <v>103</v>
      </c>
      <c r="U96" s="8" t="n">
        <v>168.8</v>
      </c>
      <c r="V96" s="12" t="n">
        <f aca="false">IF(U96-T96=0,"",(K96-T96)/(U96-T96))</f>
        <v>0.976899696048632</v>
      </c>
      <c r="W96" s="13" t="n">
        <f aca="false">IF(U96=0,"",K96/U96-1)</f>
        <v>-0.00900473933649293</v>
      </c>
      <c r="X96" s="11" t="n">
        <v>159822</v>
      </c>
      <c r="Y96" s="5" t="s">
        <v>71</v>
      </c>
      <c r="Z96" s="5" t="s">
        <v>73</v>
      </c>
      <c r="AA96" s="5" t="s">
        <v>72</v>
      </c>
      <c r="AB96" s="5"/>
      <c r="AC96" s="5" t="s">
        <v>406</v>
      </c>
      <c r="AD96" s="14" t="n">
        <v>46288.771875</v>
      </c>
    </row>
    <row r="97" customFormat="false" ht="15" hidden="false" customHeight="false" outlineLevel="0" collapsed="false">
      <c r="A97" s="5" t="s">
        <v>407</v>
      </c>
      <c r="B97" s="5" t="s">
        <v>408</v>
      </c>
      <c r="C97" s="5" t="s">
        <v>55</v>
      </c>
      <c r="D97" s="5" t="s">
        <v>56</v>
      </c>
      <c r="E97" s="5" t="s">
        <v>115</v>
      </c>
      <c r="F97" s="5" t="s">
        <v>116</v>
      </c>
      <c r="G97" s="5" t="s">
        <v>59</v>
      </c>
      <c r="H97" s="5"/>
      <c r="I97" s="6"/>
      <c r="J97" s="7" t="str">
        <f aca="false">IF(I97="","",1/I97)</f>
        <v/>
      </c>
      <c r="K97" s="8" t="n">
        <v>1.33</v>
      </c>
      <c r="L97" s="9" t="n">
        <v>0.01</v>
      </c>
      <c r="M97" s="10" t="n">
        <v>0.0076</v>
      </c>
      <c r="N97" s="8" t="n">
        <v>1.34</v>
      </c>
      <c r="O97" s="8" t="n">
        <v>1.3</v>
      </c>
      <c r="P97" s="8" t="n">
        <v>1.34</v>
      </c>
      <c r="Q97" s="8" t="n">
        <v>1.33</v>
      </c>
      <c r="R97" s="11" t="n">
        <v>330</v>
      </c>
      <c r="S97" s="11" t="n">
        <f aca="false">K97*R97</f>
        <v>438.9</v>
      </c>
      <c r="T97" s="8" t="n">
        <v>0.9</v>
      </c>
      <c r="U97" s="8" t="n">
        <v>1.77</v>
      </c>
      <c r="V97" s="12" t="n">
        <f aca="false">IF(U97-T97=0,"",(K97-T97)/(U97-T97))</f>
        <v>0.494252873563218</v>
      </c>
      <c r="W97" s="13" t="n">
        <f aca="false">IF(U97=0,"",K97/U97-1)</f>
        <v>-0.248587570621469</v>
      </c>
      <c r="X97" s="11" t="n">
        <v>20289</v>
      </c>
      <c r="Y97" s="5" t="s">
        <v>115</v>
      </c>
      <c r="Z97" s="5" t="s">
        <v>117</v>
      </c>
      <c r="AA97" s="5" t="s">
        <v>116</v>
      </c>
      <c r="AB97" s="5" t="s">
        <v>111</v>
      </c>
      <c r="AC97" s="5" t="s">
        <v>409</v>
      </c>
      <c r="AD97" s="14" t="n">
        <v>46288.771875</v>
      </c>
    </row>
    <row r="98" customFormat="false" ht="15" hidden="false" customHeight="false" outlineLevel="0" collapsed="false">
      <c r="A98" s="5" t="s">
        <v>410</v>
      </c>
      <c r="B98" s="5" t="s">
        <v>411</v>
      </c>
      <c r="C98" s="5" t="s">
        <v>55</v>
      </c>
      <c r="D98" s="5" t="s">
        <v>56</v>
      </c>
      <c r="E98" s="5" t="s">
        <v>115</v>
      </c>
      <c r="F98" s="5" t="s">
        <v>116</v>
      </c>
      <c r="G98" s="5" t="s">
        <v>59</v>
      </c>
      <c r="H98" s="5" t="s">
        <v>60</v>
      </c>
      <c r="I98" s="6" t="n">
        <v>0.083333</v>
      </c>
      <c r="J98" s="7" t="n">
        <f aca="false">IF(I98="","",1/I98)</f>
        <v>12.000048000192</v>
      </c>
      <c r="K98" s="8" t="n">
        <v>11.86</v>
      </c>
      <c r="L98" s="9" t="n">
        <v>-0.34</v>
      </c>
      <c r="M98" s="10" t="n">
        <v>-0.0279</v>
      </c>
      <c r="N98" s="8" t="n">
        <v>11.93</v>
      </c>
      <c r="O98" s="8" t="n">
        <v>11.86</v>
      </c>
      <c r="P98" s="8" t="n">
        <v>11.93</v>
      </c>
      <c r="Q98" s="8" t="n">
        <v>11.86</v>
      </c>
      <c r="R98" s="11" t="n">
        <v>16</v>
      </c>
      <c r="S98" s="11" t="n">
        <f aca="false">K98*R98</f>
        <v>189.76</v>
      </c>
      <c r="T98" s="8" t="n">
        <v>11.69</v>
      </c>
      <c r="U98" s="8" t="n">
        <v>26.5</v>
      </c>
      <c r="V98" s="12" t="n">
        <f aca="false">IF(U98-T98=0,"",(K98-T98)/(U98-T98))</f>
        <v>0.0114787305874409</v>
      </c>
      <c r="W98" s="13" t="n">
        <f aca="false">IF(U98=0,"",K98/U98-1)</f>
        <v>-0.552452830188679</v>
      </c>
      <c r="X98" s="11" t="n">
        <v>8284</v>
      </c>
      <c r="Y98" s="5" t="s">
        <v>115</v>
      </c>
      <c r="Z98" s="5" t="s">
        <v>117</v>
      </c>
      <c r="AA98" s="5" t="s">
        <v>116</v>
      </c>
      <c r="AB98" s="5"/>
      <c r="AC98" s="5" t="s">
        <v>412</v>
      </c>
      <c r="AD98" s="14" t="n">
        <v>46288.771875</v>
      </c>
    </row>
    <row r="99" customFormat="false" ht="15" hidden="false" customHeight="false" outlineLevel="0" collapsed="false">
      <c r="A99" s="5" t="s">
        <v>413</v>
      </c>
      <c r="B99" s="5" t="s">
        <v>414</v>
      </c>
      <c r="C99" s="5" t="s">
        <v>55</v>
      </c>
      <c r="D99" s="5" t="s">
        <v>56</v>
      </c>
      <c r="E99" s="5" t="s">
        <v>115</v>
      </c>
      <c r="F99" s="5" t="s">
        <v>116</v>
      </c>
      <c r="G99" s="5" t="s">
        <v>59</v>
      </c>
      <c r="H99" s="5"/>
      <c r="I99" s="6"/>
      <c r="J99" s="7" t="str">
        <f aca="false">IF(I99="","",1/I99)</f>
        <v/>
      </c>
      <c r="K99" s="8" t="n">
        <v>2.87</v>
      </c>
      <c r="L99" s="9" t="n">
        <v>-0.05</v>
      </c>
      <c r="M99" s="10" t="n">
        <v>-0.0171</v>
      </c>
      <c r="N99" s="8" t="n">
        <v>2.86</v>
      </c>
      <c r="O99" s="8" t="n">
        <v>2.86</v>
      </c>
      <c r="P99" s="8" t="n">
        <v>2.87</v>
      </c>
      <c r="Q99" s="8" t="n">
        <v>2.87</v>
      </c>
      <c r="R99" s="11" t="n">
        <v>19</v>
      </c>
      <c r="S99" s="11" t="n">
        <f aca="false">K99*R99</f>
        <v>54.53</v>
      </c>
      <c r="T99" s="8" t="n">
        <v>2.61</v>
      </c>
      <c r="U99" s="8" t="n">
        <v>7.55</v>
      </c>
      <c r="V99" s="12" t="n">
        <f aca="false">IF(U99-T99=0,"",(K99-T99)/(U99-T99))</f>
        <v>0.0526315789473685</v>
      </c>
      <c r="W99" s="13" t="n">
        <f aca="false">IF(U99=0,"",K99/U99-1)</f>
        <v>-0.619867549668874</v>
      </c>
      <c r="X99" s="11" t="n">
        <v>1911</v>
      </c>
      <c r="Y99" s="5" t="s">
        <v>115</v>
      </c>
      <c r="Z99" s="5" t="s">
        <v>117</v>
      </c>
      <c r="AA99" s="5" t="s">
        <v>116</v>
      </c>
      <c r="AB99" s="5" t="s">
        <v>111</v>
      </c>
      <c r="AC99" s="5" t="s">
        <v>415</v>
      </c>
      <c r="AD99" s="14" t="n">
        <v>46288.771875</v>
      </c>
    </row>
    <row r="100" customFormat="false" ht="15" hidden="false" customHeight="false" outlineLevel="0" collapsed="false">
      <c r="A100" s="5" t="s">
        <v>416</v>
      </c>
      <c r="B100" s="5" t="s">
        <v>417</v>
      </c>
      <c r="C100" s="5" t="s">
        <v>55</v>
      </c>
      <c r="D100" s="5" t="s">
        <v>56</v>
      </c>
      <c r="E100" s="5" t="s">
        <v>99</v>
      </c>
      <c r="F100" s="5" t="s">
        <v>100</v>
      </c>
      <c r="G100" s="5" t="s">
        <v>59</v>
      </c>
      <c r="H100" s="5" t="s">
        <v>60</v>
      </c>
      <c r="I100" s="6" t="n">
        <v>0.1</v>
      </c>
      <c r="J100" s="7" t="n">
        <f aca="false">IF(I100="","",1/I100)</f>
        <v>10</v>
      </c>
      <c r="K100" s="8" t="n">
        <v>30.84</v>
      </c>
      <c r="L100" s="9" t="n">
        <v>0.84</v>
      </c>
      <c r="M100" s="10" t="n">
        <v>0.028</v>
      </c>
      <c r="N100" s="8" t="n">
        <v>30.84</v>
      </c>
      <c r="O100" s="8" t="n">
        <v>30.84</v>
      </c>
      <c r="P100" s="8" t="n">
        <v>30.84</v>
      </c>
      <c r="Q100" s="8" t="n">
        <v>30.84</v>
      </c>
      <c r="R100" s="11" t="n">
        <v>9</v>
      </c>
      <c r="S100" s="11" t="n">
        <f aca="false">K100*R100</f>
        <v>277.56</v>
      </c>
      <c r="T100" s="8" t="n">
        <v>16.34</v>
      </c>
      <c r="U100" s="8" t="n">
        <v>30.9</v>
      </c>
      <c r="V100" s="12" t="n">
        <f aca="false">IF(U100-T100=0,"",(K100-T100)/(U100-T100))</f>
        <v>0.995879120879121</v>
      </c>
      <c r="W100" s="13" t="n">
        <f aca="false">IF(U100=0,"",K100/U100-1)</f>
        <v>-0.00194174757281551</v>
      </c>
      <c r="X100" s="11" t="n">
        <v>47727</v>
      </c>
      <c r="Y100" s="5" t="s">
        <v>99</v>
      </c>
      <c r="Z100" s="5" t="s">
        <v>101</v>
      </c>
      <c r="AA100" s="5" t="s">
        <v>100</v>
      </c>
      <c r="AB100" s="5"/>
      <c r="AC100" s="5" t="s">
        <v>418</v>
      </c>
      <c r="AD100" s="14" t="n">
        <v>46288.771875</v>
      </c>
    </row>
    <row r="101" customFormat="false" ht="15" hidden="false" customHeight="false" outlineLevel="0" collapsed="false">
      <c r="A101" s="5" t="s">
        <v>419</v>
      </c>
      <c r="B101" s="5" t="s">
        <v>420</v>
      </c>
      <c r="C101" s="5" t="s">
        <v>55</v>
      </c>
      <c r="D101" s="5" t="s">
        <v>56</v>
      </c>
      <c r="E101" s="5" t="s">
        <v>57</v>
      </c>
      <c r="F101" s="5" t="s">
        <v>58</v>
      </c>
      <c r="G101" s="5" t="s">
        <v>59</v>
      </c>
      <c r="H101" s="5" t="s">
        <v>60</v>
      </c>
      <c r="I101" s="6" t="n">
        <v>0.033333</v>
      </c>
      <c r="J101" s="7" t="n">
        <f aca="false">IF(I101="","",1/I101)</f>
        <v>30.000300003</v>
      </c>
      <c r="K101" s="8" t="n">
        <v>41.13</v>
      </c>
      <c r="L101" s="9" t="n">
        <v>0</v>
      </c>
      <c r="M101" s="10" t="n">
        <v>0</v>
      </c>
      <c r="N101" s="8" t="n">
        <v>41.13</v>
      </c>
      <c r="O101" s="8" t="n">
        <v>41.13</v>
      </c>
      <c r="P101" s="8" t="n">
        <v>41.13</v>
      </c>
      <c r="Q101" s="8" t="n">
        <v>41.13</v>
      </c>
      <c r="R101" s="11" t="n">
        <v>3</v>
      </c>
      <c r="S101" s="11" t="n">
        <f aca="false">K101*R101</f>
        <v>123.39</v>
      </c>
      <c r="T101" s="8" t="n">
        <v>41.13</v>
      </c>
      <c r="U101" s="8" t="n">
        <v>56.5</v>
      </c>
      <c r="V101" s="12" t="n">
        <f aca="false">IF(U101-T101=0,"",(K101-T101)/(U101-T101))</f>
        <v>0</v>
      </c>
      <c r="W101" s="13" t="n">
        <f aca="false">IF(U101=0,"",K101/U101-1)</f>
        <v>-0.272035398230089</v>
      </c>
      <c r="X101" s="11" t="n">
        <v>82570</v>
      </c>
      <c r="Y101" s="5" t="s">
        <v>57</v>
      </c>
      <c r="Z101" s="5" t="s">
        <v>61</v>
      </c>
      <c r="AA101" s="5" t="s">
        <v>58</v>
      </c>
      <c r="AB101" s="5"/>
      <c r="AC101" s="5" t="s">
        <v>421</v>
      </c>
      <c r="AD101" s="14" t="n">
        <v>46288.771875</v>
      </c>
    </row>
    <row r="102" customFormat="false" ht="15" hidden="false" customHeight="false" outlineLevel="0" collapsed="false">
      <c r="A102" s="5" t="s">
        <v>422</v>
      </c>
      <c r="B102" s="5" t="s">
        <v>423</v>
      </c>
      <c r="C102" s="5" t="s">
        <v>55</v>
      </c>
      <c r="D102" s="5" t="s">
        <v>56</v>
      </c>
      <c r="E102" s="5" t="s">
        <v>273</v>
      </c>
      <c r="F102" s="5" t="s">
        <v>274</v>
      </c>
      <c r="G102" s="5" t="s">
        <v>59</v>
      </c>
      <c r="H102" s="5" t="s">
        <v>60</v>
      </c>
      <c r="I102" s="6" t="n">
        <v>0.05</v>
      </c>
      <c r="J102" s="7" t="n">
        <f aca="false">IF(I102="","",1/I102)</f>
        <v>20</v>
      </c>
      <c r="K102" s="8" t="n">
        <v>52.02</v>
      </c>
      <c r="L102" s="9" t="n">
        <v>-7.04</v>
      </c>
      <c r="M102" s="10" t="n">
        <v>-0.1192</v>
      </c>
      <c r="N102" s="8" t="n">
        <v>57.52</v>
      </c>
      <c r="O102" s="8" t="n">
        <v>50.66</v>
      </c>
      <c r="P102" s="8" t="n">
        <v>58</v>
      </c>
      <c r="Q102" s="8" t="n">
        <v>52.02</v>
      </c>
      <c r="R102" s="11" t="n">
        <v>1062</v>
      </c>
      <c r="S102" s="11" t="n">
        <f aca="false">K102*R102</f>
        <v>55245.24</v>
      </c>
      <c r="T102" s="8" t="n">
        <v>50.04</v>
      </c>
      <c r="U102" s="8" t="n">
        <v>1143</v>
      </c>
      <c r="V102" s="12" t="n">
        <f aca="false">IF(U102-T102=0,"",(K102-T102)/(U102-T102))</f>
        <v>0.00181159420289855</v>
      </c>
      <c r="W102" s="13" t="n">
        <f aca="false">IF(U102=0,"",K102/U102-1)</f>
        <v>-0.954488188976378</v>
      </c>
      <c r="X102" s="11" t="n">
        <v>1013</v>
      </c>
      <c r="Y102" s="5" t="s">
        <v>273</v>
      </c>
      <c r="Z102" s="5" t="s">
        <v>275</v>
      </c>
      <c r="AA102" s="5" t="s">
        <v>274</v>
      </c>
      <c r="AB102" s="5"/>
      <c r="AC102" s="5" t="s">
        <v>424</v>
      </c>
      <c r="AD102" s="14" t="n">
        <v>46288.771875</v>
      </c>
    </row>
    <row r="103" customFormat="false" ht="15" hidden="false" customHeight="false" outlineLevel="0" collapsed="false">
      <c r="A103" s="5" t="s">
        <v>425</v>
      </c>
      <c r="B103" s="5" t="s">
        <v>426</v>
      </c>
      <c r="C103" s="5" t="s">
        <v>248</v>
      </c>
      <c r="D103" s="5" t="s">
        <v>249</v>
      </c>
      <c r="E103" s="5" t="s">
        <v>250</v>
      </c>
      <c r="F103" s="5" t="s">
        <v>251</v>
      </c>
      <c r="G103" s="5" t="s">
        <v>59</v>
      </c>
      <c r="H103" s="5" t="s">
        <v>60</v>
      </c>
      <c r="I103" s="6" t="n">
        <v>0.1</v>
      </c>
      <c r="J103" s="7" t="n">
        <f aca="false">IF(I103="","",1/I103)</f>
        <v>10</v>
      </c>
      <c r="K103" s="8" t="n">
        <v>61</v>
      </c>
      <c r="L103" s="9" t="n">
        <v>-0.3</v>
      </c>
      <c r="M103" s="10" t="n">
        <v>-0.0049</v>
      </c>
      <c r="N103" s="8" t="n">
        <v>61.92</v>
      </c>
      <c r="O103" s="8" t="n">
        <v>60.92</v>
      </c>
      <c r="P103" s="8" t="n">
        <v>61.92</v>
      </c>
      <c r="Q103" s="8" t="n">
        <v>61</v>
      </c>
      <c r="R103" s="11" t="n">
        <v>917</v>
      </c>
      <c r="S103" s="11" t="n">
        <f aca="false">K103*R103</f>
        <v>55937</v>
      </c>
      <c r="T103" s="8" t="n">
        <v>47.31</v>
      </c>
      <c r="U103" s="8" t="n">
        <v>65.24</v>
      </c>
      <c r="V103" s="12" t="n">
        <f aca="false">IF(U103-T103=0,"",(K103-T103)/(U103-T103))</f>
        <v>0.763524818739543</v>
      </c>
      <c r="W103" s="13" t="n">
        <f aca="false">IF(U103=0,"",K103/U103-1)</f>
        <v>-0.064990803188228</v>
      </c>
      <c r="X103" s="11"/>
      <c r="Y103" s="5" t="s">
        <v>253</v>
      </c>
      <c r="Z103" s="5" t="s">
        <v>254</v>
      </c>
      <c r="AA103" s="5" t="s">
        <v>251</v>
      </c>
      <c r="AB103" s="5"/>
      <c r="AC103" s="5" t="s">
        <v>427</v>
      </c>
      <c r="AD103" s="14" t="n">
        <v>46288.771875</v>
      </c>
    </row>
    <row r="104" customFormat="false" ht="15" hidden="false" customHeight="false" outlineLevel="0" collapsed="false">
      <c r="A104" s="5" t="s">
        <v>428</v>
      </c>
      <c r="B104" s="5" t="s">
        <v>429</v>
      </c>
      <c r="C104" s="5" t="s">
        <v>55</v>
      </c>
      <c r="D104" s="5" t="s">
        <v>56</v>
      </c>
      <c r="E104" s="5" t="s">
        <v>57</v>
      </c>
      <c r="F104" s="5" t="s">
        <v>58</v>
      </c>
      <c r="G104" s="5" t="s">
        <v>59</v>
      </c>
      <c r="H104" s="5" t="s">
        <v>86</v>
      </c>
      <c r="I104" s="6" t="n">
        <v>0.03571</v>
      </c>
      <c r="J104" s="7" t="n">
        <f aca="false">IF(I104="","",1/I104)</f>
        <v>28.0033604032484</v>
      </c>
      <c r="K104" s="8" t="n">
        <v>20.38</v>
      </c>
      <c r="L104" s="9" t="n">
        <v>-0.75</v>
      </c>
      <c r="M104" s="10" t="n">
        <v>-0.0355</v>
      </c>
      <c r="N104" s="8" t="n">
        <v>20.6</v>
      </c>
      <c r="O104" s="8" t="n">
        <v>20.38</v>
      </c>
      <c r="P104" s="8" t="n">
        <v>20.6</v>
      </c>
      <c r="Q104" s="8" t="n">
        <v>20.49</v>
      </c>
      <c r="R104" s="11" t="n">
        <v>447987</v>
      </c>
      <c r="S104" s="11" t="n">
        <f aca="false">K104*R104</f>
        <v>9129975.06</v>
      </c>
      <c r="T104" s="8" t="n">
        <v>16.99</v>
      </c>
      <c r="U104" s="8" t="n">
        <v>36.68</v>
      </c>
      <c r="V104" s="12" t="n">
        <f aca="false">IF(U104-T104=0,"",(K104-T104)/(U104-T104))</f>
        <v>0.172168613509396</v>
      </c>
      <c r="W104" s="13" t="n">
        <f aca="false">IF(U104=0,"",K104/U104-1)</f>
        <v>-0.444383860414395</v>
      </c>
      <c r="X104" s="11" t="n">
        <v>1488958</v>
      </c>
      <c r="Y104" s="5" t="s">
        <v>57</v>
      </c>
      <c r="Z104" s="5" t="s">
        <v>61</v>
      </c>
      <c r="AA104" s="5" t="s">
        <v>58</v>
      </c>
      <c r="AB104" s="5"/>
      <c r="AC104" s="5" t="s">
        <v>430</v>
      </c>
      <c r="AD104" s="14" t="n">
        <v>46288.771875</v>
      </c>
    </row>
    <row r="105" customFormat="false" ht="15" hidden="false" customHeight="false" outlineLevel="0" collapsed="false">
      <c r="A105" s="5" t="s">
        <v>431</v>
      </c>
      <c r="B105" s="5" t="s">
        <v>432</v>
      </c>
      <c r="C105" s="5" t="s">
        <v>248</v>
      </c>
      <c r="D105" s="5" t="s">
        <v>249</v>
      </c>
      <c r="E105" s="5" t="s">
        <v>250</v>
      </c>
      <c r="F105" s="5" t="s">
        <v>251</v>
      </c>
      <c r="G105" s="5" t="s">
        <v>59</v>
      </c>
      <c r="H105" s="5" t="s">
        <v>60</v>
      </c>
      <c r="I105" s="6" t="n">
        <v>0.1</v>
      </c>
      <c r="J105" s="7" t="n">
        <f aca="false">IF(I105="","",1/I105)</f>
        <v>10</v>
      </c>
      <c r="K105" s="8" t="n">
        <v>83</v>
      </c>
      <c r="L105" s="9" t="n">
        <v>0.05</v>
      </c>
      <c r="M105" s="10" t="n">
        <v>0.0006</v>
      </c>
      <c r="N105" s="8" t="n">
        <v>82.82</v>
      </c>
      <c r="O105" s="8" t="n">
        <v>82.79</v>
      </c>
      <c r="P105" s="8" t="n">
        <v>83</v>
      </c>
      <c r="Q105" s="8" t="n">
        <v>83</v>
      </c>
      <c r="R105" s="11" t="n">
        <v>344</v>
      </c>
      <c r="S105" s="11" t="n">
        <f aca="false">K105*R105</f>
        <v>28552</v>
      </c>
      <c r="T105" s="8" t="n">
        <v>70.39</v>
      </c>
      <c r="U105" s="8" t="n">
        <v>86.79</v>
      </c>
      <c r="V105" s="12" t="n">
        <f aca="false">IF(U105-T105=0,"",(K105-T105)/(U105-T105))</f>
        <v>0.76890243902439</v>
      </c>
      <c r="W105" s="13" t="n">
        <f aca="false">IF(U105=0,"",K105/U105-1)</f>
        <v>-0.0436686254176749</v>
      </c>
      <c r="X105" s="11"/>
      <c r="Y105" s="5" t="s">
        <v>253</v>
      </c>
      <c r="Z105" s="5" t="s">
        <v>254</v>
      </c>
      <c r="AA105" s="5" t="s">
        <v>251</v>
      </c>
      <c r="AB105" s="5"/>
      <c r="AC105" s="5" t="s">
        <v>433</v>
      </c>
      <c r="AD105" s="14" t="n">
        <v>46288.771875</v>
      </c>
    </row>
    <row r="106" customFormat="false" ht="15" hidden="false" customHeight="false" outlineLevel="0" collapsed="false">
      <c r="A106" s="5" t="s">
        <v>434</v>
      </c>
      <c r="B106" s="5" t="s">
        <v>435</v>
      </c>
      <c r="C106" s="5" t="s">
        <v>248</v>
      </c>
      <c r="D106" s="5" t="s">
        <v>249</v>
      </c>
      <c r="E106" s="5" t="s">
        <v>250</v>
      </c>
      <c r="F106" s="5" t="s">
        <v>251</v>
      </c>
      <c r="G106" s="5" t="s">
        <v>59</v>
      </c>
      <c r="H106" s="5" t="s">
        <v>60</v>
      </c>
      <c r="I106" s="6" t="n">
        <v>0.05</v>
      </c>
      <c r="J106" s="7" t="n">
        <f aca="false">IF(I106="","",1/I106)</f>
        <v>20</v>
      </c>
      <c r="K106" s="8" t="n">
        <v>55.33</v>
      </c>
      <c r="L106" s="9" t="n">
        <v>0.82</v>
      </c>
      <c r="M106" s="10" t="n">
        <v>0.015</v>
      </c>
      <c r="N106" s="8" t="n">
        <v>54.89</v>
      </c>
      <c r="O106" s="8" t="n">
        <v>54.89</v>
      </c>
      <c r="P106" s="8" t="n">
        <v>55.51</v>
      </c>
      <c r="Q106" s="8" t="n">
        <v>55.37</v>
      </c>
      <c r="R106" s="11" t="n">
        <v>2183</v>
      </c>
      <c r="S106" s="11" t="n">
        <f aca="false">K106*R106</f>
        <v>120785.39</v>
      </c>
      <c r="T106" s="8" t="n">
        <v>51.94</v>
      </c>
      <c r="U106" s="8" t="n">
        <v>75</v>
      </c>
      <c r="V106" s="12" t="n">
        <f aca="false">IF(U106-T106=0,"",(K106-T106)/(U106-T106))</f>
        <v>0.147007805724198</v>
      </c>
      <c r="W106" s="13" t="n">
        <f aca="false">IF(U106=0,"",K106/U106-1)</f>
        <v>-0.262266666666667</v>
      </c>
      <c r="X106" s="11"/>
      <c r="Y106" s="5" t="s">
        <v>253</v>
      </c>
      <c r="Z106" s="5" t="s">
        <v>254</v>
      </c>
      <c r="AA106" s="5" t="s">
        <v>251</v>
      </c>
      <c r="AB106" s="5"/>
      <c r="AC106" s="5" t="s">
        <v>436</v>
      </c>
      <c r="AD106" s="14" t="n">
        <v>46288.771875</v>
      </c>
    </row>
    <row r="107" customFormat="false" ht="15" hidden="false" customHeight="false" outlineLevel="0" collapsed="false">
      <c r="A107" s="5" t="s">
        <v>437</v>
      </c>
      <c r="B107" s="5" t="s">
        <v>438</v>
      </c>
      <c r="C107" s="5" t="s">
        <v>248</v>
      </c>
      <c r="D107" s="5" t="s">
        <v>249</v>
      </c>
      <c r="E107" s="5" t="s">
        <v>250</v>
      </c>
      <c r="F107" s="5" t="s">
        <v>251</v>
      </c>
      <c r="G107" s="5" t="s">
        <v>59</v>
      </c>
      <c r="H107" s="5" t="s">
        <v>60</v>
      </c>
      <c r="I107" s="6" t="n">
        <v>0.1</v>
      </c>
      <c r="J107" s="7" t="n">
        <f aca="false">IF(I107="","",1/I107)</f>
        <v>10</v>
      </c>
      <c r="K107" s="8" t="n">
        <v>49.3</v>
      </c>
      <c r="L107" s="9" t="n">
        <v>0.15</v>
      </c>
      <c r="M107" s="10" t="n">
        <v>0.0031</v>
      </c>
      <c r="N107" s="8" t="n">
        <v>49.3</v>
      </c>
      <c r="O107" s="8" t="n">
        <v>49.25</v>
      </c>
      <c r="P107" s="8" t="n">
        <v>49.3</v>
      </c>
      <c r="Q107" s="8" t="n">
        <v>49.3</v>
      </c>
      <c r="R107" s="11" t="n">
        <v>10</v>
      </c>
      <c r="S107" s="11" t="n">
        <f aca="false">K107*R107</f>
        <v>493</v>
      </c>
      <c r="T107" s="8" t="n">
        <v>42.01</v>
      </c>
      <c r="U107" s="8" t="n">
        <v>56.45</v>
      </c>
      <c r="V107" s="12" t="n">
        <f aca="false">IF(U107-T107=0,"",(K107-T107)/(U107-T107))</f>
        <v>0.504847645429363</v>
      </c>
      <c r="W107" s="13" t="n">
        <f aca="false">IF(U107=0,"",K107/U107-1)</f>
        <v>-0.12666076173605</v>
      </c>
      <c r="X107" s="11"/>
      <c r="Y107" s="5" t="s">
        <v>253</v>
      </c>
      <c r="Z107" s="5" t="s">
        <v>254</v>
      </c>
      <c r="AA107" s="5" t="s">
        <v>251</v>
      </c>
      <c r="AB107" s="5"/>
      <c r="AC107" s="5" t="s">
        <v>439</v>
      </c>
      <c r="AD107" s="14" t="n">
        <v>46288.771875</v>
      </c>
    </row>
    <row r="108" customFormat="false" ht="15" hidden="false" customHeight="false" outlineLevel="0" collapsed="false">
      <c r="A108" s="5" t="s">
        <v>440</v>
      </c>
      <c r="B108" s="5" t="s">
        <v>441</v>
      </c>
      <c r="C108" s="5" t="s">
        <v>248</v>
      </c>
      <c r="D108" s="5" t="s">
        <v>249</v>
      </c>
      <c r="E108" s="5" t="s">
        <v>250</v>
      </c>
      <c r="F108" s="5" t="s">
        <v>251</v>
      </c>
      <c r="G108" s="5" t="s">
        <v>59</v>
      </c>
      <c r="H108" s="5" t="s">
        <v>60</v>
      </c>
      <c r="I108" s="6" t="n">
        <v>0.1666666</v>
      </c>
      <c r="J108" s="7" t="n">
        <f aca="false">IF(I108="","",1/I108)</f>
        <v>6.00000240000096</v>
      </c>
      <c r="K108" s="8" t="n">
        <v>56.86</v>
      </c>
      <c r="L108" s="9" t="n">
        <v>0.09</v>
      </c>
      <c r="M108" s="10" t="n">
        <v>0.0016</v>
      </c>
      <c r="N108" s="8" t="n">
        <v>55.76</v>
      </c>
      <c r="O108" s="8" t="n">
        <v>55.76</v>
      </c>
      <c r="P108" s="8" t="n">
        <v>56.94</v>
      </c>
      <c r="Q108" s="8" t="n">
        <v>56.86</v>
      </c>
      <c r="R108" s="11" t="n">
        <v>18263</v>
      </c>
      <c r="S108" s="11" t="n">
        <f aca="false">K108*R108</f>
        <v>1038434.18</v>
      </c>
      <c r="T108" s="8" t="n">
        <v>22.25</v>
      </c>
      <c r="U108" s="8" t="n">
        <v>64.6</v>
      </c>
      <c r="V108" s="12" t="n">
        <f aca="false">IF(U108-T108=0,"",(K108-T108)/(U108-T108))</f>
        <v>0.817237308146399</v>
      </c>
      <c r="W108" s="13" t="n">
        <f aca="false">IF(U108=0,"",K108/U108-1)</f>
        <v>-0.119814241486068</v>
      </c>
      <c r="X108" s="11"/>
      <c r="Y108" s="5" t="s">
        <v>253</v>
      </c>
      <c r="Z108" s="5" t="s">
        <v>254</v>
      </c>
      <c r="AA108" s="5" t="s">
        <v>251</v>
      </c>
      <c r="AB108" s="5"/>
      <c r="AC108" s="5" t="s">
        <v>442</v>
      </c>
      <c r="AD108" s="14" t="n">
        <v>46288.771875</v>
      </c>
    </row>
    <row r="109" customFormat="false" ht="15" hidden="false" customHeight="false" outlineLevel="0" collapsed="false">
      <c r="A109" s="5" t="s">
        <v>443</v>
      </c>
      <c r="B109" s="5" t="s">
        <v>444</v>
      </c>
      <c r="C109" s="5" t="s">
        <v>248</v>
      </c>
      <c r="D109" s="5" t="s">
        <v>249</v>
      </c>
      <c r="E109" s="5" t="s">
        <v>250</v>
      </c>
      <c r="F109" s="5" t="s">
        <v>251</v>
      </c>
      <c r="G109" s="5" t="s">
        <v>59</v>
      </c>
      <c r="H109" s="5" t="s">
        <v>60</v>
      </c>
      <c r="I109" s="6" t="n">
        <v>0.166666667</v>
      </c>
      <c r="J109" s="7" t="n">
        <f aca="false">IF(I109="","",1/I109)</f>
        <v>5.999999988</v>
      </c>
      <c r="K109" s="8" t="n">
        <v>84.64</v>
      </c>
      <c r="L109" s="9" t="n">
        <v>-2.3</v>
      </c>
      <c r="M109" s="10" t="n">
        <v>-0.0265</v>
      </c>
      <c r="N109" s="8" t="n">
        <v>84.64</v>
      </c>
      <c r="O109" s="8" t="n">
        <v>84.64</v>
      </c>
      <c r="P109" s="8" t="n">
        <v>84.64</v>
      </c>
      <c r="Q109" s="8" t="n">
        <v>84.64</v>
      </c>
      <c r="R109" s="11" t="n">
        <v>22</v>
      </c>
      <c r="S109" s="11" t="n">
        <f aca="false">K109*R109</f>
        <v>1862.08</v>
      </c>
      <c r="T109" s="8" t="n">
        <v>75.68</v>
      </c>
      <c r="U109" s="8" t="n">
        <v>87.21</v>
      </c>
      <c r="V109" s="12" t="n">
        <f aca="false">IF(U109-T109=0,"",(K109-T109)/(U109-T109))</f>
        <v>0.777103209019948</v>
      </c>
      <c r="W109" s="13" t="n">
        <f aca="false">IF(U109=0,"",K109/U109-1)</f>
        <v>-0.0294690975805526</v>
      </c>
      <c r="X109" s="11"/>
      <c r="Y109" s="5" t="s">
        <v>253</v>
      </c>
      <c r="Z109" s="5" t="s">
        <v>254</v>
      </c>
      <c r="AA109" s="5" t="s">
        <v>251</v>
      </c>
      <c r="AB109" s="5"/>
      <c r="AC109" s="5" t="s">
        <v>445</v>
      </c>
      <c r="AD109" s="14" t="n">
        <v>46288.771875</v>
      </c>
    </row>
    <row r="110" customFormat="false" ht="15" hidden="false" customHeight="false" outlineLevel="0" collapsed="false">
      <c r="A110" s="5" t="s">
        <v>446</v>
      </c>
      <c r="B110" s="5" t="s">
        <v>447</v>
      </c>
      <c r="C110" s="5" t="s">
        <v>248</v>
      </c>
      <c r="D110" s="5" t="s">
        <v>249</v>
      </c>
      <c r="E110" s="5" t="s">
        <v>250</v>
      </c>
      <c r="F110" s="5" t="s">
        <v>251</v>
      </c>
      <c r="G110" s="5" t="s">
        <v>59</v>
      </c>
      <c r="H110" s="5" t="s">
        <v>60</v>
      </c>
      <c r="I110" s="6" t="n">
        <v>0.2</v>
      </c>
      <c r="J110" s="7" t="n">
        <f aca="false">IF(I110="","",1/I110)</f>
        <v>5</v>
      </c>
      <c r="K110" s="8" t="n">
        <v>71.2</v>
      </c>
      <c r="L110" s="9" t="n">
        <v>0.57</v>
      </c>
      <c r="M110" s="10" t="n">
        <v>0.0081</v>
      </c>
      <c r="N110" s="8" t="n">
        <v>71.2</v>
      </c>
      <c r="O110" s="8" t="n">
        <v>71.2</v>
      </c>
      <c r="P110" s="8" t="n">
        <v>71.2</v>
      </c>
      <c r="Q110" s="8" t="n">
        <v>71.2</v>
      </c>
      <c r="R110" s="11" t="n">
        <v>140</v>
      </c>
      <c r="S110" s="11" t="n">
        <f aca="false">K110*R110</f>
        <v>9968</v>
      </c>
      <c r="T110" s="8" t="n">
        <v>66.13</v>
      </c>
      <c r="U110" s="8" t="n">
        <v>72.9</v>
      </c>
      <c r="V110" s="12" t="n">
        <f aca="false">IF(U110-T110=0,"",(K110-T110)/(U110-T110))</f>
        <v>0.748892171344165</v>
      </c>
      <c r="W110" s="13" t="n">
        <f aca="false">IF(U110=0,"",K110/U110-1)</f>
        <v>-0.0233196159122085</v>
      </c>
      <c r="X110" s="11"/>
      <c r="Y110" s="5" t="s">
        <v>253</v>
      </c>
      <c r="Z110" s="5" t="s">
        <v>254</v>
      </c>
      <c r="AA110" s="5" t="s">
        <v>251</v>
      </c>
      <c r="AB110" s="5"/>
      <c r="AC110" s="5" t="s">
        <v>448</v>
      </c>
      <c r="AD110" s="14" t="n">
        <v>46288.771875</v>
      </c>
    </row>
    <row r="111" customFormat="false" ht="15" hidden="false" customHeight="false" outlineLevel="0" collapsed="false">
      <c r="A111" s="5" t="s">
        <v>449</v>
      </c>
      <c r="B111" s="5" t="s">
        <v>450</v>
      </c>
      <c r="C111" s="5" t="s">
        <v>248</v>
      </c>
      <c r="D111" s="5" t="s">
        <v>249</v>
      </c>
      <c r="E111" s="5" t="s">
        <v>250</v>
      </c>
      <c r="F111" s="5" t="s">
        <v>251</v>
      </c>
      <c r="G111" s="5" t="s">
        <v>59</v>
      </c>
      <c r="H111" s="5" t="s">
        <v>60</v>
      </c>
      <c r="I111" s="6" t="n">
        <v>0.5</v>
      </c>
      <c r="J111" s="7" t="n">
        <f aca="false">IF(I111="","",1/I111)</f>
        <v>2</v>
      </c>
      <c r="K111" s="8" t="n">
        <v>202.8</v>
      </c>
      <c r="L111" s="9" t="n">
        <v>1.8</v>
      </c>
      <c r="M111" s="10" t="n">
        <v>0.009</v>
      </c>
      <c r="N111" s="8" t="n">
        <v>202.2</v>
      </c>
      <c r="O111" s="8" t="n">
        <v>202.2</v>
      </c>
      <c r="P111" s="8" t="n">
        <v>202.8</v>
      </c>
      <c r="Q111" s="8" t="n">
        <v>202.8</v>
      </c>
      <c r="R111" s="11" t="n">
        <v>3</v>
      </c>
      <c r="S111" s="11" t="n">
        <f aca="false">K111*R111</f>
        <v>608.4</v>
      </c>
      <c r="T111" s="8" t="n">
        <v>117.48</v>
      </c>
      <c r="U111" s="8" t="n">
        <v>205.58</v>
      </c>
      <c r="V111" s="12" t="n">
        <f aca="false">IF(U111-T111=0,"",(K111-T111)/(U111-T111))</f>
        <v>0.96844494892168</v>
      </c>
      <c r="W111" s="13" t="n">
        <f aca="false">IF(U111=0,"",K111/U111-1)</f>
        <v>-0.0135227162175309</v>
      </c>
      <c r="X111" s="11"/>
      <c r="Y111" s="5" t="s">
        <v>253</v>
      </c>
      <c r="Z111" s="5" t="s">
        <v>254</v>
      </c>
      <c r="AA111" s="5" t="s">
        <v>251</v>
      </c>
      <c r="AB111" s="5"/>
      <c r="AC111" s="5" t="s">
        <v>451</v>
      </c>
      <c r="AD111" s="14" t="n">
        <v>46288.771875</v>
      </c>
    </row>
    <row r="112" customFormat="false" ht="15" hidden="false" customHeight="false" outlineLevel="0" collapsed="false">
      <c r="A112" s="5" t="s">
        <v>452</v>
      </c>
      <c r="B112" s="5" t="s">
        <v>453</v>
      </c>
      <c r="C112" s="5" t="s">
        <v>248</v>
      </c>
      <c r="D112" s="5" t="s">
        <v>249</v>
      </c>
      <c r="E112" s="5" t="s">
        <v>250</v>
      </c>
      <c r="F112" s="5" t="s">
        <v>251</v>
      </c>
      <c r="G112" s="5" t="s">
        <v>59</v>
      </c>
      <c r="H112" s="5" t="s">
        <v>252</v>
      </c>
      <c r="I112" s="6" t="n">
        <v>0.5</v>
      </c>
      <c r="J112" s="7" t="n">
        <f aca="false">IF(I112="","",1/I112)</f>
        <v>2</v>
      </c>
      <c r="K112" s="8" t="n">
        <v>39.05</v>
      </c>
      <c r="L112" s="9" t="n">
        <v>0.31</v>
      </c>
      <c r="M112" s="10" t="n">
        <v>0.008</v>
      </c>
      <c r="N112" s="8" t="n">
        <v>39.05</v>
      </c>
      <c r="O112" s="8" t="n">
        <v>39.05</v>
      </c>
      <c r="P112" s="8" t="n">
        <v>39.05</v>
      </c>
      <c r="Q112" s="8" t="n">
        <v>39.05</v>
      </c>
      <c r="R112" s="11" t="n">
        <v>1</v>
      </c>
      <c r="S112" s="11" t="n">
        <f aca="false">K112*R112</f>
        <v>39.05</v>
      </c>
      <c r="T112" s="8" t="n">
        <v>27.82</v>
      </c>
      <c r="U112" s="8" t="n">
        <v>67.86</v>
      </c>
      <c r="V112" s="12" t="n">
        <f aca="false">IF(U112-T112=0,"",(K112-T112)/(U112-T112))</f>
        <v>0.28046953046953</v>
      </c>
      <c r="W112" s="13" t="n">
        <f aca="false">IF(U112=0,"",K112/U112-1)</f>
        <v>-0.4245505452402</v>
      </c>
      <c r="X112" s="11"/>
      <c r="Y112" s="5" t="s">
        <v>253</v>
      </c>
      <c r="Z112" s="5" t="s">
        <v>254</v>
      </c>
      <c r="AA112" s="5" t="s">
        <v>251</v>
      </c>
      <c r="AB112" s="5"/>
      <c r="AC112" s="5" t="s">
        <v>454</v>
      </c>
      <c r="AD112" s="14" t="n">
        <v>46288.771875</v>
      </c>
    </row>
    <row r="113" customFormat="false" ht="15" hidden="false" customHeight="false" outlineLevel="0" collapsed="false">
      <c r="A113" s="5" t="s">
        <v>455</v>
      </c>
      <c r="B113" s="5" t="s">
        <v>456</v>
      </c>
      <c r="C113" s="5" t="s">
        <v>248</v>
      </c>
      <c r="D113" s="5" t="s">
        <v>249</v>
      </c>
      <c r="E113" s="5" t="s">
        <v>250</v>
      </c>
      <c r="F113" s="5" t="s">
        <v>251</v>
      </c>
      <c r="G113" s="5" t="s">
        <v>59</v>
      </c>
      <c r="H113" s="5" t="s">
        <v>60</v>
      </c>
      <c r="I113" s="6" t="n">
        <v>0.2</v>
      </c>
      <c r="J113" s="7" t="n">
        <f aca="false">IF(I113="","",1/I113)</f>
        <v>5</v>
      </c>
      <c r="K113" s="8" t="n">
        <v>64.18</v>
      </c>
      <c r="L113" s="9" t="n">
        <v>-2.6</v>
      </c>
      <c r="M113" s="10" t="n">
        <v>-0.0389</v>
      </c>
      <c r="N113" s="8" t="n">
        <v>64.18</v>
      </c>
      <c r="O113" s="8" t="n">
        <v>64.18</v>
      </c>
      <c r="P113" s="8" t="n">
        <v>64.18</v>
      </c>
      <c r="Q113" s="8" t="n">
        <v>64.18</v>
      </c>
      <c r="R113" s="11" t="n">
        <v>1</v>
      </c>
      <c r="S113" s="11" t="n">
        <f aca="false">K113*R113</f>
        <v>64.18</v>
      </c>
      <c r="T113" s="8" t="n">
        <v>61.54</v>
      </c>
      <c r="U113" s="8" t="n">
        <v>66.78</v>
      </c>
      <c r="V113" s="12" t="n">
        <f aca="false">IF(U113-T113=0,"",(K113-T113)/(U113-T113))</f>
        <v>0.503816793893131</v>
      </c>
      <c r="W113" s="13" t="n">
        <f aca="false">IF(U113=0,"",K113/U113-1)</f>
        <v>-0.0389338125187181</v>
      </c>
      <c r="X113" s="11"/>
      <c r="Y113" s="5" t="s">
        <v>253</v>
      </c>
      <c r="Z113" s="5" t="s">
        <v>254</v>
      </c>
      <c r="AA113" s="5" t="s">
        <v>251</v>
      </c>
      <c r="AB113" s="5"/>
      <c r="AC113" s="5" t="s">
        <v>457</v>
      </c>
      <c r="AD113" s="14" t="n">
        <v>46288.771875</v>
      </c>
    </row>
    <row r="114" customFormat="false" ht="15" hidden="false" customHeight="false" outlineLevel="0" collapsed="false">
      <c r="A114" s="5" t="s">
        <v>458</v>
      </c>
      <c r="B114" s="5" t="s">
        <v>459</v>
      </c>
      <c r="C114" s="5" t="s">
        <v>248</v>
      </c>
      <c r="D114" s="5" t="s">
        <v>249</v>
      </c>
      <c r="E114" s="5" t="s">
        <v>250</v>
      </c>
      <c r="F114" s="5" t="s">
        <v>251</v>
      </c>
      <c r="G114" s="5" t="s">
        <v>59</v>
      </c>
      <c r="H114" s="5" t="s">
        <v>60</v>
      </c>
      <c r="I114" s="6" t="n">
        <v>0.2</v>
      </c>
      <c r="J114" s="7" t="n">
        <f aca="false">IF(I114="","",1/I114)</f>
        <v>5</v>
      </c>
      <c r="K114" s="8" t="n">
        <v>78.91</v>
      </c>
      <c r="L114" s="9" t="n">
        <v>-1.06</v>
      </c>
      <c r="M114" s="10" t="n">
        <v>-0.0133</v>
      </c>
      <c r="N114" s="8" t="n">
        <v>78.91</v>
      </c>
      <c r="O114" s="8" t="n">
        <v>78.91</v>
      </c>
      <c r="P114" s="8" t="n">
        <v>78.91</v>
      </c>
      <c r="Q114" s="8" t="n">
        <v>78.91</v>
      </c>
      <c r="R114" s="11" t="n">
        <v>1</v>
      </c>
      <c r="S114" s="11" t="n">
        <f aca="false">K114*R114</f>
        <v>78.91</v>
      </c>
      <c r="T114" s="8" t="n">
        <v>70.79</v>
      </c>
      <c r="U114" s="8" t="n">
        <v>80.72</v>
      </c>
      <c r="V114" s="12" t="n">
        <f aca="false">IF(U114-T114=0,"",(K114-T114)/(U114-T114))</f>
        <v>0.817724068479355</v>
      </c>
      <c r="W114" s="13" t="n">
        <f aca="false">IF(U114=0,"",K114/U114-1)</f>
        <v>-0.0224231912784936</v>
      </c>
      <c r="X114" s="11"/>
      <c r="Y114" s="5" t="s">
        <v>253</v>
      </c>
      <c r="Z114" s="5" t="s">
        <v>254</v>
      </c>
      <c r="AA114" s="5" t="s">
        <v>251</v>
      </c>
      <c r="AB114" s="5"/>
      <c r="AC114" s="5" t="s">
        <v>460</v>
      </c>
      <c r="AD114" s="14" t="n">
        <v>46288.771875</v>
      </c>
    </row>
    <row r="115" customFormat="false" ht="15" hidden="false" customHeight="false" outlineLevel="0" collapsed="false">
      <c r="A115" s="5" t="s">
        <v>461</v>
      </c>
      <c r="B115" s="5" t="s">
        <v>462</v>
      </c>
      <c r="C115" s="5" t="s">
        <v>248</v>
      </c>
      <c r="D115" s="5" t="s">
        <v>249</v>
      </c>
      <c r="E115" s="5" t="s">
        <v>250</v>
      </c>
      <c r="F115" s="5" t="s">
        <v>251</v>
      </c>
      <c r="G115" s="5" t="s">
        <v>59</v>
      </c>
      <c r="H115" s="5" t="s">
        <v>60</v>
      </c>
      <c r="I115" s="6" t="n">
        <v>0.2</v>
      </c>
      <c r="J115" s="7" t="n">
        <f aca="false">IF(I115="","",1/I115)</f>
        <v>5</v>
      </c>
      <c r="K115" s="8" t="n">
        <v>80.76</v>
      </c>
      <c r="L115" s="9" t="n">
        <v>-0.74</v>
      </c>
      <c r="M115" s="10" t="n">
        <v>-0.0091</v>
      </c>
      <c r="N115" s="8" t="n">
        <v>80.76</v>
      </c>
      <c r="O115" s="8" t="n">
        <v>80.76</v>
      </c>
      <c r="P115" s="8" t="n">
        <v>80.76</v>
      </c>
      <c r="Q115" s="8" t="n">
        <v>80.76</v>
      </c>
      <c r="R115" s="11" t="n">
        <v>4</v>
      </c>
      <c r="S115" s="11" t="n">
        <f aca="false">K115*R115</f>
        <v>323.04</v>
      </c>
      <c r="T115" s="8" t="n">
        <v>74.34</v>
      </c>
      <c r="U115" s="8" t="n">
        <v>81.73</v>
      </c>
      <c r="V115" s="12" t="n">
        <f aca="false">IF(U115-T115=0,"",(K115-T115)/(U115-T115))</f>
        <v>0.868741542625169</v>
      </c>
      <c r="W115" s="13" t="n">
        <f aca="false">IF(U115=0,"",K115/U115-1)</f>
        <v>-0.011868346996207</v>
      </c>
      <c r="X115" s="11"/>
      <c r="Y115" s="5" t="s">
        <v>253</v>
      </c>
      <c r="Z115" s="5" t="s">
        <v>254</v>
      </c>
      <c r="AA115" s="5" t="s">
        <v>251</v>
      </c>
      <c r="AB115" s="5"/>
      <c r="AC115" s="5" t="s">
        <v>463</v>
      </c>
      <c r="AD115" s="14" t="n">
        <v>46288.771875</v>
      </c>
    </row>
    <row r="116" customFormat="false" ht="15" hidden="false" customHeight="false" outlineLevel="0" collapsed="false">
      <c r="A116" s="5" t="s">
        <v>464</v>
      </c>
      <c r="B116" s="5" t="s">
        <v>465</v>
      </c>
      <c r="C116" s="5" t="s">
        <v>248</v>
      </c>
      <c r="D116" s="5" t="s">
        <v>249</v>
      </c>
      <c r="E116" s="5" t="s">
        <v>250</v>
      </c>
      <c r="F116" s="5" t="s">
        <v>251</v>
      </c>
      <c r="G116" s="5" t="s">
        <v>59</v>
      </c>
      <c r="H116" s="5" t="s">
        <v>60</v>
      </c>
      <c r="I116" s="6" t="n">
        <v>0.2</v>
      </c>
      <c r="J116" s="7" t="n">
        <f aca="false">IF(I116="","",1/I116)</f>
        <v>5</v>
      </c>
      <c r="K116" s="8" t="n">
        <v>79.52</v>
      </c>
      <c r="L116" s="9" t="n">
        <v>0</v>
      </c>
      <c r="M116" s="10" t="n">
        <v>0</v>
      </c>
      <c r="N116" s="8" t="n">
        <v>79.52</v>
      </c>
      <c r="O116" s="8" t="n">
        <v>79.52</v>
      </c>
      <c r="P116" s="8" t="n">
        <v>79.52</v>
      </c>
      <c r="Q116" s="8" t="n">
        <v>79.52</v>
      </c>
      <c r="R116" s="11" t="n">
        <v>3</v>
      </c>
      <c r="S116" s="11" t="n">
        <f aca="false">K116*R116</f>
        <v>238.56</v>
      </c>
      <c r="T116" s="8" t="n">
        <v>71.4</v>
      </c>
      <c r="U116" s="8" t="n">
        <v>80.8</v>
      </c>
      <c r="V116" s="12" t="n">
        <f aca="false">IF(U116-T116=0,"",(K116-T116)/(U116-T116))</f>
        <v>0.863829787234042</v>
      </c>
      <c r="W116" s="13" t="n">
        <f aca="false">IF(U116=0,"",K116/U116-1)</f>
        <v>-0.0158415841584159</v>
      </c>
      <c r="X116" s="11"/>
      <c r="Y116" s="5" t="s">
        <v>253</v>
      </c>
      <c r="Z116" s="5" t="s">
        <v>254</v>
      </c>
      <c r="AA116" s="5" t="s">
        <v>251</v>
      </c>
      <c r="AB116" s="5"/>
      <c r="AC116" s="5" t="s">
        <v>466</v>
      </c>
      <c r="AD116" s="14" t="n">
        <v>46288.771875</v>
      </c>
    </row>
    <row r="117" customFormat="false" ht="15" hidden="false" customHeight="false" outlineLevel="0" collapsed="false">
      <c r="A117" s="5" t="s">
        <v>467</v>
      </c>
      <c r="B117" s="5" t="s">
        <v>468</v>
      </c>
      <c r="C117" s="5" t="s">
        <v>248</v>
      </c>
      <c r="D117" s="5" t="s">
        <v>249</v>
      </c>
      <c r="E117" s="5" t="s">
        <v>250</v>
      </c>
      <c r="F117" s="5" t="s">
        <v>251</v>
      </c>
      <c r="G117" s="5" t="s">
        <v>59</v>
      </c>
      <c r="H117" s="5" t="s">
        <v>60</v>
      </c>
      <c r="I117" s="6" t="n">
        <v>0.125</v>
      </c>
      <c r="J117" s="7" t="n">
        <f aca="false">IF(I117="","",1/I117)</f>
        <v>8</v>
      </c>
      <c r="K117" s="8" t="n">
        <v>78.02</v>
      </c>
      <c r="L117" s="9" t="n">
        <v>-1.28</v>
      </c>
      <c r="M117" s="10" t="n">
        <v>-0.0161</v>
      </c>
      <c r="N117" s="8" t="n">
        <v>78.02</v>
      </c>
      <c r="O117" s="8" t="n">
        <v>78.02</v>
      </c>
      <c r="P117" s="8" t="n">
        <v>78.02</v>
      </c>
      <c r="Q117" s="8" t="n">
        <v>78.02</v>
      </c>
      <c r="R117" s="11" t="n">
        <v>6</v>
      </c>
      <c r="S117" s="11" t="n">
        <f aca="false">K117*R117</f>
        <v>468.12</v>
      </c>
      <c r="T117" s="8" t="n">
        <v>78.02</v>
      </c>
      <c r="U117" s="8" t="n">
        <v>82.41</v>
      </c>
      <c r="V117" s="12" t="n">
        <f aca="false">IF(U117-T117=0,"",(K117-T117)/(U117-T117))</f>
        <v>0</v>
      </c>
      <c r="W117" s="13" t="n">
        <f aca="false">IF(U117=0,"",K117/U117-1)</f>
        <v>-0.0532702341948793</v>
      </c>
      <c r="X117" s="11"/>
      <c r="Y117" s="5" t="s">
        <v>253</v>
      </c>
      <c r="Z117" s="5" t="s">
        <v>254</v>
      </c>
      <c r="AA117" s="5" t="s">
        <v>251</v>
      </c>
      <c r="AB117" s="5"/>
      <c r="AC117" s="5" t="s">
        <v>469</v>
      </c>
      <c r="AD117" s="14" t="n">
        <v>46288.771875</v>
      </c>
    </row>
    <row r="118" customFormat="false" ht="15" hidden="false" customHeight="false" outlineLevel="0" collapsed="false">
      <c r="A118" s="5" t="s">
        <v>470</v>
      </c>
      <c r="B118" s="5" t="s">
        <v>471</v>
      </c>
      <c r="C118" s="5" t="s">
        <v>248</v>
      </c>
      <c r="D118" s="5" t="s">
        <v>249</v>
      </c>
      <c r="E118" s="5" t="s">
        <v>71</v>
      </c>
      <c r="F118" s="5" t="s">
        <v>72</v>
      </c>
      <c r="G118" s="5" t="s">
        <v>59</v>
      </c>
      <c r="H118" s="5" t="s">
        <v>60</v>
      </c>
      <c r="I118" s="6" t="n">
        <v>0.1</v>
      </c>
      <c r="J118" s="7" t="n">
        <f aca="false">IF(I118="","",1/I118)</f>
        <v>10</v>
      </c>
      <c r="K118" s="8" t="n">
        <v>52.22</v>
      </c>
      <c r="L118" s="9" t="n">
        <v>-1.43</v>
      </c>
      <c r="M118" s="10" t="n">
        <v>-0.0267</v>
      </c>
      <c r="N118" s="8" t="n">
        <v>53.53</v>
      </c>
      <c r="O118" s="8" t="n">
        <v>52.22</v>
      </c>
      <c r="P118" s="8" t="n">
        <v>53.53</v>
      </c>
      <c r="Q118" s="8" t="n">
        <v>52.22</v>
      </c>
      <c r="R118" s="11" t="n">
        <v>7</v>
      </c>
      <c r="S118" s="11" t="n">
        <f aca="false">K118*R118</f>
        <v>365.54</v>
      </c>
      <c r="T118" s="8" t="n">
        <v>51.79</v>
      </c>
      <c r="U118" s="8" t="n">
        <v>56.85</v>
      </c>
      <c r="V118" s="12" t="n">
        <f aca="false">IF(U118-T118=0,"",(K118-T118)/(U118-T118))</f>
        <v>0.0849802371541501</v>
      </c>
      <c r="W118" s="13" t="n">
        <f aca="false">IF(U118=0,"",K118/U118-1)</f>
        <v>-0.0814423922603342</v>
      </c>
      <c r="X118" s="11"/>
      <c r="Y118" s="5" t="s">
        <v>253</v>
      </c>
      <c r="Z118" s="5" t="s">
        <v>254</v>
      </c>
      <c r="AA118" s="5" t="s">
        <v>72</v>
      </c>
      <c r="AB118" s="5"/>
      <c r="AC118" s="5" t="s">
        <v>472</v>
      </c>
      <c r="AD118" s="14" t="n">
        <v>46288.771875</v>
      </c>
    </row>
    <row r="119" customFormat="false" ht="15" hidden="false" customHeight="false" outlineLevel="0" collapsed="false">
      <c r="A119" s="5" t="s">
        <v>473</v>
      </c>
      <c r="B119" s="5" t="s">
        <v>474</v>
      </c>
      <c r="C119" s="5" t="s">
        <v>248</v>
      </c>
      <c r="D119" s="5" t="s">
        <v>249</v>
      </c>
      <c r="E119" s="5" t="s">
        <v>250</v>
      </c>
      <c r="F119" s="5" t="s">
        <v>251</v>
      </c>
      <c r="G119" s="5" t="s">
        <v>59</v>
      </c>
      <c r="H119" s="5" t="s">
        <v>60</v>
      </c>
      <c r="I119" s="6" t="n">
        <v>0.333333</v>
      </c>
      <c r="J119" s="7" t="n">
        <f aca="false">IF(I119="","",1/I119)</f>
        <v>3.000003000003</v>
      </c>
      <c r="K119" s="8" t="n">
        <v>80.96</v>
      </c>
      <c r="L119" s="9" t="n">
        <v>2.36</v>
      </c>
      <c r="M119" s="10" t="n">
        <v>0.03</v>
      </c>
      <c r="N119" s="8" t="n">
        <v>78.62</v>
      </c>
      <c r="O119" s="8" t="n">
        <v>78.62</v>
      </c>
      <c r="P119" s="8" t="n">
        <v>80.96</v>
      </c>
      <c r="Q119" s="8" t="n">
        <v>80.65</v>
      </c>
      <c r="R119" s="11" t="n">
        <v>80</v>
      </c>
      <c r="S119" s="11" t="n">
        <f aca="false">K119*R119</f>
        <v>6476.8</v>
      </c>
      <c r="T119" s="8" t="n">
        <v>38.77</v>
      </c>
      <c r="U119" s="8" t="n">
        <v>80.96</v>
      </c>
      <c r="V119" s="12" t="n">
        <f aca="false">IF(U119-T119=0,"",(K119-T119)/(U119-T119))</f>
        <v>1</v>
      </c>
      <c r="W119" s="13" t="n">
        <f aca="false">IF(U119=0,"",K119/U119-1)</f>
        <v>0</v>
      </c>
      <c r="X119" s="11"/>
      <c r="Y119" s="5" t="s">
        <v>253</v>
      </c>
      <c r="Z119" s="5" t="s">
        <v>254</v>
      </c>
      <c r="AA119" s="5" t="s">
        <v>251</v>
      </c>
      <c r="AB119" s="5"/>
      <c r="AC119" s="5" t="s">
        <v>475</v>
      </c>
      <c r="AD119" s="14" t="n">
        <v>46288.771875</v>
      </c>
    </row>
    <row r="120" customFormat="false" ht="15" hidden="false" customHeight="false" outlineLevel="0" collapsed="false">
      <c r="A120" s="5" t="s">
        <v>476</v>
      </c>
      <c r="B120" s="5" t="s">
        <v>477</v>
      </c>
      <c r="C120" s="5" t="s">
        <v>248</v>
      </c>
      <c r="D120" s="5" t="s">
        <v>249</v>
      </c>
      <c r="E120" s="5" t="s">
        <v>250</v>
      </c>
      <c r="F120" s="5" t="s">
        <v>251</v>
      </c>
      <c r="G120" s="5" t="s">
        <v>59</v>
      </c>
      <c r="H120" s="5" t="s">
        <v>60</v>
      </c>
      <c r="I120" s="6" t="n">
        <v>0.125</v>
      </c>
      <c r="J120" s="7" t="n">
        <f aca="false">IF(I120="","",1/I120)</f>
        <v>8</v>
      </c>
      <c r="K120" s="8" t="n">
        <v>87.75</v>
      </c>
      <c r="L120" s="9" t="n">
        <v>-0.27</v>
      </c>
      <c r="M120" s="10" t="n">
        <v>-0.0031</v>
      </c>
      <c r="N120" s="8" t="n">
        <v>87.75</v>
      </c>
      <c r="O120" s="8" t="n">
        <v>87.75</v>
      </c>
      <c r="P120" s="8" t="n">
        <v>87.75</v>
      </c>
      <c r="Q120" s="8" t="n">
        <v>87.75</v>
      </c>
      <c r="R120" s="11" t="n">
        <v>4</v>
      </c>
      <c r="S120" s="11" t="n">
        <f aca="false">K120*R120</f>
        <v>351</v>
      </c>
      <c r="T120" s="8" t="n">
        <v>86.13</v>
      </c>
      <c r="U120" s="8" t="n">
        <v>89.28</v>
      </c>
      <c r="V120" s="12" t="n">
        <f aca="false">IF(U120-T120=0,"",(K120-T120)/(U120-T120))</f>
        <v>0.514285714285715</v>
      </c>
      <c r="W120" s="13" t="n">
        <f aca="false">IF(U120=0,"",K120/U120-1)</f>
        <v>-0.0171370967741935</v>
      </c>
      <c r="X120" s="11"/>
      <c r="Y120" s="5" t="s">
        <v>253</v>
      </c>
      <c r="Z120" s="5" t="s">
        <v>254</v>
      </c>
      <c r="AA120" s="5" t="s">
        <v>251</v>
      </c>
      <c r="AB120" s="5"/>
      <c r="AC120" s="5" t="s">
        <v>478</v>
      </c>
      <c r="AD120" s="14" t="n">
        <v>46288.771875</v>
      </c>
    </row>
    <row r="121" customFormat="false" ht="15" hidden="false" customHeight="false" outlineLevel="0" collapsed="false">
      <c r="A121" s="5" t="s">
        <v>479</v>
      </c>
      <c r="B121" s="5" t="s">
        <v>480</v>
      </c>
      <c r="C121" s="5" t="s">
        <v>55</v>
      </c>
      <c r="D121" s="5" t="s">
        <v>56</v>
      </c>
      <c r="E121" s="5" t="s">
        <v>57</v>
      </c>
      <c r="F121" s="5" t="s">
        <v>58</v>
      </c>
      <c r="G121" s="5" t="s">
        <v>59</v>
      </c>
      <c r="H121" s="5" t="s">
        <v>60</v>
      </c>
      <c r="I121" s="6" t="n">
        <v>0.166667</v>
      </c>
      <c r="J121" s="7" t="n">
        <f aca="false">IF(I121="","",1/I121)</f>
        <v>5.999988000024</v>
      </c>
      <c r="K121" s="8" t="n">
        <v>80.5</v>
      </c>
      <c r="L121" s="9" t="n">
        <v>10.5</v>
      </c>
      <c r="M121" s="10" t="n">
        <v>0.15</v>
      </c>
      <c r="N121" s="8" t="n">
        <v>80.52</v>
      </c>
      <c r="O121" s="8" t="n">
        <v>80.41</v>
      </c>
      <c r="P121" s="8" t="n">
        <v>80.52</v>
      </c>
      <c r="Q121" s="8" t="n">
        <v>80.5</v>
      </c>
      <c r="R121" s="11" t="n">
        <v>28</v>
      </c>
      <c r="S121" s="11" t="n">
        <f aca="false">K121*R121</f>
        <v>2254</v>
      </c>
      <c r="T121" s="8" t="n">
        <v>45.54166758</v>
      </c>
      <c r="U121" s="8" t="n">
        <v>80.52</v>
      </c>
      <c r="V121" s="12" t="n">
        <f aca="false">IF(U121-T121=0,"",(K121-T121)/(U121-T121))</f>
        <v>0.999428217453027</v>
      </c>
      <c r="W121" s="13" t="n">
        <f aca="false">IF(U121=0,"",K121/U121-1)</f>
        <v>-0.000248385494287073</v>
      </c>
      <c r="X121" s="11" t="n">
        <v>101773</v>
      </c>
      <c r="Y121" s="5" t="s">
        <v>57</v>
      </c>
      <c r="Z121" s="5" t="s">
        <v>61</v>
      </c>
      <c r="AA121" s="5" t="s">
        <v>58</v>
      </c>
      <c r="AB121" s="5"/>
      <c r="AC121" s="5" t="s">
        <v>481</v>
      </c>
      <c r="AD121" s="14" t="n">
        <v>46288.771875</v>
      </c>
    </row>
    <row r="122" customFormat="false" ht="15" hidden="false" customHeight="false" outlineLevel="0" collapsed="false">
      <c r="A122" s="5" t="s">
        <v>482</v>
      </c>
      <c r="B122" s="5" t="s">
        <v>483</v>
      </c>
      <c r="C122" s="5" t="s">
        <v>248</v>
      </c>
      <c r="D122" s="5" t="s">
        <v>249</v>
      </c>
      <c r="E122" s="5" t="s">
        <v>250</v>
      </c>
      <c r="F122" s="5" t="s">
        <v>251</v>
      </c>
      <c r="G122" s="5" t="s">
        <v>59</v>
      </c>
      <c r="H122" s="5" t="s">
        <v>60</v>
      </c>
      <c r="I122" s="6" t="n">
        <v>0.1</v>
      </c>
      <c r="J122" s="7" t="n">
        <f aca="false">IF(I122="","",1/I122)</f>
        <v>10</v>
      </c>
      <c r="K122" s="8" t="n">
        <v>45.2</v>
      </c>
      <c r="L122" s="9" t="n">
        <v>-0.8</v>
      </c>
      <c r="M122" s="10" t="n">
        <v>-0.0174</v>
      </c>
      <c r="N122" s="8" t="n">
        <v>45.2</v>
      </c>
      <c r="O122" s="8" t="n">
        <v>45.2</v>
      </c>
      <c r="P122" s="8" t="n">
        <v>45.2</v>
      </c>
      <c r="Q122" s="8" t="n">
        <v>45.2</v>
      </c>
      <c r="R122" s="11" t="n">
        <v>10</v>
      </c>
      <c r="S122" s="11" t="n">
        <f aca="false">K122*R122</f>
        <v>452</v>
      </c>
      <c r="T122" s="8" t="n">
        <v>21.0825</v>
      </c>
      <c r="U122" s="8" t="n">
        <v>47.5</v>
      </c>
      <c r="V122" s="12" t="n">
        <f aca="false">IF(U122-T122=0,"",(K122-T122)/(U122-T122))</f>
        <v>0.912936500425854</v>
      </c>
      <c r="W122" s="13" t="n">
        <f aca="false">IF(U122=0,"",K122/U122-1)</f>
        <v>-0.0484210526315789</v>
      </c>
      <c r="X122" s="11"/>
      <c r="Y122" s="5" t="s">
        <v>253</v>
      </c>
      <c r="Z122" s="5" t="s">
        <v>254</v>
      </c>
      <c r="AA122" s="5" t="s">
        <v>251</v>
      </c>
      <c r="AB122" s="5"/>
      <c r="AC122" s="5" t="s">
        <v>484</v>
      </c>
      <c r="AD122" s="14" t="n">
        <v>46288.771875</v>
      </c>
    </row>
    <row r="123" customFormat="false" ht="15" hidden="false" customHeight="false" outlineLevel="0" collapsed="false">
      <c r="A123" s="5" t="s">
        <v>485</v>
      </c>
      <c r="B123" s="5" t="s">
        <v>486</v>
      </c>
      <c r="C123" s="5" t="s">
        <v>248</v>
      </c>
      <c r="D123" s="5" t="s">
        <v>249</v>
      </c>
      <c r="E123" s="5" t="s">
        <v>250</v>
      </c>
      <c r="F123" s="5" t="s">
        <v>251</v>
      </c>
      <c r="G123" s="5" t="s">
        <v>59</v>
      </c>
      <c r="H123" s="5" t="s">
        <v>60</v>
      </c>
      <c r="I123" s="6" t="n">
        <v>0.125</v>
      </c>
      <c r="J123" s="7" t="n">
        <f aca="false">IF(I123="","",1/I123)</f>
        <v>8</v>
      </c>
      <c r="K123" s="8" t="n">
        <v>34.23</v>
      </c>
      <c r="L123" s="9" t="n">
        <v>-0.39</v>
      </c>
      <c r="M123" s="10" t="n">
        <v>-0.0113</v>
      </c>
      <c r="N123" s="8" t="n">
        <v>33.92</v>
      </c>
      <c r="O123" s="8" t="n">
        <v>33.92</v>
      </c>
      <c r="P123" s="8" t="n">
        <v>34.23</v>
      </c>
      <c r="Q123" s="8" t="n">
        <v>34.23</v>
      </c>
      <c r="R123" s="11" t="n">
        <v>111</v>
      </c>
      <c r="S123" s="11" t="n">
        <f aca="false">K123*R123</f>
        <v>3799.53</v>
      </c>
      <c r="T123" s="8" t="n">
        <v>32.22</v>
      </c>
      <c r="U123" s="8" t="n">
        <v>44.99</v>
      </c>
      <c r="V123" s="12" t="n">
        <f aca="false">IF(U123-T123=0,"",(K123-T123)/(U123-T123))</f>
        <v>0.157400156617071</v>
      </c>
      <c r="W123" s="13" t="n">
        <f aca="false">IF(U123=0,"",K123/U123-1)</f>
        <v>-0.239164258724161</v>
      </c>
      <c r="X123" s="11"/>
      <c r="Y123" s="5" t="s">
        <v>253</v>
      </c>
      <c r="Z123" s="5" t="s">
        <v>254</v>
      </c>
      <c r="AA123" s="5" t="s">
        <v>251</v>
      </c>
      <c r="AB123" s="5"/>
      <c r="AC123" s="5" t="s">
        <v>487</v>
      </c>
      <c r="AD123" s="14" t="n">
        <v>46288.771875</v>
      </c>
    </row>
    <row r="124" customFormat="false" ht="15" hidden="false" customHeight="false" outlineLevel="0" collapsed="false">
      <c r="A124" s="5" t="s">
        <v>488</v>
      </c>
      <c r="B124" s="5" t="s">
        <v>489</v>
      </c>
      <c r="C124" s="5" t="s">
        <v>248</v>
      </c>
      <c r="D124" s="5" t="s">
        <v>249</v>
      </c>
      <c r="E124" s="5" t="s">
        <v>250</v>
      </c>
      <c r="F124" s="5" t="s">
        <v>251</v>
      </c>
      <c r="G124" s="5" t="s">
        <v>59</v>
      </c>
      <c r="H124" s="5" t="s">
        <v>60</v>
      </c>
      <c r="I124" s="6" t="n">
        <v>0.25</v>
      </c>
      <c r="J124" s="7" t="n">
        <f aca="false">IF(I124="","",1/I124)</f>
        <v>4</v>
      </c>
      <c r="K124" s="8" t="n">
        <v>21.04</v>
      </c>
      <c r="L124" s="9" t="n">
        <v>0.23</v>
      </c>
      <c r="M124" s="10" t="n">
        <v>0.0111</v>
      </c>
      <c r="N124" s="8" t="n">
        <v>21.04</v>
      </c>
      <c r="O124" s="8" t="n">
        <v>21.04</v>
      </c>
      <c r="P124" s="8" t="n">
        <v>21.04</v>
      </c>
      <c r="Q124" s="8" t="n">
        <v>21.04</v>
      </c>
      <c r="R124" s="11" t="n">
        <v>1</v>
      </c>
      <c r="S124" s="11" t="n">
        <f aca="false">K124*R124</f>
        <v>21.04</v>
      </c>
      <c r="T124" s="8" t="n">
        <v>20.5</v>
      </c>
      <c r="U124" s="8" t="n">
        <v>32.85</v>
      </c>
      <c r="V124" s="12" t="n">
        <f aca="false">IF(U124-T124=0,"",(K124-T124)/(U124-T124))</f>
        <v>0.0437246963562752</v>
      </c>
      <c r="W124" s="13" t="n">
        <f aca="false">IF(U124=0,"",K124/U124-1)</f>
        <v>-0.35951293759513</v>
      </c>
      <c r="X124" s="11"/>
      <c r="Y124" s="5" t="s">
        <v>253</v>
      </c>
      <c r="Z124" s="5" t="s">
        <v>254</v>
      </c>
      <c r="AA124" s="5" t="s">
        <v>251</v>
      </c>
      <c r="AB124" s="5"/>
      <c r="AC124" s="5" t="s">
        <v>490</v>
      </c>
      <c r="AD124" s="14" t="n">
        <v>46288.771875</v>
      </c>
    </row>
    <row r="125" customFormat="false" ht="15" hidden="false" customHeight="false" outlineLevel="0" collapsed="false">
      <c r="A125" s="5" t="s">
        <v>491</v>
      </c>
      <c r="B125" s="5" t="s">
        <v>492</v>
      </c>
      <c r="C125" s="5" t="s">
        <v>248</v>
      </c>
      <c r="D125" s="5" t="s">
        <v>249</v>
      </c>
      <c r="E125" s="5" t="s">
        <v>250</v>
      </c>
      <c r="F125" s="5" t="s">
        <v>251</v>
      </c>
      <c r="G125" s="5" t="s">
        <v>59</v>
      </c>
      <c r="H125" s="5" t="s">
        <v>60</v>
      </c>
      <c r="I125" s="6" t="n">
        <v>0.2</v>
      </c>
      <c r="J125" s="7" t="n">
        <f aca="false">IF(I125="","",1/I125)</f>
        <v>5</v>
      </c>
      <c r="K125" s="8" t="n">
        <v>107.12</v>
      </c>
      <c r="L125" s="9" t="n">
        <v>2.25</v>
      </c>
      <c r="M125" s="10" t="n">
        <v>0.0215</v>
      </c>
      <c r="N125" s="8" t="n">
        <v>106</v>
      </c>
      <c r="O125" s="8" t="n">
        <v>106</v>
      </c>
      <c r="P125" s="8" t="n">
        <v>107.12</v>
      </c>
      <c r="Q125" s="8" t="n">
        <v>107.12</v>
      </c>
      <c r="R125" s="11" t="n">
        <v>7</v>
      </c>
      <c r="S125" s="11" t="n">
        <f aca="false">K125*R125</f>
        <v>749.84</v>
      </c>
      <c r="T125" s="8" t="n">
        <v>61.2</v>
      </c>
      <c r="U125" s="8" t="n">
        <v>107.12</v>
      </c>
      <c r="V125" s="12" t="n">
        <f aca="false">IF(U125-T125=0,"",(K125-T125)/(U125-T125))</f>
        <v>1</v>
      </c>
      <c r="W125" s="13" t="n">
        <f aca="false">IF(U125=0,"",K125/U125-1)</f>
        <v>0</v>
      </c>
      <c r="X125" s="11"/>
      <c r="Y125" s="5" t="s">
        <v>253</v>
      </c>
      <c r="Z125" s="5" t="s">
        <v>254</v>
      </c>
      <c r="AA125" s="5" t="s">
        <v>251</v>
      </c>
      <c r="AB125" s="5"/>
      <c r="AC125" s="5" t="s">
        <v>493</v>
      </c>
      <c r="AD125" s="14" t="n">
        <v>46288.771875</v>
      </c>
    </row>
    <row r="126" customFormat="false" ht="15" hidden="false" customHeight="false" outlineLevel="0" collapsed="false">
      <c r="A126" s="5" t="s">
        <v>494</v>
      </c>
      <c r="B126" s="5" t="s">
        <v>495</v>
      </c>
      <c r="C126" s="5" t="s">
        <v>248</v>
      </c>
      <c r="D126" s="5" t="s">
        <v>249</v>
      </c>
      <c r="E126" s="5" t="s">
        <v>250</v>
      </c>
      <c r="F126" s="5" t="s">
        <v>251</v>
      </c>
      <c r="G126" s="5" t="s">
        <v>59</v>
      </c>
      <c r="H126" s="5" t="s">
        <v>60</v>
      </c>
      <c r="I126" s="6" t="n">
        <v>0.33333333</v>
      </c>
      <c r="J126" s="7" t="n">
        <f aca="false">IF(I126="","",1/I126)</f>
        <v>3.00000003</v>
      </c>
      <c r="K126" s="8" t="n">
        <v>50.05</v>
      </c>
      <c r="L126" s="9" t="n">
        <v>2.1</v>
      </c>
      <c r="M126" s="10" t="n">
        <v>0.0438</v>
      </c>
      <c r="N126" s="8" t="n">
        <v>50.05</v>
      </c>
      <c r="O126" s="8" t="n">
        <v>50.05</v>
      </c>
      <c r="P126" s="8" t="n">
        <v>50.05</v>
      </c>
      <c r="Q126" s="8" t="n">
        <v>50.05</v>
      </c>
      <c r="R126" s="11" t="n">
        <v>2110</v>
      </c>
      <c r="S126" s="11" t="n">
        <f aca="false">K126*R126</f>
        <v>105605.5</v>
      </c>
      <c r="T126" s="8" t="n">
        <v>29.38</v>
      </c>
      <c r="U126" s="8" t="n">
        <v>50.9</v>
      </c>
      <c r="V126" s="12" t="n">
        <f aca="false">IF(U126-T126=0,"",(K126-T126)/(U126-T126))</f>
        <v>0.960501858736059</v>
      </c>
      <c r="W126" s="13" t="n">
        <f aca="false">IF(U126=0,"",K126/U126-1)</f>
        <v>-0.0166994106090373</v>
      </c>
      <c r="X126" s="11"/>
      <c r="Y126" s="5" t="s">
        <v>253</v>
      </c>
      <c r="Z126" s="5" t="s">
        <v>254</v>
      </c>
      <c r="AA126" s="5" t="s">
        <v>251</v>
      </c>
      <c r="AB126" s="5"/>
      <c r="AC126" s="5" t="s">
        <v>496</v>
      </c>
      <c r="AD126" s="14" t="n">
        <v>46288.771875</v>
      </c>
    </row>
    <row r="127" customFormat="false" ht="15" hidden="false" customHeight="false" outlineLevel="0" collapsed="false">
      <c r="A127" s="5" t="s">
        <v>497</v>
      </c>
      <c r="B127" s="5" t="s">
        <v>498</v>
      </c>
      <c r="C127" s="5" t="s">
        <v>248</v>
      </c>
      <c r="D127" s="5" t="s">
        <v>249</v>
      </c>
      <c r="E127" s="5" t="s">
        <v>250</v>
      </c>
      <c r="F127" s="5" t="s">
        <v>251</v>
      </c>
      <c r="G127" s="5" t="s">
        <v>59</v>
      </c>
      <c r="H127" s="5" t="s">
        <v>60</v>
      </c>
      <c r="I127" s="6" t="n">
        <v>0.33333333</v>
      </c>
      <c r="J127" s="7" t="n">
        <f aca="false">IF(I127="","",1/I127)</f>
        <v>3.00000003</v>
      </c>
      <c r="K127" s="8" t="n">
        <v>60.5</v>
      </c>
      <c r="L127" s="9" t="n">
        <v>0.62</v>
      </c>
      <c r="M127" s="10" t="n">
        <v>0.0104</v>
      </c>
      <c r="N127" s="8" t="n">
        <v>60.5</v>
      </c>
      <c r="O127" s="8" t="n">
        <v>60.5</v>
      </c>
      <c r="P127" s="8" t="n">
        <v>60.5</v>
      </c>
      <c r="Q127" s="8" t="n">
        <v>60.5</v>
      </c>
      <c r="R127" s="11" t="n">
        <v>2</v>
      </c>
      <c r="S127" s="11" t="n">
        <f aca="false">K127*R127</f>
        <v>121</v>
      </c>
      <c r="T127" s="8" t="n">
        <v>59.04</v>
      </c>
      <c r="U127" s="8" t="n">
        <v>68.03</v>
      </c>
      <c r="V127" s="12" t="n">
        <f aca="false">IF(U127-T127=0,"",(K127-T127)/(U127-T127))</f>
        <v>0.162402669632926</v>
      </c>
      <c r="W127" s="13" t="n">
        <f aca="false">IF(U127=0,"",K127/U127-1)</f>
        <v>-0.110686461855064</v>
      </c>
      <c r="X127" s="11"/>
      <c r="Y127" s="5" t="s">
        <v>253</v>
      </c>
      <c r="Z127" s="5" t="s">
        <v>254</v>
      </c>
      <c r="AA127" s="5" t="s">
        <v>251</v>
      </c>
      <c r="AB127" s="5"/>
      <c r="AC127" s="5" t="s">
        <v>499</v>
      </c>
      <c r="AD127" s="14" t="n">
        <v>46288.771875</v>
      </c>
    </row>
    <row r="128" customFormat="false" ht="15" hidden="false" customHeight="false" outlineLevel="0" collapsed="false">
      <c r="A128" s="5" t="s">
        <v>500</v>
      </c>
      <c r="B128" s="5" t="s">
        <v>501</v>
      </c>
      <c r="C128" s="5" t="s">
        <v>248</v>
      </c>
      <c r="D128" s="5" t="s">
        <v>249</v>
      </c>
      <c r="E128" s="5" t="s">
        <v>250</v>
      </c>
      <c r="F128" s="5" t="s">
        <v>251</v>
      </c>
      <c r="G128" s="5" t="s">
        <v>59</v>
      </c>
      <c r="H128" s="5" t="s">
        <v>60</v>
      </c>
      <c r="I128" s="6" t="n">
        <v>0.333333333</v>
      </c>
      <c r="J128" s="7" t="n">
        <f aca="false">IF(I128="","",1/I128)</f>
        <v>3.000000003</v>
      </c>
      <c r="K128" s="8" t="n">
        <v>64.02</v>
      </c>
      <c r="L128" s="9" t="n">
        <v>1.2</v>
      </c>
      <c r="M128" s="10" t="n">
        <v>0.0191</v>
      </c>
      <c r="N128" s="8" t="n">
        <v>62.46</v>
      </c>
      <c r="O128" s="8" t="n">
        <v>62.46</v>
      </c>
      <c r="P128" s="8" t="n">
        <v>64.5</v>
      </c>
      <c r="Q128" s="8" t="n">
        <v>64.02</v>
      </c>
      <c r="R128" s="11" t="n">
        <v>75</v>
      </c>
      <c r="S128" s="11" t="n">
        <f aca="false">K128*R128</f>
        <v>4801.5</v>
      </c>
      <c r="T128" s="8" t="n">
        <v>44.32</v>
      </c>
      <c r="U128" s="8" t="n">
        <v>70.39</v>
      </c>
      <c r="V128" s="12" t="n">
        <f aca="false">IF(U128-T128=0,"",(K128-T128)/(U128-T128))</f>
        <v>0.755657844265439</v>
      </c>
      <c r="W128" s="13" t="n">
        <f aca="false">IF(U128=0,"",K128/U128-1)</f>
        <v>-0.0904958090637875</v>
      </c>
      <c r="X128" s="11"/>
      <c r="Y128" s="5" t="s">
        <v>253</v>
      </c>
      <c r="Z128" s="5" t="s">
        <v>254</v>
      </c>
      <c r="AA128" s="5" t="s">
        <v>251</v>
      </c>
      <c r="AB128" s="5"/>
      <c r="AC128" s="5" t="s">
        <v>502</v>
      </c>
      <c r="AD128" s="14" t="n">
        <v>46288.771875</v>
      </c>
    </row>
    <row r="129" customFormat="false" ht="15" hidden="false" customHeight="false" outlineLevel="0" collapsed="false">
      <c r="A129" s="5" t="s">
        <v>503</v>
      </c>
      <c r="B129" s="5" t="s">
        <v>504</v>
      </c>
      <c r="C129" s="5" t="s">
        <v>248</v>
      </c>
      <c r="D129" s="5" t="s">
        <v>249</v>
      </c>
      <c r="E129" s="5" t="s">
        <v>250</v>
      </c>
      <c r="F129" s="5" t="s">
        <v>251</v>
      </c>
      <c r="G129" s="5" t="s">
        <v>59</v>
      </c>
      <c r="H129" s="5" t="s">
        <v>60</v>
      </c>
      <c r="I129" s="6" t="n">
        <v>0.1</v>
      </c>
      <c r="J129" s="7" t="n">
        <f aca="false">IF(I129="","",1/I129)</f>
        <v>10</v>
      </c>
      <c r="K129" s="8" t="n">
        <v>45.04</v>
      </c>
      <c r="L129" s="9" t="n">
        <v>-0.93</v>
      </c>
      <c r="M129" s="10" t="n">
        <v>-0.0202</v>
      </c>
      <c r="N129" s="8" t="n">
        <v>45.49</v>
      </c>
      <c r="O129" s="8" t="n">
        <v>44.33</v>
      </c>
      <c r="P129" s="8" t="n">
        <v>45.49</v>
      </c>
      <c r="Q129" s="8" t="n">
        <v>45.04</v>
      </c>
      <c r="R129" s="11" t="n">
        <v>22750</v>
      </c>
      <c r="S129" s="11" t="n">
        <f aca="false">K129*R129</f>
        <v>1024660</v>
      </c>
      <c r="T129" s="8" t="n">
        <v>19.0025</v>
      </c>
      <c r="U129" s="8" t="n">
        <v>51.84</v>
      </c>
      <c r="V129" s="12" t="n">
        <f aca="false">IF(U129-T129=0,"",(K129-T129)/(U129-T129))</f>
        <v>0.792919680243624</v>
      </c>
      <c r="W129" s="13" t="n">
        <f aca="false">IF(U129=0,"",K129/U129-1)</f>
        <v>-0.131172839506173</v>
      </c>
      <c r="X129" s="11"/>
      <c r="Y129" s="5" t="s">
        <v>253</v>
      </c>
      <c r="Z129" s="5" t="s">
        <v>254</v>
      </c>
      <c r="AA129" s="5" t="s">
        <v>251</v>
      </c>
      <c r="AB129" s="5"/>
      <c r="AC129" s="5" t="s">
        <v>505</v>
      </c>
      <c r="AD129" s="14" t="n">
        <v>46288.771875</v>
      </c>
    </row>
    <row r="130" customFormat="false" ht="15" hidden="false" customHeight="false" outlineLevel="0" collapsed="false">
      <c r="A130" s="5" t="s">
        <v>506</v>
      </c>
      <c r="B130" s="5" t="s">
        <v>507</v>
      </c>
      <c r="C130" s="5" t="s">
        <v>55</v>
      </c>
      <c r="D130" s="5" t="s">
        <v>56</v>
      </c>
      <c r="E130" s="5" t="s">
        <v>71</v>
      </c>
      <c r="F130" s="5" t="s">
        <v>72</v>
      </c>
      <c r="G130" s="5" t="s">
        <v>59</v>
      </c>
      <c r="H130" s="5" t="s">
        <v>86</v>
      </c>
      <c r="I130" s="6" t="n">
        <v>1</v>
      </c>
      <c r="J130" s="7" t="n">
        <f aca="false">IF(I130="","",1/I130)</f>
        <v>1</v>
      </c>
      <c r="K130" s="8" t="n">
        <v>73.47</v>
      </c>
      <c r="L130" s="9" t="n">
        <v>-0.53</v>
      </c>
      <c r="M130" s="10" t="n">
        <v>-0.0072</v>
      </c>
      <c r="N130" s="8" t="n">
        <v>73.86</v>
      </c>
      <c r="O130" s="8" t="n">
        <v>73.4</v>
      </c>
      <c r="P130" s="8" t="n">
        <v>74</v>
      </c>
      <c r="Q130" s="8" t="n">
        <v>73.47</v>
      </c>
      <c r="R130" s="11" t="n">
        <v>1146</v>
      </c>
      <c r="S130" s="11" t="n">
        <f aca="false">K130*R130</f>
        <v>84196.62</v>
      </c>
      <c r="T130" s="8" t="n">
        <v>51.75</v>
      </c>
      <c r="U130" s="8" t="n">
        <v>77.99</v>
      </c>
      <c r="V130" s="12" t="n">
        <f aca="false">IF(U130-T130=0,"",(K130-T130)/(U130-T130))</f>
        <v>0.827743902439025</v>
      </c>
      <c r="W130" s="13" t="n">
        <f aca="false">IF(U130=0,"",K130/U130-1)</f>
        <v>-0.0579561482241312</v>
      </c>
      <c r="X130" s="11" t="n">
        <v>1081728</v>
      </c>
      <c r="Y130" s="5" t="s">
        <v>71</v>
      </c>
      <c r="Z130" s="5" t="s">
        <v>73</v>
      </c>
      <c r="AA130" s="5" t="s">
        <v>72</v>
      </c>
      <c r="AB130" s="5"/>
      <c r="AC130" s="5" t="s">
        <v>508</v>
      </c>
      <c r="AD130" s="14" t="n">
        <v>46288.771875</v>
      </c>
    </row>
    <row r="131" customFormat="false" ht="15" hidden="false" customHeight="false" outlineLevel="0" collapsed="false">
      <c r="A131" s="5" t="s">
        <v>509</v>
      </c>
      <c r="B131" s="5" t="s">
        <v>510</v>
      </c>
      <c r="C131" s="5" t="s">
        <v>248</v>
      </c>
      <c r="D131" s="5" t="s">
        <v>249</v>
      </c>
      <c r="E131" s="5" t="s">
        <v>250</v>
      </c>
      <c r="F131" s="5" t="s">
        <v>251</v>
      </c>
      <c r="G131" s="5" t="s">
        <v>59</v>
      </c>
      <c r="H131" s="5" t="s">
        <v>60</v>
      </c>
      <c r="I131" s="6" t="n">
        <v>0.125</v>
      </c>
      <c r="J131" s="7" t="n">
        <f aca="false">IF(I131="","",1/I131)</f>
        <v>8</v>
      </c>
      <c r="K131" s="8" t="n">
        <v>36.49</v>
      </c>
      <c r="L131" s="9" t="n">
        <v>-0.27</v>
      </c>
      <c r="M131" s="10" t="n">
        <v>-0.0073</v>
      </c>
      <c r="N131" s="8" t="n">
        <v>36.72</v>
      </c>
      <c r="O131" s="8" t="n">
        <v>36.48</v>
      </c>
      <c r="P131" s="8" t="n">
        <v>37.27</v>
      </c>
      <c r="Q131" s="8" t="n">
        <v>36.49</v>
      </c>
      <c r="R131" s="11" t="n">
        <v>5144</v>
      </c>
      <c r="S131" s="11" t="n">
        <f aca="false">K131*R131</f>
        <v>187704.56</v>
      </c>
      <c r="T131" s="8" t="n">
        <v>33.03</v>
      </c>
      <c r="U131" s="8" t="n">
        <v>49.18</v>
      </c>
      <c r="V131" s="12" t="n">
        <f aca="false">IF(U131-T131=0,"",(K131-T131)/(U131-T131))</f>
        <v>0.214241486068112</v>
      </c>
      <c r="W131" s="13" t="n">
        <f aca="false">IF(U131=0,"",K131/U131-1)</f>
        <v>-0.258031720211468</v>
      </c>
      <c r="X131" s="11"/>
      <c r="Y131" s="5" t="s">
        <v>253</v>
      </c>
      <c r="Z131" s="5" t="s">
        <v>254</v>
      </c>
      <c r="AA131" s="5" t="s">
        <v>251</v>
      </c>
      <c r="AB131" s="5"/>
      <c r="AC131" s="5" t="s">
        <v>511</v>
      </c>
      <c r="AD131" s="14" t="n">
        <v>46288.771875</v>
      </c>
    </row>
    <row r="132" customFormat="false" ht="15" hidden="false" customHeight="false" outlineLevel="0" collapsed="false">
      <c r="A132" s="5" t="s">
        <v>512</v>
      </c>
      <c r="B132" s="5" t="s">
        <v>513</v>
      </c>
      <c r="C132" s="5" t="s">
        <v>248</v>
      </c>
      <c r="D132" s="5" t="s">
        <v>249</v>
      </c>
      <c r="E132" s="5" t="s">
        <v>250</v>
      </c>
      <c r="F132" s="5" t="s">
        <v>251</v>
      </c>
      <c r="G132" s="5" t="s">
        <v>59</v>
      </c>
      <c r="H132" s="5" t="s">
        <v>60</v>
      </c>
      <c r="I132" s="6" t="n">
        <v>0.1</v>
      </c>
      <c r="J132" s="7" t="n">
        <f aca="false">IF(I132="","",1/I132)</f>
        <v>10</v>
      </c>
      <c r="K132" s="8" t="n">
        <v>64.68</v>
      </c>
      <c r="L132" s="9" t="n">
        <v>-0.35</v>
      </c>
      <c r="M132" s="10" t="n">
        <v>-0.0054</v>
      </c>
      <c r="N132" s="8" t="n">
        <v>64.68</v>
      </c>
      <c r="O132" s="8" t="n">
        <v>64.68</v>
      </c>
      <c r="P132" s="8" t="n">
        <v>64.68</v>
      </c>
      <c r="Q132" s="8" t="n">
        <v>64.68</v>
      </c>
      <c r="R132" s="11" t="n">
        <v>3</v>
      </c>
      <c r="S132" s="11" t="n">
        <f aca="false">K132*R132</f>
        <v>194.04</v>
      </c>
      <c r="T132" s="8" t="n">
        <v>59.19</v>
      </c>
      <c r="U132" s="8" t="n">
        <v>71.55</v>
      </c>
      <c r="V132" s="12" t="n">
        <f aca="false">IF(U132-T132=0,"",(K132-T132)/(U132-T132))</f>
        <v>0.444174757281554</v>
      </c>
      <c r="W132" s="13" t="n">
        <f aca="false">IF(U132=0,"",K132/U132-1)</f>
        <v>-0.0960167714884694</v>
      </c>
      <c r="X132" s="11"/>
      <c r="Y132" s="5" t="s">
        <v>253</v>
      </c>
      <c r="Z132" s="5" t="s">
        <v>254</v>
      </c>
      <c r="AA132" s="5" t="s">
        <v>251</v>
      </c>
      <c r="AB132" s="5"/>
      <c r="AC132" s="5" t="s">
        <v>514</v>
      </c>
      <c r="AD132" s="14" t="n">
        <v>46288.771875</v>
      </c>
    </row>
    <row r="133" customFormat="false" ht="15" hidden="false" customHeight="false" outlineLevel="0" collapsed="false">
      <c r="A133" s="5" t="s">
        <v>515</v>
      </c>
      <c r="B133" s="5" t="s">
        <v>516</v>
      </c>
      <c r="C133" s="5" t="s">
        <v>248</v>
      </c>
      <c r="D133" s="5" t="s">
        <v>249</v>
      </c>
      <c r="E133" s="5" t="s">
        <v>250</v>
      </c>
      <c r="F133" s="5" t="s">
        <v>251</v>
      </c>
      <c r="G133" s="5" t="s">
        <v>59</v>
      </c>
      <c r="H133" s="5" t="s">
        <v>60</v>
      </c>
      <c r="I133" s="6" t="n">
        <v>0.333333</v>
      </c>
      <c r="J133" s="7" t="n">
        <f aca="false">IF(I133="","",1/I133)</f>
        <v>3.000003000003</v>
      </c>
      <c r="K133" s="8" t="n">
        <v>58.2</v>
      </c>
      <c r="L133" s="9" t="n">
        <v>-0.09</v>
      </c>
      <c r="M133" s="10" t="n">
        <v>-0.0015</v>
      </c>
      <c r="N133" s="8" t="n">
        <v>58.2</v>
      </c>
      <c r="O133" s="8" t="n">
        <v>58.2</v>
      </c>
      <c r="P133" s="8" t="n">
        <v>58.2</v>
      </c>
      <c r="Q133" s="8" t="n">
        <v>58.2</v>
      </c>
      <c r="R133" s="11" t="n">
        <v>20</v>
      </c>
      <c r="S133" s="11" t="n">
        <f aca="false">K133*R133</f>
        <v>1164</v>
      </c>
      <c r="T133" s="8" t="n">
        <v>51.29</v>
      </c>
      <c r="U133" s="8" t="n">
        <v>71.6</v>
      </c>
      <c r="V133" s="12" t="n">
        <f aca="false">IF(U133-T133=0,"",(K133-T133)/(U133-T133))</f>
        <v>0.340226489414082</v>
      </c>
      <c r="W133" s="13" t="n">
        <f aca="false">IF(U133=0,"",K133/U133-1)</f>
        <v>-0.187150837988827</v>
      </c>
      <c r="X133" s="11"/>
      <c r="Y133" s="5" t="s">
        <v>253</v>
      </c>
      <c r="Z133" s="5" t="s">
        <v>254</v>
      </c>
      <c r="AA133" s="5" t="s">
        <v>251</v>
      </c>
      <c r="AB133" s="5"/>
      <c r="AC133" s="5" t="s">
        <v>517</v>
      </c>
      <c r="AD133" s="14" t="n">
        <v>46288.771875</v>
      </c>
    </row>
    <row r="134" customFormat="false" ht="15" hidden="false" customHeight="false" outlineLevel="0" collapsed="false">
      <c r="A134" s="5" t="s">
        <v>518</v>
      </c>
      <c r="B134" s="5" t="s">
        <v>519</v>
      </c>
      <c r="C134" s="5" t="s">
        <v>248</v>
      </c>
      <c r="D134" s="5" t="s">
        <v>249</v>
      </c>
      <c r="E134" s="5" t="s">
        <v>250</v>
      </c>
      <c r="F134" s="5" t="s">
        <v>251</v>
      </c>
      <c r="G134" s="5" t="s">
        <v>59</v>
      </c>
      <c r="H134" s="5" t="s">
        <v>60</v>
      </c>
      <c r="I134" s="6" t="n">
        <v>0.5</v>
      </c>
      <c r="J134" s="7" t="n">
        <f aca="false">IF(I134="","",1/I134)</f>
        <v>2</v>
      </c>
      <c r="K134" s="8" t="n">
        <v>49.48</v>
      </c>
      <c r="L134" s="9" t="n">
        <v>-0.12</v>
      </c>
      <c r="M134" s="10" t="n">
        <v>-0.0024</v>
      </c>
      <c r="N134" s="8" t="n">
        <v>49.55</v>
      </c>
      <c r="O134" s="8" t="n">
        <v>49.48</v>
      </c>
      <c r="P134" s="8" t="n">
        <v>49.55</v>
      </c>
      <c r="Q134" s="8" t="n">
        <v>49.48</v>
      </c>
      <c r="R134" s="11" t="n">
        <v>11</v>
      </c>
      <c r="S134" s="11" t="n">
        <f aca="false">K134*R134</f>
        <v>544.28</v>
      </c>
      <c r="T134" s="8" t="n">
        <v>44.19</v>
      </c>
      <c r="U134" s="8" t="n">
        <v>54</v>
      </c>
      <c r="V134" s="12" t="n">
        <f aca="false">IF(U134-T134=0,"",(K134-T134)/(U134-T134))</f>
        <v>0.539245667686034</v>
      </c>
      <c r="W134" s="13" t="n">
        <f aca="false">IF(U134=0,"",K134/U134-1)</f>
        <v>-0.0837037037037037</v>
      </c>
      <c r="X134" s="11"/>
      <c r="Y134" s="5" t="s">
        <v>253</v>
      </c>
      <c r="Z134" s="5" t="s">
        <v>254</v>
      </c>
      <c r="AA134" s="5" t="s">
        <v>251</v>
      </c>
      <c r="AB134" s="5"/>
      <c r="AC134" s="5" t="s">
        <v>520</v>
      </c>
      <c r="AD134" s="14" t="n">
        <v>46288.771875</v>
      </c>
    </row>
    <row r="135" customFormat="false" ht="15" hidden="false" customHeight="false" outlineLevel="0" collapsed="false">
      <c r="A135" s="5" t="s">
        <v>521</v>
      </c>
      <c r="B135" s="5" t="s">
        <v>522</v>
      </c>
      <c r="C135" s="5" t="s">
        <v>248</v>
      </c>
      <c r="D135" s="5" t="s">
        <v>249</v>
      </c>
      <c r="E135" s="5" t="s">
        <v>250</v>
      </c>
      <c r="F135" s="5" t="s">
        <v>251</v>
      </c>
      <c r="G135" s="5" t="s">
        <v>59</v>
      </c>
      <c r="H135" s="5" t="s">
        <v>60</v>
      </c>
      <c r="I135" s="6" t="n">
        <v>0.333333333</v>
      </c>
      <c r="J135" s="7" t="n">
        <f aca="false">IF(I135="","",1/I135)</f>
        <v>3.000000003</v>
      </c>
      <c r="K135" s="8" t="n">
        <v>61.07</v>
      </c>
      <c r="L135" s="9" t="n">
        <v>0.17</v>
      </c>
      <c r="M135" s="10" t="n">
        <v>0.0028</v>
      </c>
      <c r="N135" s="8" t="n">
        <v>61.07</v>
      </c>
      <c r="O135" s="8" t="n">
        <v>61.07</v>
      </c>
      <c r="P135" s="8" t="n">
        <v>61.07</v>
      </c>
      <c r="Q135" s="8" t="n">
        <v>61.07</v>
      </c>
      <c r="R135" s="11" t="n">
        <v>1</v>
      </c>
      <c r="S135" s="11" t="n">
        <f aca="false">K135*R135</f>
        <v>61.07</v>
      </c>
      <c r="T135" s="8" t="n">
        <v>53.5</v>
      </c>
      <c r="U135" s="8" t="n">
        <v>61.86</v>
      </c>
      <c r="V135" s="12" t="n">
        <f aca="false">IF(U135-T135=0,"",(K135-T135)/(U135-T135))</f>
        <v>0.905502392344498</v>
      </c>
      <c r="W135" s="13" t="n">
        <f aca="false">IF(U135=0,"",K135/U135-1)</f>
        <v>-0.0127707727125768</v>
      </c>
      <c r="X135" s="11"/>
      <c r="Y135" s="5" t="s">
        <v>253</v>
      </c>
      <c r="Z135" s="5" t="s">
        <v>254</v>
      </c>
      <c r="AA135" s="5" t="s">
        <v>251</v>
      </c>
      <c r="AB135" s="5"/>
      <c r="AC135" s="5" t="s">
        <v>523</v>
      </c>
      <c r="AD135" s="14" t="n">
        <v>46288.771875</v>
      </c>
    </row>
    <row r="136" customFormat="false" ht="15" hidden="false" customHeight="false" outlineLevel="0" collapsed="false">
      <c r="A136" s="5" t="s">
        <v>524</v>
      </c>
      <c r="B136" s="5" t="s">
        <v>525</v>
      </c>
      <c r="C136" s="5" t="s">
        <v>248</v>
      </c>
      <c r="D136" s="5" t="s">
        <v>249</v>
      </c>
      <c r="E136" s="5" t="s">
        <v>250</v>
      </c>
      <c r="F136" s="5" t="s">
        <v>251</v>
      </c>
      <c r="G136" s="5" t="s">
        <v>59</v>
      </c>
      <c r="H136" s="5" t="s">
        <v>60</v>
      </c>
      <c r="I136" s="6" t="n">
        <v>0.1</v>
      </c>
      <c r="J136" s="7" t="n">
        <f aca="false">IF(I136="","",1/I136)</f>
        <v>10</v>
      </c>
      <c r="K136" s="8" t="n">
        <v>80.25</v>
      </c>
      <c r="L136" s="9" t="n">
        <v>0.18</v>
      </c>
      <c r="M136" s="10" t="n">
        <v>0.0022</v>
      </c>
      <c r="N136" s="8" t="n">
        <v>80</v>
      </c>
      <c r="O136" s="8" t="n">
        <v>80</v>
      </c>
      <c r="P136" s="8" t="n">
        <v>80.25</v>
      </c>
      <c r="Q136" s="8" t="n">
        <v>80.25</v>
      </c>
      <c r="R136" s="11" t="n">
        <v>45</v>
      </c>
      <c r="S136" s="11" t="n">
        <f aca="false">K136*R136</f>
        <v>3611.25</v>
      </c>
      <c r="T136" s="8" t="n">
        <v>73.5</v>
      </c>
      <c r="U136" s="8" t="n">
        <v>92.63</v>
      </c>
      <c r="V136" s="12" t="n">
        <f aca="false">IF(U136-T136=0,"",(K136-T136)/(U136-T136))</f>
        <v>0.352848928384736</v>
      </c>
      <c r="W136" s="13" t="n">
        <f aca="false">IF(U136=0,"",K136/U136-1)</f>
        <v>-0.133650005397819</v>
      </c>
      <c r="X136" s="11"/>
      <c r="Y136" s="5" t="s">
        <v>253</v>
      </c>
      <c r="Z136" s="5" t="s">
        <v>254</v>
      </c>
      <c r="AA136" s="5" t="s">
        <v>251</v>
      </c>
      <c r="AB136" s="5"/>
      <c r="AC136" s="5" t="s">
        <v>526</v>
      </c>
      <c r="AD136" s="14" t="n">
        <v>46288.771875</v>
      </c>
    </row>
    <row r="137" customFormat="false" ht="15" hidden="false" customHeight="false" outlineLevel="0" collapsed="false">
      <c r="A137" s="5" t="s">
        <v>527</v>
      </c>
      <c r="B137" s="5" t="s">
        <v>528</v>
      </c>
      <c r="C137" s="5" t="s">
        <v>248</v>
      </c>
      <c r="D137" s="5" t="s">
        <v>249</v>
      </c>
      <c r="E137" s="5" t="s">
        <v>250</v>
      </c>
      <c r="F137" s="5" t="s">
        <v>251</v>
      </c>
      <c r="G137" s="5" t="s">
        <v>59</v>
      </c>
      <c r="H137" s="5" t="s">
        <v>60</v>
      </c>
      <c r="I137" s="6" t="n">
        <v>0.3333333</v>
      </c>
      <c r="J137" s="7" t="n">
        <f aca="false">IF(I137="","",1/I137)</f>
        <v>3.00000030000003</v>
      </c>
      <c r="K137" s="8" t="n">
        <v>68.39</v>
      </c>
      <c r="L137" s="9" t="n">
        <v>0.14</v>
      </c>
      <c r="M137" s="10" t="n">
        <v>0.0021</v>
      </c>
      <c r="N137" s="8" t="n">
        <v>68.39</v>
      </c>
      <c r="O137" s="8" t="n">
        <v>68.39</v>
      </c>
      <c r="P137" s="8" t="n">
        <v>68.39</v>
      </c>
      <c r="Q137" s="8" t="n">
        <v>68.39</v>
      </c>
      <c r="R137" s="11" t="n">
        <v>70</v>
      </c>
      <c r="S137" s="11" t="n">
        <f aca="false">K137*R137</f>
        <v>4787.3</v>
      </c>
      <c r="T137" s="8" t="n">
        <v>59.28</v>
      </c>
      <c r="U137" s="8" t="n">
        <v>83.76</v>
      </c>
      <c r="V137" s="12" t="n">
        <f aca="false">IF(U137-T137=0,"",(K137-T137)/(U137-T137))</f>
        <v>0.372140522875817</v>
      </c>
      <c r="W137" s="13" t="n">
        <f aca="false">IF(U137=0,"",K137/U137-1)</f>
        <v>-0.183500477554919</v>
      </c>
      <c r="X137" s="11"/>
      <c r="Y137" s="5" t="s">
        <v>253</v>
      </c>
      <c r="Z137" s="5" t="s">
        <v>254</v>
      </c>
      <c r="AA137" s="5" t="s">
        <v>251</v>
      </c>
      <c r="AB137" s="5"/>
      <c r="AC137" s="5" t="s">
        <v>529</v>
      </c>
      <c r="AD137" s="14" t="n">
        <v>46288.771875</v>
      </c>
    </row>
    <row r="138" customFormat="false" ht="15" hidden="false" customHeight="false" outlineLevel="0" collapsed="false">
      <c r="A138" s="5" t="s">
        <v>530</v>
      </c>
      <c r="B138" s="5" t="s">
        <v>531</v>
      </c>
      <c r="C138" s="5" t="s">
        <v>248</v>
      </c>
      <c r="D138" s="5" t="s">
        <v>249</v>
      </c>
      <c r="E138" s="5" t="s">
        <v>250</v>
      </c>
      <c r="F138" s="5" t="s">
        <v>251</v>
      </c>
      <c r="G138" s="5" t="s">
        <v>59</v>
      </c>
      <c r="H138" s="5" t="s">
        <v>60</v>
      </c>
      <c r="I138" s="6" t="n">
        <v>0.166667</v>
      </c>
      <c r="J138" s="7" t="n">
        <f aca="false">IF(I138="","",1/I138)</f>
        <v>5.999988000024</v>
      </c>
      <c r="K138" s="8" t="n">
        <v>58.33</v>
      </c>
      <c r="L138" s="9" t="n">
        <v>-0.39</v>
      </c>
      <c r="M138" s="10" t="n">
        <v>-0.0066</v>
      </c>
      <c r="N138" s="8" t="n">
        <v>58.48</v>
      </c>
      <c r="O138" s="8" t="n">
        <v>58.21</v>
      </c>
      <c r="P138" s="8" t="n">
        <v>58.48</v>
      </c>
      <c r="Q138" s="8" t="n">
        <v>58.33</v>
      </c>
      <c r="R138" s="11" t="n">
        <v>634</v>
      </c>
      <c r="S138" s="11" t="n">
        <f aca="false">K138*R138</f>
        <v>36981.22</v>
      </c>
      <c r="T138" s="8" t="n">
        <v>46.76</v>
      </c>
      <c r="U138" s="8" t="n">
        <v>62.57</v>
      </c>
      <c r="V138" s="12" t="n">
        <f aca="false">IF(U138-T138=0,"",(K138-T138)/(U138-T138))</f>
        <v>0.731815306767868</v>
      </c>
      <c r="W138" s="13" t="n">
        <f aca="false">IF(U138=0,"",K138/U138-1)</f>
        <v>-0.0677641042032924</v>
      </c>
      <c r="X138" s="11"/>
      <c r="Y138" s="5" t="s">
        <v>253</v>
      </c>
      <c r="Z138" s="5" t="s">
        <v>254</v>
      </c>
      <c r="AA138" s="5" t="s">
        <v>251</v>
      </c>
      <c r="AB138" s="5"/>
      <c r="AC138" s="5" t="s">
        <v>532</v>
      </c>
      <c r="AD138" s="14" t="n">
        <v>46288.771875</v>
      </c>
    </row>
    <row r="139" customFormat="false" ht="15" hidden="false" customHeight="false" outlineLevel="0" collapsed="false">
      <c r="A139" s="5" t="s">
        <v>533</v>
      </c>
      <c r="B139" s="5" t="s">
        <v>534</v>
      </c>
      <c r="C139" s="5" t="s">
        <v>248</v>
      </c>
      <c r="D139" s="5" t="s">
        <v>249</v>
      </c>
      <c r="E139" s="5" t="s">
        <v>250</v>
      </c>
      <c r="F139" s="5" t="s">
        <v>251</v>
      </c>
      <c r="G139" s="5" t="s">
        <v>59</v>
      </c>
      <c r="H139" s="5" t="s">
        <v>60</v>
      </c>
      <c r="I139" s="6" t="n">
        <v>0.125</v>
      </c>
      <c r="J139" s="7" t="n">
        <f aca="false">IF(I139="","",1/I139)</f>
        <v>8</v>
      </c>
      <c r="K139" s="8" t="n">
        <v>67.83</v>
      </c>
      <c r="L139" s="9" t="n">
        <v>-0.28</v>
      </c>
      <c r="M139" s="10" t="n">
        <v>-0.0041</v>
      </c>
      <c r="N139" s="8" t="n">
        <v>67.86</v>
      </c>
      <c r="O139" s="8" t="n">
        <v>67.83</v>
      </c>
      <c r="P139" s="8" t="n">
        <v>67.86</v>
      </c>
      <c r="Q139" s="8" t="n">
        <v>67.83</v>
      </c>
      <c r="R139" s="11" t="n">
        <v>40</v>
      </c>
      <c r="S139" s="11" t="n">
        <f aca="false">K139*R139</f>
        <v>2713.2</v>
      </c>
      <c r="T139" s="8" t="n">
        <v>61.32</v>
      </c>
      <c r="U139" s="8" t="n">
        <v>71.07</v>
      </c>
      <c r="V139" s="12" t="n">
        <f aca="false">IF(U139-T139=0,"",(K139-T139)/(U139-T139))</f>
        <v>0.667692307692308</v>
      </c>
      <c r="W139" s="13" t="n">
        <f aca="false">IF(U139=0,"",K139/U139-1)</f>
        <v>-0.0455888560574081</v>
      </c>
      <c r="X139" s="11"/>
      <c r="Y139" s="5" t="s">
        <v>253</v>
      </c>
      <c r="Z139" s="5" t="s">
        <v>254</v>
      </c>
      <c r="AA139" s="5" t="s">
        <v>251</v>
      </c>
      <c r="AB139" s="5"/>
      <c r="AC139" s="5" t="s">
        <v>535</v>
      </c>
      <c r="AD139" s="14" t="n">
        <v>46288.771875</v>
      </c>
    </row>
    <row r="140" customFormat="false" ht="15" hidden="false" customHeight="false" outlineLevel="0" collapsed="false">
      <c r="A140" s="5" t="s">
        <v>536</v>
      </c>
      <c r="B140" s="5" t="s">
        <v>537</v>
      </c>
      <c r="C140" s="5" t="s">
        <v>248</v>
      </c>
      <c r="D140" s="5" t="s">
        <v>249</v>
      </c>
      <c r="E140" s="5" t="s">
        <v>250</v>
      </c>
      <c r="F140" s="5" t="s">
        <v>251</v>
      </c>
      <c r="G140" s="5" t="s">
        <v>59</v>
      </c>
      <c r="H140" s="5" t="s">
        <v>60</v>
      </c>
      <c r="I140" s="6" t="n">
        <v>0.1</v>
      </c>
      <c r="J140" s="7" t="n">
        <f aca="false">IF(I140="","",1/I140)</f>
        <v>10</v>
      </c>
      <c r="K140" s="8" t="n">
        <v>62.17</v>
      </c>
      <c r="L140" s="9" t="n">
        <v>-0.26</v>
      </c>
      <c r="M140" s="10" t="n">
        <v>-0.0042</v>
      </c>
      <c r="N140" s="8" t="n">
        <v>62.17</v>
      </c>
      <c r="O140" s="8" t="n">
        <v>62.17</v>
      </c>
      <c r="P140" s="8" t="n">
        <v>62.17</v>
      </c>
      <c r="Q140" s="8" t="n">
        <v>62.17</v>
      </c>
      <c r="R140" s="11" t="n">
        <v>34</v>
      </c>
      <c r="S140" s="11" t="n">
        <f aca="false">K140*R140</f>
        <v>2113.78</v>
      </c>
      <c r="T140" s="8" t="n">
        <v>58.27</v>
      </c>
      <c r="U140" s="8" t="n">
        <v>66.65</v>
      </c>
      <c r="V140" s="12" t="n">
        <f aca="false">IF(U140-T140=0,"",(K140-T140)/(U140-T140))</f>
        <v>0.465393794749403</v>
      </c>
      <c r="W140" s="13" t="n">
        <f aca="false">IF(U140=0,"",K140/U140-1)</f>
        <v>-0.0672168042010504</v>
      </c>
      <c r="X140" s="11"/>
      <c r="Y140" s="5" t="s">
        <v>253</v>
      </c>
      <c r="Z140" s="5" t="s">
        <v>254</v>
      </c>
      <c r="AA140" s="5" t="s">
        <v>251</v>
      </c>
      <c r="AB140" s="5"/>
      <c r="AC140" s="5" t="s">
        <v>538</v>
      </c>
      <c r="AD140" s="14" t="n">
        <v>46288.771875</v>
      </c>
    </row>
    <row r="141" customFormat="false" ht="15" hidden="false" customHeight="false" outlineLevel="0" collapsed="false">
      <c r="A141" s="5" t="s">
        <v>539</v>
      </c>
      <c r="B141" s="5" t="s">
        <v>540</v>
      </c>
      <c r="C141" s="5" t="s">
        <v>248</v>
      </c>
      <c r="D141" s="5" t="s">
        <v>249</v>
      </c>
      <c r="E141" s="5" t="s">
        <v>250</v>
      </c>
      <c r="F141" s="5" t="s">
        <v>251</v>
      </c>
      <c r="G141" s="5" t="s">
        <v>59</v>
      </c>
      <c r="H141" s="5" t="s">
        <v>60</v>
      </c>
      <c r="I141" s="6" t="n">
        <v>0.1666667</v>
      </c>
      <c r="J141" s="7" t="n">
        <f aca="false">IF(I141="","",1/I141)</f>
        <v>5.99999880000024</v>
      </c>
      <c r="K141" s="8" t="n">
        <v>69.06</v>
      </c>
      <c r="L141" s="9" t="n">
        <v>-0.16</v>
      </c>
      <c r="M141" s="10" t="n">
        <v>-0.0023</v>
      </c>
      <c r="N141" s="8" t="n">
        <v>69.19</v>
      </c>
      <c r="O141" s="8" t="n">
        <v>69.06</v>
      </c>
      <c r="P141" s="8" t="n">
        <v>69.19</v>
      </c>
      <c r="Q141" s="8" t="n">
        <v>69.16</v>
      </c>
      <c r="R141" s="11" t="n">
        <v>1205</v>
      </c>
      <c r="S141" s="11" t="n">
        <f aca="false">K141*R141</f>
        <v>83217.3</v>
      </c>
      <c r="T141" s="8" t="n">
        <v>59.39</v>
      </c>
      <c r="U141" s="8" t="n">
        <v>71.7</v>
      </c>
      <c r="V141" s="12" t="n">
        <f aca="false">IF(U141-T141=0,"",(K141-T141)/(U141-T141))</f>
        <v>0.785540211210398</v>
      </c>
      <c r="W141" s="13" t="n">
        <f aca="false">IF(U141=0,"",K141/U141-1)</f>
        <v>-0.0368200836820084</v>
      </c>
      <c r="X141" s="11"/>
      <c r="Y141" s="5" t="s">
        <v>253</v>
      </c>
      <c r="Z141" s="5" t="s">
        <v>254</v>
      </c>
      <c r="AA141" s="5" t="s">
        <v>251</v>
      </c>
      <c r="AB141" s="5"/>
      <c r="AC141" s="5" t="s">
        <v>541</v>
      </c>
      <c r="AD141" s="14" t="n">
        <v>46288.771875</v>
      </c>
    </row>
    <row r="142" customFormat="false" ht="15" hidden="false" customHeight="false" outlineLevel="0" collapsed="false">
      <c r="A142" s="5" t="s">
        <v>542</v>
      </c>
      <c r="B142" s="5" t="s">
        <v>543</v>
      </c>
      <c r="C142" s="5" t="s">
        <v>248</v>
      </c>
      <c r="D142" s="5" t="s">
        <v>249</v>
      </c>
      <c r="E142" s="5" t="s">
        <v>250</v>
      </c>
      <c r="F142" s="5" t="s">
        <v>251</v>
      </c>
      <c r="G142" s="5" t="s">
        <v>59</v>
      </c>
      <c r="H142" s="5" t="s">
        <v>60</v>
      </c>
      <c r="I142" s="6" t="n">
        <v>0.125</v>
      </c>
      <c r="J142" s="7" t="n">
        <f aca="false">IF(I142="","",1/I142)</f>
        <v>8</v>
      </c>
      <c r="K142" s="8" t="n">
        <v>67.34</v>
      </c>
      <c r="L142" s="9" t="n">
        <v>0.21</v>
      </c>
      <c r="M142" s="10" t="n">
        <v>0.0031</v>
      </c>
      <c r="N142" s="8" t="n">
        <v>67.34</v>
      </c>
      <c r="O142" s="8" t="n">
        <v>67.34</v>
      </c>
      <c r="P142" s="8" t="n">
        <v>67.34</v>
      </c>
      <c r="Q142" s="8" t="n">
        <v>67.34</v>
      </c>
      <c r="R142" s="11" t="n">
        <v>3</v>
      </c>
      <c r="S142" s="11" t="n">
        <f aca="false">K142*R142</f>
        <v>202.02</v>
      </c>
      <c r="T142" s="8" t="n">
        <v>61.2</v>
      </c>
      <c r="U142" s="8" t="n">
        <v>69.3</v>
      </c>
      <c r="V142" s="12" t="n">
        <f aca="false">IF(U142-T142=0,"",(K142-T142)/(U142-T142))</f>
        <v>0.758024691358025</v>
      </c>
      <c r="W142" s="13" t="n">
        <f aca="false">IF(U142=0,"",K142/U142-1)</f>
        <v>-0.0282828282828282</v>
      </c>
      <c r="X142" s="11"/>
      <c r="Y142" s="5" t="s">
        <v>253</v>
      </c>
      <c r="Z142" s="5" t="s">
        <v>254</v>
      </c>
      <c r="AA142" s="5" t="s">
        <v>251</v>
      </c>
      <c r="AB142" s="5"/>
      <c r="AC142" s="5" t="s">
        <v>544</v>
      </c>
      <c r="AD142" s="14" t="n">
        <v>46288.771875</v>
      </c>
    </row>
    <row r="143" customFormat="false" ht="15" hidden="false" customHeight="false" outlineLevel="0" collapsed="false">
      <c r="A143" s="5" t="s">
        <v>545</v>
      </c>
      <c r="B143" s="5" t="s">
        <v>546</v>
      </c>
      <c r="C143" s="5" t="s">
        <v>248</v>
      </c>
      <c r="D143" s="5" t="s">
        <v>249</v>
      </c>
      <c r="E143" s="5" t="s">
        <v>250</v>
      </c>
      <c r="F143" s="5" t="s">
        <v>251</v>
      </c>
      <c r="G143" s="5" t="s">
        <v>59</v>
      </c>
      <c r="H143" s="5" t="s">
        <v>60</v>
      </c>
      <c r="I143" s="6" t="n">
        <v>0.1</v>
      </c>
      <c r="J143" s="7" t="n">
        <f aca="false">IF(I143="","",1/I143)</f>
        <v>10</v>
      </c>
      <c r="K143" s="8" t="n">
        <v>84.51</v>
      </c>
      <c r="L143" s="9" t="n">
        <v>-0.98</v>
      </c>
      <c r="M143" s="10" t="n">
        <v>-0.0115</v>
      </c>
      <c r="N143" s="8" t="n">
        <v>84.51</v>
      </c>
      <c r="O143" s="8" t="n">
        <v>84.51</v>
      </c>
      <c r="P143" s="8" t="n">
        <v>84.51</v>
      </c>
      <c r="Q143" s="8" t="n">
        <v>84.51</v>
      </c>
      <c r="R143" s="11" t="n">
        <v>35</v>
      </c>
      <c r="S143" s="11" t="n">
        <f aca="false">K143*R143</f>
        <v>2957.85</v>
      </c>
      <c r="T143" s="8" t="n">
        <v>72.05</v>
      </c>
      <c r="U143" s="8" t="n">
        <v>88.29</v>
      </c>
      <c r="V143" s="12" t="n">
        <f aca="false">IF(U143-T143=0,"",(K143-T143)/(U143-T143))</f>
        <v>0.767241379310345</v>
      </c>
      <c r="W143" s="13" t="n">
        <f aca="false">IF(U143=0,"",K143/U143-1)</f>
        <v>-0.0428134556574924</v>
      </c>
      <c r="X143" s="11"/>
      <c r="Y143" s="5" t="s">
        <v>253</v>
      </c>
      <c r="Z143" s="5" t="s">
        <v>254</v>
      </c>
      <c r="AA143" s="5" t="s">
        <v>251</v>
      </c>
      <c r="AB143" s="5"/>
      <c r="AC143" s="5" t="s">
        <v>547</v>
      </c>
      <c r="AD143" s="14" t="n">
        <v>46288.771875</v>
      </c>
    </row>
    <row r="144" customFormat="false" ht="15" hidden="false" customHeight="false" outlineLevel="0" collapsed="false">
      <c r="A144" s="5" t="s">
        <v>548</v>
      </c>
      <c r="B144" s="5" t="s">
        <v>549</v>
      </c>
      <c r="C144" s="5" t="s">
        <v>248</v>
      </c>
      <c r="D144" s="5" t="s">
        <v>249</v>
      </c>
      <c r="E144" s="5" t="s">
        <v>250</v>
      </c>
      <c r="F144" s="5" t="s">
        <v>251</v>
      </c>
      <c r="G144" s="5" t="s">
        <v>59</v>
      </c>
      <c r="H144" s="5" t="s">
        <v>60</v>
      </c>
      <c r="I144" s="6" t="n">
        <v>0.1</v>
      </c>
      <c r="J144" s="7" t="n">
        <f aca="false">IF(I144="","",1/I144)</f>
        <v>10</v>
      </c>
      <c r="K144" s="8" t="n">
        <v>64.12</v>
      </c>
      <c r="L144" s="9" t="n">
        <v>1.84</v>
      </c>
      <c r="M144" s="10" t="n">
        <v>0.0295</v>
      </c>
      <c r="N144" s="8" t="n">
        <v>64.68</v>
      </c>
      <c r="O144" s="8" t="n">
        <v>64.12</v>
      </c>
      <c r="P144" s="8" t="n">
        <v>64.68</v>
      </c>
      <c r="Q144" s="8" t="n">
        <v>64.12</v>
      </c>
      <c r="R144" s="11" t="n">
        <v>18</v>
      </c>
      <c r="S144" s="11" t="n">
        <f aca="false">K144*R144</f>
        <v>1154.16</v>
      </c>
      <c r="T144" s="8" t="n">
        <v>54.6</v>
      </c>
      <c r="U144" s="8" t="n">
        <v>71.01</v>
      </c>
      <c r="V144" s="12" t="n">
        <f aca="false">IF(U144-T144=0,"",(K144-T144)/(U144-T144))</f>
        <v>0.580134064594759</v>
      </c>
      <c r="W144" s="13" t="n">
        <f aca="false">IF(U144=0,"",K144/U144-1)</f>
        <v>-0.0970285875228841</v>
      </c>
      <c r="X144" s="11"/>
      <c r="Y144" s="5" t="s">
        <v>253</v>
      </c>
      <c r="Z144" s="5" t="s">
        <v>254</v>
      </c>
      <c r="AA144" s="5" t="s">
        <v>251</v>
      </c>
      <c r="AB144" s="5"/>
      <c r="AC144" s="5" t="s">
        <v>550</v>
      </c>
      <c r="AD144" s="14" t="n">
        <v>46288.771875</v>
      </c>
    </row>
    <row r="145" customFormat="false" ht="15" hidden="false" customHeight="false" outlineLevel="0" collapsed="false">
      <c r="A145" s="5" t="s">
        <v>551</v>
      </c>
      <c r="B145" s="5" t="s">
        <v>552</v>
      </c>
      <c r="C145" s="5" t="s">
        <v>248</v>
      </c>
      <c r="D145" s="5" t="s">
        <v>249</v>
      </c>
      <c r="E145" s="5" t="s">
        <v>250</v>
      </c>
      <c r="F145" s="5" t="s">
        <v>251</v>
      </c>
      <c r="G145" s="5" t="s">
        <v>59</v>
      </c>
      <c r="H145" s="5" t="s">
        <v>60</v>
      </c>
      <c r="I145" s="6" t="n">
        <v>0.2</v>
      </c>
      <c r="J145" s="7" t="n">
        <f aca="false">IF(I145="","",1/I145)</f>
        <v>5</v>
      </c>
      <c r="K145" s="8" t="n">
        <v>102.39</v>
      </c>
      <c r="L145" s="9" t="n">
        <v>2.59</v>
      </c>
      <c r="M145" s="10" t="n">
        <v>0.026</v>
      </c>
      <c r="N145" s="8" t="n">
        <v>102.39</v>
      </c>
      <c r="O145" s="8" t="n">
        <v>102.39</v>
      </c>
      <c r="P145" s="8" t="n">
        <v>102.39</v>
      </c>
      <c r="Q145" s="8" t="n">
        <v>102.39</v>
      </c>
      <c r="R145" s="11" t="n">
        <v>25</v>
      </c>
      <c r="S145" s="11" t="n">
        <f aca="false">K145*R145</f>
        <v>2559.75</v>
      </c>
      <c r="T145" s="8" t="n">
        <v>71.82</v>
      </c>
      <c r="U145" s="8" t="n">
        <v>110.26</v>
      </c>
      <c r="V145" s="12" t="n">
        <f aca="false">IF(U145-T145=0,"",(K145-T145)/(U145-T145))</f>
        <v>0.795265348595213</v>
      </c>
      <c r="W145" s="13" t="n">
        <f aca="false">IF(U145=0,"",K145/U145-1)</f>
        <v>-0.0713767458733902</v>
      </c>
      <c r="X145" s="11"/>
      <c r="Y145" s="5" t="s">
        <v>253</v>
      </c>
      <c r="Z145" s="5" t="s">
        <v>254</v>
      </c>
      <c r="AA145" s="5" t="s">
        <v>251</v>
      </c>
      <c r="AB145" s="5"/>
      <c r="AC145" s="5" t="s">
        <v>553</v>
      </c>
      <c r="AD145" s="14" t="n">
        <v>46288.771875</v>
      </c>
    </row>
    <row r="146" customFormat="false" ht="15" hidden="false" customHeight="false" outlineLevel="0" collapsed="false">
      <c r="A146" s="5" t="s">
        <v>554</v>
      </c>
      <c r="B146" s="5" t="s">
        <v>555</v>
      </c>
      <c r="C146" s="5" t="s">
        <v>248</v>
      </c>
      <c r="D146" s="5" t="s">
        <v>249</v>
      </c>
      <c r="E146" s="5" t="s">
        <v>250</v>
      </c>
      <c r="F146" s="5" t="s">
        <v>251</v>
      </c>
      <c r="G146" s="5" t="s">
        <v>59</v>
      </c>
      <c r="H146" s="5" t="s">
        <v>60</v>
      </c>
      <c r="I146" s="6" t="n">
        <v>0.1666</v>
      </c>
      <c r="J146" s="7" t="n">
        <f aca="false">IF(I146="","",1/I146)</f>
        <v>6.00240096038415</v>
      </c>
      <c r="K146" s="8" t="n">
        <v>65.45</v>
      </c>
      <c r="L146" s="9" t="n">
        <v>1.13</v>
      </c>
      <c r="M146" s="10" t="n">
        <v>0.0176</v>
      </c>
      <c r="N146" s="8" t="n">
        <v>65.45</v>
      </c>
      <c r="O146" s="8" t="n">
        <v>65.45</v>
      </c>
      <c r="P146" s="8" t="n">
        <v>65.45</v>
      </c>
      <c r="Q146" s="8" t="n">
        <v>65.45</v>
      </c>
      <c r="R146" s="11" t="n">
        <v>90</v>
      </c>
      <c r="S146" s="11" t="n">
        <f aca="false">K146*R146</f>
        <v>5890.5</v>
      </c>
      <c r="T146" s="8" t="n">
        <v>55.26</v>
      </c>
      <c r="U146" s="8" t="n">
        <v>66.45</v>
      </c>
      <c r="V146" s="12" t="n">
        <f aca="false">IF(U146-T146=0,"",(K146-T146)/(U146-T146))</f>
        <v>0.910634495084897</v>
      </c>
      <c r="W146" s="13" t="n">
        <f aca="false">IF(U146=0,"",K146/U146-1)</f>
        <v>-0.0150489089541008</v>
      </c>
      <c r="X146" s="11"/>
      <c r="Y146" s="5" t="s">
        <v>253</v>
      </c>
      <c r="Z146" s="5" t="s">
        <v>254</v>
      </c>
      <c r="AA146" s="5" t="s">
        <v>251</v>
      </c>
      <c r="AB146" s="5"/>
      <c r="AC146" s="5" t="s">
        <v>556</v>
      </c>
      <c r="AD146" s="14" t="n">
        <v>46288.771875</v>
      </c>
    </row>
    <row r="147" customFormat="false" ht="15" hidden="false" customHeight="false" outlineLevel="0" collapsed="false">
      <c r="A147" s="5" t="s">
        <v>557</v>
      </c>
      <c r="B147" s="5" t="s">
        <v>558</v>
      </c>
      <c r="C147" s="5" t="s">
        <v>248</v>
      </c>
      <c r="D147" s="5" t="s">
        <v>249</v>
      </c>
      <c r="E147" s="5" t="s">
        <v>250</v>
      </c>
      <c r="F147" s="5" t="s">
        <v>251</v>
      </c>
      <c r="G147" s="5" t="s">
        <v>59</v>
      </c>
      <c r="H147" s="5" t="s">
        <v>60</v>
      </c>
      <c r="I147" s="6" t="n">
        <v>0.25</v>
      </c>
      <c r="J147" s="7" t="n">
        <f aca="false">IF(I147="","",1/I147)</f>
        <v>4</v>
      </c>
      <c r="K147" s="8" t="n">
        <v>71.19</v>
      </c>
      <c r="L147" s="9" t="n">
        <v>-1.4</v>
      </c>
      <c r="M147" s="10" t="n">
        <v>-0.0193</v>
      </c>
      <c r="N147" s="8" t="n">
        <v>71.19</v>
      </c>
      <c r="O147" s="8" t="n">
        <v>71.19</v>
      </c>
      <c r="P147" s="8" t="n">
        <v>71.19</v>
      </c>
      <c r="Q147" s="8" t="n">
        <v>71.19</v>
      </c>
      <c r="R147" s="11" t="n">
        <v>2400</v>
      </c>
      <c r="S147" s="11" t="n">
        <f aca="false">K147*R147</f>
        <v>170856</v>
      </c>
      <c r="T147" s="8" t="n">
        <v>68.1</v>
      </c>
      <c r="U147" s="8" t="n">
        <v>75.11</v>
      </c>
      <c r="V147" s="12" t="n">
        <f aca="false">IF(U147-T147=0,"",(K147-T147)/(U147-T147))</f>
        <v>0.440798858773181</v>
      </c>
      <c r="W147" s="13" t="n">
        <f aca="false">IF(U147=0,"",K147/U147-1)</f>
        <v>-0.0521901211556384</v>
      </c>
      <c r="X147" s="11"/>
      <c r="Y147" s="5" t="s">
        <v>253</v>
      </c>
      <c r="Z147" s="5" t="s">
        <v>254</v>
      </c>
      <c r="AA147" s="5" t="s">
        <v>251</v>
      </c>
      <c r="AB147" s="5"/>
      <c r="AC147" s="5" t="s">
        <v>559</v>
      </c>
      <c r="AD147" s="14" t="n">
        <v>46288.771875</v>
      </c>
    </row>
    <row r="148" customFormat="false" ht="15" hidden="false" customHeight="false" outlineLevel="0" collapsed="false">
      <c r="A148" s="5" t="s">
        <v>560</v>
      </c>
      <c r="B148" s="5" t="s">
        <v>561</v>
      </c>
      <c r="C148" s="5" t="s">
        <v>55</v>
      </c>
      <c r="D148" s="5" t="s">
        <v>56</v>
      </c>
      <c r="E148" s="5" t="s">
        <v>71</v>
      </c>
      <c r="F148" s="5" t="s">
        <v>72</v>
      </c>
      <c r="G148" s="5" t="s">
        <v>59</v>
      </c>
      <c r="H148" s="5" t="s">
        <v>60</v>
      </c>
      <c r="I148" s="6" t="n">
        <v>0.05</v>
      </c>
      <c r="J148" s="7" t="n">
        <f aca="false">IF(I148="","",1/I148)</f>
        <v>20</v>
      </c>
      <c r="K148" s="8" t="n">
        <v>130.82</v>
      </c>
      <c r="L148" s="9" t="n">
        <v>2.55</v>
      </c>
      <c r="M148" s="10" t="n">
        <v>0.0199</v>
      </c>
      <c r="N148" s="8" t="n">
        <v>129.1</v>
      </c>
      <c r="O148" s="8" t="n">
        <v>128.89</v>
      </c>
      <c r="P148" s="8" t="n">
        <v>132.06</v>
      </c>
      <c r="Q148" s="8" t="n">
        <v>131.07</v>
      </c>
      <c r="R148" s="11" t="n">
        <v>63816</v>
      </c>
      <c r="S148" s="11" t="n">
        <f aca="false">K148*R148</f>
        <v>8348409.12</v>
      </c>
      <c r="T148" s="8" t="n">
        <v>114.15</v>
      </c>
      <c r="U148" s="8" t="n">
        <v>140.34</v>
      </c>
      <c r="V148" s="12" t="n">
        <f aca="false">IF(U148-T148=0,"",(K148-T148)/(U148-T148))</f>
        <v>0.636502481863306</v>
      </c>
      <c r="W148" s="13" t="n">
        <f aca="false">IF(U148=0,"",K148/U148-1)</f>
        <v>-0.0678352572324356</v>
      </c>
      <c r="X148" s="11" t="n">
        <v>4961157</v>
      </c>
      <c r="Y148" s="5" t="s">
        <v>71</v>
      </c>
      <c r="Z148" s="5" t="s">
        <v>73</v>
      </c>
      <c r="AA148" s="5" t="s">
        <v>72</v>
      </c>
      <c r="AB148" s="5"/>
      <c r="AC148" s="5" t="s">
        <v>562</v>
      </c>
      <c r="AD148" s="14" t="n">
        <v>46288.771875</v>
      </c>
    </row>
    <row r="149" customFormat="false" ht="15" hidden="false" customHeight="false" outlineLevel="0" collapsed="false">
      <c r="A149" s="5" t="s">
        <v>563</v>
      </c>
      <c r="B149" s="5" t="s">
        <v>564</v>
      </c>
      <c r="C149" s="5" t="s">
        <v>248</v>
      </c>
      <c r="D149" s="5" t="s">
        <v>249</v>
      </c>
      <c r="E149" s="5" t="s">
        <v>250</v>
      </c>
      <c r="F149" s="5" t="s">
        <v>251</v>
      </c>
      <c r="G149" s="5" t="s">
        <v>59</v>
      </c>
      <c r="H149" s="5" t="s">
        <v>60</v>
      </c>
      <c r="I149" s="6" t="n">
        <v>0.125</v>
      </c>
      <c r="J149" s="7" t="n">
        <f aca="false">IF(I149="","",1/I149)</f>
        <v>8</v>
      </c>
      <c r="K149" s="8" t="n">
        <v>73.64</v>
      </c>
      <c r="L149" s="9" t="n">
        <v>0.63</v>
      </c>
      <c r="M149" s="10" t="n">
        <v>0.0086</v>
      </c>
      <c r="N149" s="8" t="n">
        <v>73.05</v>
      </c>
      <c r="O149" s="8" t="n">
        <v>73</v>
      </c>
      <c r="P149" s="8" t="n">
        <v>73.97</v>
      </c>
      <c r="Q149" s="8" t="n">
        <v>73.64</v>
      </c>
      <c r="R149" s="11" t="n">
        <v>88</v>
      </c>
      <c r="S149" s="11" t="n">
        <f aca="false">K149*R149</f>
        <v>6480.32</v>
      </c>
      <c r="T149" s="8" t="n">
        <v>65.38</v>
      </c>
      <c r="U149" s="8" t="n">
        <v>79.33</v>
      </c>
      <c r="V149" s="12" t="n">
        <f aca="false">IF(U149-T149=0,"",(K149-T149)/(U149-T149))</f>
        <v>0.592114695340502</v>
      </c>
      <c r="W149" s="13" t="n">
        <f aca="false">IF(U149=0,"",K149/U149-1)</f>
        <v>-0.0717257027606202</v>
      </c>
      <c r="X149" s="11"/>
      <c r="Y149" s="5" t="s">
        <v>253</v>
      </c>
      <c r="Z149" s="5" t="s">
        <v>254</v>
      </c>
      <c r="AA149" s="5" t="s">
        <v>251</v>
      </c>
      <c r="AB149" s="5"/>
      <c r="AC149" s="5" t="s">
        <v>565</v>
      </c>
      <c r="AD149" s="14" t="n">
        <v>46288.771875</v>
      </c>
    </row>
    <row r="150" customFormat="false" ht="15" hidden="false" customHeight="false" outlineLevel="0" collapsed="false">
      <c r="A150" s="5" t="s">
        <v>566</v>
      </c>
      <c r="B150" s="5" t="s">
        <v>567</v>
      </c>
      <c r="C150" s="5" t="s">
        <v>248</v>
      </c>
      <c r="D150" s="5" t="s">
        <v>249</v>
      </c>
      <c r="E150" s="5" t="s">
        <v>250</v>
      </c>
      <c r="F150" s="5" t="s">
        <v>251</v>
      </c>
      <c r="G150" s="5" t="s">
        <v>59</v>
      </c>
      <c r="H150" s="5" t="s">
        <v>60</v>
      </c>
      <c r="I150" s="6" t="n">
        <v>0.3333333</v>
      </c>
      <c r="J150" s="7" t="n">
        <f aca="false">IF(I150="","",1/I150)</f>
        <v>3.00000030000003</v>
      </c>
      <c r="K150" s="8" t="n">
        <v>50.61</v>
      </c>
      <c r="L150" s="9" t="n">
        <v>0.51</v>
      </c>
      <c r="M150" s="10" t="n">
        <v>0.0102</v>
      </c>
      <c r="N150" s="8" t="n">
        <v>50.61</v>
      </c>
      <c r="O150" s="8" t="n">
        <v>50.61</v>
      </c>
      <c r="P150" s="8" t="n">
        <v>50.61</v>
      </c>
      <c r="Q150" s="8" t="n">
        <v>50.61</v>
      </c>
      <c r="R150" s="11" t="n">
        <v>6</v>
      </c>
      <c r="S150" s="11" t="n">
        <f aca="false">K150*R150</f>
        <v>303.66</v>
      </c>
      <c r="T150" s="8" t="n">
        <v>45.6</v>
      </c>
      <c r="U150" s="8" t="n">
        <v>52.2</v>
      </c>
      <c r="V150" s="12" t="n">
        <f aca="false">IF(U150-T150=0,"",(K150-T150)/(U150-T150))</f>
        <v>0.759090909090909</v>
      </c>
      <c r="W150" s="13" t="n">
        <f aca="false">IF(U150=0,"",K150/U150-1)</f>
        <v>-0.0304597701149426</v>
      </c>
      <c r="X150" s="11"/>
      <c r="Y150" s="5" t="s">
        <v>253</v>
      </c>
      <c r="Z150" s="5" t="s">
        <v>254</v>
      </c>
      <c r="AA150" s="5" t="s">
        <v>251</v>
      </c>
      <c r="AB150" s="5"/>
      <c r="AC150" s="5" t="s">
        <v>568</v>
      </c>
      <c r="AD150" s="14" t="n">
        <v>46288.771875</v>
      </c>
    </row>
    <row r="151" customFormat="false" ht="15" hidden="false" customHeight="false" outlineLevel="0" collapsed="false">
      <c r="A151" s="5" t="s">
        <v>569</v>
      </c>
      <c r="B151" s="5" t="s">
        <v>570</v>
      </c>
      <c r="C151" s="5" t="s">
        <v>248</v>
      </c>
      <c r="D151" s="5" t="s">
        <v>249</v>
      </c>
      <c r="E151" s="5" t="s">
        <v>250</v>
      </c>
      <c r="F151" s="5" t="s">
        <v>251</v>
      </c>
      <c r="G151" s="5" t="s">
        <v>59</v>
      </c>
      <c r="H151" s="5" t="s">
        <v>60</v>
      </c>
      <c r="I151" s="6" t="n">
        <v>0.25</v>
      </c>
      <c r="J151" s="7" t="n">
        <f aca="false">IF(I151="","",1/I151)</f>
        <v>4</v>
      </c>
      <c r="K151" s="8" t="n">
        <v>77.1</v>
      </c>
      <c r="L151" s="9" t="n">
        <v>-0.68</v>
      </c>
      <c r="M151" s="10" t="n">
        <v>-0.0087</v>
      </c>
      <c r="N151" s="8" t="n">
        <v>77.1</v>
      </c>
      <c r="O151" s="8" t="n">
        <v>77.1</v>
      </c>
      <c r="P151" s="8" t="n">
        <v>77.1</v>
      </c>
      <c r="Q151" s="8" t="n">
        <v>77.68</v>
      </c>
      <c r="R151" s="11" t="n">
        <v>913</v>
      </c>
      <c r="S151" s="11" t="n">
        <f aca="false">K151*R151</f>
        <v>70392.3</v>
      </c>
      <c r="T151" s="8" t="n">
        <v>66.73</v>
      </c>
      <c r="U151" s="8" t="n">
        <v>84</v>
      </c>
      <c r="V151" s="12" t="n">
        <f aca="false">IF(U151-T151=0,"",(K151-T151)/(U151-T151))</f>
        <v>0.600463231036479</v>
      </c>
      <c r="W151" s="13" t="n">
        <f aca="false">IF(U151=0,"",K151/U151-1)</f>
        <v>-0.0821428571428572</v>
      </c>
      <c r="X151" s="11"/>
      <c r="Y151" s="5" t="s">
        <v>253</v>
      </c>
      <c r="Z151" s="5" t="s">
        <v>254</v>
      </c>
      <c r="AA151" s="5" t="s">
        <v>251</v>
      </c>
      <c r="AB151" s="5"/>
      <c r="AC151" s="5" t="s">
        <v>571</v>
      </c>
      <c r="AD151" s="14" t="n">
        <v>46288.771875</v>
      </c>
    </row>
    <row r="152" customFormat="false" ht="15" hidden="false" customHeight="false" outlineLevel="0" collapsed="false">
      <c r="A152" s="5" t="s">
        <v>572</v>
      </c>
      <c r="B152" s="5" t="s">
        <v>573</v>
      </c>
      <c r="C152" s="5" t="s">
        <v>248</v>
      </c>
      <c r="D152" s="5" t="s">
        <v>249</v>
      </c>
      <c r="E152" s="5" t="s">
        <v>250</v>
      </c>
      <c r="F152" s="5" t="s">
        <v>251</v>
      </c>
      <c r="G152" s="5" t="s">
        <v>59</v>
      </c>
      <c r="H152" s="5" t="s">
        <v>60</v>
      </c>
      <c r="I152" s="6" t="n">
        <v>0.333333</v>
      </c>
      <c r="J152" s="7" t="n">
        <f aca="false">IF(I152="","",1/I152)</f>
        <v>3.000003000003</v>
      </c>
      <c r="K152" s="8" t="n">
        <v>72.16</v>
      </c>
      <c r="L152" s="9" t="n">
        <v>-0.45</v>
      </c>
      <c r="M152" s="10" t="n">
        <v>-0.0062</v>
      </c>
      <c r="N152" s="8" t="n">
        <v>72.16</v>
      </c>
      <c r="O152" s="8" t="n">
        <v>72.16</v>
      </c>
      <c r="P152" s="8" t="n">
        <v>72.16</v>
      </c>
      <c r="Q152" s="8" t="n">
        <v>72.16</v>
      </c>
      <c r="R152" s="11" t="n">
        <v>1</v>
      </c>
      <c r="S152" s="11" t="n">
        <f aca="false">K152*R152</f>
        <v>72.16</v>
      </c>
      <c r="T152" s="8" t="n">
        <v>64.88</v>
      </c>
      <c r="U152" s="8" t="n">
        <v>81</v>
      </c>
      <c r="V152" s="12" t="n">
        <f aca="false">IF(U152-T152=0,"",(K152-T152)/(U152-T152))</f>
        <v>0.451612903225806</v>
      </c>
      <c r="W152" s="13" t="n">
        <f aca="false">IF(U152=0,"",K152/U152-1)</f>
        <v>-0.109135802469136</v>
      </c>
      <c r="X152" s="11"/>
      <c r="Y152" s="5" t="s">
        <v>253</v>
      </c>
      <c r="Z152" s="5" t="s">
        <v>254</v>
      </c>
      <c r="AA152" s="5" t="s">
        <v>251</v>
      </c>
      <c r="AB152" s="5"/>
      <c r="AC152" s="5" t="s">
        <v>574</v>
      </c>
      <c r="AD152" s="14" t="n">
        <v>46288.771875</v>
      </c>
    </row>
    <row r="153" customFormat="false" ht="15" hidden="false" customHeight="false" outlineLevel="0" collapsed="false">
      <c r="A153" s="5" t="s">
        <v>575</v>
      </c>
      <c r="B153" s="5" t="s">
        <v>576</v>
      </c>
      <c r="C153" s="5" t="s">
        <v>248</v>
      </c>
      <c r="D153" s="5" t="s">
        <v>249</v>
      </c>
      <c r="E153" s="5" t="s">
        <v>250</v>
      </c>
      <c r="F153" s="5" t="s">
        <v>251</v>
      </c>
      <c r="G153" s="5" t="s">
        <v>59</v>
      </c>
      <c r="H153" s="5" t="s">
        <v>60</v>
      </c>
      <c r="I153" s="6" t="n">
        <v>0.33333</v>
      </c>
      <c r="J153" s="7" t="n">
        <f aca="false">IF(I153="","",1/I153)</f>
        <v>3.0000300003</v>
      </c>
      <c r="K153" s="8" t="n">
        <v>38.48</v>
      </c>
      <c r="L153" s="9" t="n">
        <v>-0.28</v>
      </c>
      <c r="M153" s="10" t="n">
        <v>-0.0072</v>
      </c>
      <c r="N153" s="8" t="n">
        <v>38.48</v>
      </c>
      <c r="O153" s="8" t="n">
        <v>38.48</v>
      </c>
      <c r="P153" s="8" t="n">
        <v>38.48</v>
      </c>
      <c r="Q153" s="8" t="n">
        <v>38.48</v>
      </c>
      <c r="R153" s="11" t="n">
        <v>200</v>
      </c>
      <c r="S153" s="11" t="n">
        <f aca="false">K153*R153</f>
        <v>7696</v>
      </c>
      <c r="T153" s="8" t="n">
        <v>36.12</v>
      </c>
      <c r="U153" s="8" t="n">
        <v>43</v>
      </c>
      <c r="V153" s="12" t="n">
        <f aca="false">IF(U153-T153=0,"",(K153-T153)/(U153-T153))</f>
        <v>0.343023255813953</v>
      </c>
      <c r="W153" s="13" t="n">
        <f aca="false">IF(U153=0,"",K153/U153-1)</f>
        <v>-0.105116279069768</v>
      </c>
      <c r="X153" s="11"/>
      <c r="Y153" s="5" t="s">
        <v>253</v>
      </c>
      <c r="Z153" s="5" t="s">
        <v>254</v>
      </c>
      <c r="AA153" s="5" t="s">
        <v>251</v>
      </c>
      <c r="AB153" s="5"/>
      <c r="AC153" s="5" t="s">
        <v>577</v>
      </c>
      <c r="AD153" s="14" t="n">
        <v>46288.771875</v>
      </c>
    </row>
    <row r="154" customFormat="false" ht="15" hidden="false" customHeight="false" outlineLevel="0" collapsed="false">
      <c r="A154" s="5" t="s">
        <v>578</v>
      </c>
      <c r="B154" s="5" t="s">
        <v>579</v>
      </c>
      <c r="C154" s="5" t="s">
        <v>248</v>
      </c>
      <c r="D154" s="5" t="s">
        <v>249</v>
      </c>
      <c r="E154" s="5" t="s">
        <v>250</v>
      </c>
      <c r="F154" s="5" t="s">
        <v>251</v>
      </c>
      <c r="G154" s="5" t="s">
        <v>59</v>
      </c>
      <c r="H154" s="5" t="s">
        <v>60</v>
      </c>
      <c r="I154" s="6" t="n">
        <v>0.2</v>
      </c>
      <c r="J154" s="7" t="n">
        <f aca="false">IF(I154="","",1/I154)</f>
        <v>5</v>
      </c>
      <c r="K154" s="8" t="n">
        <v>61.92</v>
      </c>
      <c r="L154" s="9" t="n">
        <v>-0.9</v>
      </c>
      <c r="M154" s="10" t="n">
        <v>-0.0143</v>
      </c>
      <c r="N154" s="8" t="n">
        <v>61.92</v>
      </c>
      <c r="O154" s="8" t="n">
        <v>61.92</v>
      </c>
      <c r="P154" s="8" t="n">
        <v>61.92</v>
      </c>
      <c r="Q154" s="8" t="n">
        <v>61.92</v>
      </c>
      <c r="R154" s="11" t="n">
        <v>4</v>
      </c>
      <c r="S154" s="11" t="n">
        <f aca="false">K154*R154</f>
        <v>247.68</v>
      </c>
      <c r="T154" s="8" t="n">
        <v>56.72</v>
      </c>
      <c r="U154" s="8" t="n">
        <v>66.6</v>
      </c>
      <c r="V154" s="12" t="n">
        <f aca="false">IF(U154-T154=0,"",(K154-T154)/(U154-T154))</f>
        <v>0.526315789473685</v>
      </c>
      <c r="W154" s="13" t="n">
        <f aca="false">IF(U154=0,"",K154/U154-1)</f>
        <v>-0.0702702702702702</v>
      </c>
      <c r="X154" s="11"/>
      <c r="Y154" s="5" t="s">
        <v>253</v>
      </c>
      <c r="Z154" s="5" t="s">
        <v>254</v>
      </c>
      <c r="AA154" s="5" t="s">
        <v>251</v>
      </c>
      <c r="AB154" s="5"/>
      <c r="AC154" s="5" t="s">
        <v>580</v>
      </c>
      <c r="AD154" s="14" t="n">
        <v>46288.771875</v>
      </c>
    </row>
    <row r="155" customFormat="false" ht="15" hidden="false" customHeight="false" outlineLevel="0" collapsed="false">
      <c r="A155" s="5" t="s">
        <v>581</v>
      </c>
      <c r="B155" s="5" t="s">
        <v>582</v>
      </c>
      <c r="C155" s="5" t="s">
        <v>248</v>
      </c>
      <c r="D155" s="5" t="s">
        <v>249</v>
      </c>
      <c r="E155" s="5" t="s">
        <v>250</v>
      </c>
      <c r="F155" s="5" t="s">
        <v>251</v>
      </c>
      <c r="G155" s="5" t="s">
        <v>59</v>
      </c>
      <c r="H155" s="5" t="s">
        <v>60</v>
      </c>
      <c r="I155" s="6" t="n">
        <v>0.125</v>
      </c>
      <c r="J155" s="7" t="n">
        <f aca="false">IF(I155="","",1/I155)</f>
        <v>8</v>
      </c>
      <c r="K155" s="8" t="n">
        <v>62.57</v>
      </c>
      <c r="L155" s="9" t="n">
        <v>-0.59</v>
      </c>
      <c r="M155" s="10" t="n">
        <v>-0.0093</v>
      </c>
      <c r="N155" s="8" t="n">
        <v>63.33</v>
      </c>
      <c r="O155" s="8" t="n">
        <v>62.53</v>
      </c>
      <c r="P155" s="8" t="n">
        <v>63.33</v>
      </c>
      <c r="Q155" s="8" t="n">
        <v>62.83</v>
      </c>
      <c r="R155" s="11" t="n">
        <v>3412</v>
      </c>
      <c r="S155" s="11" t="n">
        <f aca="false">K155*R155</f>
        <v>213488.84</v>
      </c>
      <c r="T155" s="8" t="n">
        <v>53.01</v>
      </c>
      <c r="U155" s="8" t="n">
        <v>64.56</v>
      </c>
      <c r="V155" s="12" t="n">
        <f aca="false">IF(U155-T155=0,"",(K155-T155)/(U155-T155))</f>
        <v>0.827705627705628</v>
      </c>
      <c r="W155" s="13" t="n">
        <f aca="false">IF(U155=0,"",K155/U155-1)</f>
        <v>-0.0308240396530359</v>
      </c>
      <c r="X155" s="11"/>
      <c r="Y155" s="5" t="s">
        <v>253</v>
      </c>
      <c r="Z155" s="5" t="s">
        <v>254</v>
      </c>
      <c r="AA155" s="5" t="s">
        <v>251</v>
      </c>
      <c r="AB155" s="5"/>
      <c r="AC155" s="5" t="s">
        <v>583</v>
      </c>
      <c r="AD155" s="14" t="n">
        <v>46288.771875</v>
      </c>
    </row>
    <row r="156" customFormat="false" ht="15" hidden="false" customHeight="false" outlineLevel="0" collapsed="false">
      <c r="A156" s="5" t="s">
        <v>584</v>
      </c>
      <c r="B156" s="5" t="s">
        <v>585</v>
      </c>
      <c r="C156" s="5" t="s">
        <v>248</v>
      </c>
      <c r="D156" s="5" t="s">
        <v>249</v>
      </c>
      <c r="E156" s="5" t="s">
        <v>250</v>
      </c>
      <c r="F156" s="5" t="s">
        <v>251</v>
      </c>
      <c r="G156" s="5" t="s">
        <v>59</v>
      </c>
      <c r="H156" s="5" t="s">
        <v>60</v>
      </c>
      <c r="I156" s="6" t="n">
        <v>0.2</v>
      </c>
      <c r="J156" s="7" t="n">
        <f aca="false">IF(I156="","",1/I156)</f>
        <v>5</v>
      </c>
      <c r="K156" s="8" t="n">
        <v>62.46</v>
      </c>
      <c r="L156" s="9" t="n">
        <v>-0.13</v>
      </c>
      <c r="M156" s="10" t="n">
        <v>-0.0021</v>
      </c>
      <c r="N156" s="8" t="n">
        <v>62.3</v>
      </c>
      <c r="O156" s="8" t="n">
        <v>62.3</v>
      </c>
      <c r="P156" s="8" t="n">
        <v>62.5</v>
      </c>
      <c r="Q156" s="8" t="n">
        <v>62.46</v>
      </c>
      <c r="R156" s="11" t="n">
        <v>104</v>
      </c>
      <c r="S156" s="11" t="n">
        <f aca="false">K156*R156</f>
        <v>6495.84</v>
      </c>
      <c r="T156" s="8" t="n">
        <v>57.36</v>
      </c>
      <c r="U156" s="8" t="n">
        <v>67.83</v>
      </c>
      <c r="V156" s="12" t="n">
        <f aca="false">IF(U156-T156=0,"",(K156-T156)/(U156-T156))</f>
        <v>0.487106017191977</v>
      </c>
      <c r="W156" s="13" t="n">
        <f aca="false">IF(U156=0,"",K156/U156-1)</f>
        <v>-0.0791685095090667</v>
      </c>
      <c r="X156" s="11"/>
      <c r="Y156" s="5" t="s">
        <v>253</v>
      </c>
      <c r="Z156" s="5" t="s">
        <v>254</v>
      </c>
      <c r="AA156" s="5" t="s">
        <v>251</v>
      </c>
      <c r="AB156" s="5"/>
      <c r="AC156" s="5" t="s">
        <v>586</v>
      </c>
      <c r="AD156" s="14" t="n">
        <v>46288.771875</v>
      </c>
    </row>
    <row r="157" customFormat="false" ht="15" hidden="false" customHeight="false" outlineLevel="0" collapsed="false">
      <c r="A157" s="5" t="s">
        <v>587</v>
      </c>
      <c r="B157" s="5" t="s">
        <v>588</v>
      </c>
      <c r="C157" s="5" t="s">
        <v>248</v>
      </c>
      <c r="D157" s="5" t="s">
        <v>249</v>
      </c>
      <c r="E157" s="5" t="s">
        <v>250</v>
      </c>
      <c r="F157" s="5" t="s">
        <v>251</v>
      </c>
      <c r="G157" s="5" t="s">
        <v>59</v>
      </c>
      <c r="H157" s="5" t="s">
        <v>60</v>
      </c>
      <c r="I157" s="6" t="n">
        <v>0.2</v>
      </c>
      <c r="J157" s="7" t="n">
        <f aca="false">IF(I157="","",1/I157)</f>
        <v>5</v>
      </c>
      <c r="K157" s="8" t="n">
        <v>69.7</v>
      </c>
      <c r="L157" s="9" t="n">
        <v>-4.54</v>
      </c>
      <c r="M157" s="10" t="n">
        <v>-0.0612</v>
      </c>
      <c r="N157" s="8" t="n">
        <v>69.7</v>
      </c>
      <c r="O157" s="8" t="n">
        <v>69.7</v>
      </c>
      <c r="P157" s="8" t="n">
        <v>69.7</v>
      </c>
      <c r="Q157" s="8" t="n">
        <v>69.7</v>
      </c>
      <c r="R157" s="11" t="n">
        <v>30</v>
      </c>
      <c r="S157" s="11" t="n">
        <f aca="false">K157*R157</f>
        <v>2091</v>
      </c>
      <c r="T157" s="8" t="n">
        <v>65.74</v>
      </c>
      <c r="U157" s="8" t="n">
        <v>74.27</v>
      </c>
      <c r="V157" s="12" t="n">
        <f aca="false">IF(U157-T157=0,"",(K157-T157)/(U157-T157))</f>
        <v>0.464243845252053</v>
      </c>
      <c r="W157" s="13" t="n">
        <f aca="false">IF(U157=0,"",K157/U157-1)</f>
        <v>-0.0615322472061397</v>
      </c>
      <c r="X157" s="11"/>
      <c r="Y157" s="5" t="s">
        <v>253</v>
      </c>
      <c r="Z157" s="5" t="s">
        <v>254</v>
      </c>
      <c r="AA157" s="5" t="s">
        <v>251</v>
      </c>
      <c r="AB157" s="5"/>
      <c r="AC157" s="5" t="s">
        <v>589</v>
      </c>
      <c r="AD157" s="14" t="n">
        <v>46288.771875</v>
      </c>
    </row>
    <row r="158" customFormat="false" ht="15" hidden="false" customHeight="false" outlineLevel="0" collapsed="false">
      <c r="A158" s="5" t="s">
        <v>590</v>
      </c>
      <c r="B158" s="5" t="s">
        <v>591</v>
      </c>
      <c r="C158" s="5" t="s">
        <v>248</v>
      </c>
      <c r="D158" s="5" t="s">
        <v>249</v>
      </c>
      <c r="E158" s="5" t="s">
        <v>250</v>
      </c>
      <c r="F158" s="5" t="s">
        <v>251</v>
      </c>
      <c r="G158" s="5" t="s">
        <v>59</v>
      </c>
      <c r="H158" s="5" t="s">
        <v>60</v>
      </c>
      <c r="I158" s="6" t="n">
        <v>0.33333333</v>
      </c>
      <c r="J158" s="7" t="n">
        <f aca="false">IF(I158="","",1/I158)</f>
        <v>3.00000003</v>
      </c>
      <c r="K158" s="8" t="n">
        <v>74.3</v>
      </c>
      <c r="L158" s="9" t="n">
        <v>0.2</v>
      </c>
      <c r="M158" s="10" t="n">
        <v>0.0027</v>
      </c>
      <c r="N158" s="8" t="n">
        <v>74.3</v>
      </c>
      <c r="O158" s="8" t="n">
        <v>74.3</v>
      </c>
      <c r="P158" s="8" t="n">
        <v>74.3</v>
      </c>
      <c r="Q158" s="8" t="n">
        <v>74.3</v>
      </c>
      <c r="R158" s="11" t="n">
        <v>16</v>
      </c>
      <c r="S158" s="11" t="n">
        <f aca="false">K158*R158</f>
        <v>1188.8</v>
      </c>
      <c r="T158" s="8" t="n">
        <v>57.44</v>
      </c>
      <c r="U158" s="8" t="n">
        <v>77.1</v>
      </c>
      <c r="V158" s="12" t="n">
        <f aca="false">IF(U158-T158=0,"",(K158-T158)/(U158-T158))</f>
        <v>0.857578840284842</v>
      </c>
      <c r="W158" s="13" t="n">
        <f aca="false">IF(U158=0,"",K158/U158-1)</f>
        <v>-0.0363164721141375</v>
      </c>
      <c r="X158" s="11"/>
      <c r="Y158" s="5" t="s">
        <v>253</v>
      </c>
      <c r="Z158" s="5" t="s">
        <v>254</v>
      </c>
      <c r="AA158" s="5" t="s">
        <v>251</v>
      </c>
      <c r="AB158" s="5"/>
      <c r="AC158" s="5" t="s">
        <v>592</v>
      </c>
      <c r="AD158" s="14" t="n">
        <v>46288.771875</v>
      </c>
    </row>
    <row r="159" customFormat="false" ht="15" hidden="false" customHeight="false" outlineLevel="0" collapsed="false">
      <c r="A159" s="5" t="s">
        <v>593</v>
      </c>
      <c r="B159" s="5" t="s">
        <v>594</v>
      </c>
      <c r="C159" s="5" t="s">
        <v>248</v>
      </c>
      <c r="D159" s="5" t="s">
        <v>249</v>
      </c>
      <c r="E159" s="5" t="s">
        <v>250</v>
      </c>
      <c r="F159" s="5" t="s">
        <v>251</v>
      </c>
      <c r="G159" s="5" t="s">
        <v>59</v>
      </c>
      <c r="H159" s="5" t="s">
        <v>60</v>
      </c>
      <c r="I159" s="6" t="n">
        <v>0.333333</v>
      </c>
      <c r="J159" s="7" t="n">
        <f aca="false">IF(I159="","",1/I159)</f>
        <v>3.000003000003</v>
      </c>
      <c r="K159" s="8" t="n">
        <v>103.81</v>
      </c>
      <c r="L159" s="9" t="n">
        <v>-1.44</v>
      </c>
      <c r="M159" s="10" t="n">
        <v>-0.0137</v>
      </c>
      <c r="N159" s="8" t="n">
        <v>104.2</v>
      </c>
      <c r="O159" s="8" t="n">
        <v>103.81</v>
      </c>
      <c r="P159" s="8" t="n">
        <v>104.2</v>
      </c>
      <c r="Q159" s="8" t="n">
        <v>104.2</v>
      </c>
      <c r="R159" s="11" t="n">
        <v>14</v>
      </c>
      <c r="S159" s="11" t="n">
        <f aca="false">K159*R159</f>
        <v>1453.34</v>
      </c>
      <c r="T159" s="8" t="n">
        <v>87.93</v>
      </c>
      <c r="U159" s="8" t="n">
        <v>109.59</v>
      </c>
      <c r="V159" s="12" t="n">
        <f aca="false">IF(U159-T159=0,"",(K159-T159)/(U159-T159))</f>
        <v>0.7331486611265</v>
      </c>
      <c r="W159" s="13" t="n">
        <f aca="false">IF(U159=0,"",K159/U159-1)</f>
        <v>-0.0527420385071631</v>
      </c>
      <c r="X159" s="11"/>
      <c r="Y159" s="5" t="s">
        <v>253</v>
      </c>
      <c r="Z159" s="5" t="s">
        <v>254</v>
      </c>
      <c r="AA159" s="5" t="s">
        <v>251</v>
      </c>
      <c r="AB159" s="5"/>
      <c r="AC159" s="5" t="s">
        <v>595</v>
      </c>
      <c r="AD159" s="14" t="n">
        <v>46288.771875</v>
      </c>
    </row>
    <row r="160" customFormat="false" ht="15" hidden="false" customHeight="false" outlineLevel="0" collapsed="false">
      <c r="A160" s="5" t="s">
        <v>596</v>
      </c>
      <c r="B160" s="5" t="s">
        <v>597</v>
      </c>
      <c r="C160" s="5" t="s">
        <v>248</v>
      </c>
      <c r="D160" s="5" t="s">
        <v>249</v>
      </c>
      <c r="E160" s="5" t="s">
        <v>250</v>
      </c>
      <c r="F160" s="5" t="s">
        <v>251</v>
      </c>
      <c r="G160" s="5" t="s">
        <v>59</v>
      </c>
      <c r="H160" s="5" t="s">
        <v>60</v>
      </c>
      <c r="I160" s="6" t="n">
        <v>0.25</v>
      </c>
      <c r="J160" s="7" t="n">
        <f aca="false">IF(I160="","",1/I160)</f>
        <v>4</v>
      </c>
      <c r="K160" s="8" t="n">
        <v>56.1</v>
      </c>
      <c r="L160" s="9" t="n">
        <v>-0.4</v>
      </c>
      <c r="M160" s="10" t="n">
        <v>-0.0071</v>
      </c>
      <c r="N160" s="8" t="n">
        <v>56.3</v>
      </c>
      <c r="O160" s="8" t="n">
        <v>56.1</v>
      </c>
      <c r="P160" s="8" t="n">
        <v>56.3</v>
      </c>
      <c r="Q160" s="8" t="n">
        <v>56.1</v>
      </c>
      <c r="R160" s="11" t="n">
        <v>2</v>
      </c>
      <c r="S160" s="11" t="n">
        <f aca="false">K160*R160</f>
        <v>112.2</v>
      </c>
      <c r="T160" s="8" t="n">
        <v>55.68</v>
      </c>
      <c r="U160" s="8" t="n">
        <v>62.52</v>
      </c>
      <c r="V160" s="12" t="n">
        <f aca="false">IF(U160-T160=0,"",(K160-T160)/(U160-T160))</f>
        <v>0.06140350877193</v>
      </c>
      <c r="W160" s="13" t="n">
        <f aca="false">IF(U160=0,"",K160/U160-1)</f>
        <v>-0.102687140115163</v>
      </c>
      <c r="X160" s="11"/>
      <c r="Y160" s="5" t="s">
        <v>253</v>
      </c>
      <c r="Z160" s="5" t="s">
        <v>254</v>
      </c>
      <c r="AA160" s="5" t="s">
        <v>251</v>
      </c>
      <c r="AB160" s="5"/>
      <c r="AC160" s="5" t="s">
        <v>598</v>
      </c>
      <c r="AD160" s="14" t="n">
        <v>46288.771875</v>
      </c>
    </row>
    <row r="161" customFormat="false" ht="15" hidden="false" customHeight="false" outlineLevel="0" collapsed="false">
      <c r="A161" s="5" t="s">
        <v>599</v>
      </c>
      <c r="B161" s="5" t="s">
        <v>600</v>
      </c>
      <c r="C161" s="5" t="s">
        <v>248</v>
      </c>
      <c r="D161" s="5" t="s">
        <v>249</v>
      </c>
      <c r="E161" s="5" t="s">
        <v>250</v>
      </c>
      <c r="F161" s="5" t="s">
        <v>251</v>
      </c>
      <c r="G161" s="5" t="s">
        <v>59</v>
      </c>
      <c r="H161" s="5" t="s">
        <v>60</v>
      </c>
      <c r="I161" s="6" t="n">
        <v>0.33333333</v>
      </c>
      <c r="J161" s="7" t="n">
        <f aca="false">IF(I161="","",1/I161)</f>
        <v>3.00000003</v>
      </c>
      <c r="K161" s="8" t="n">
        <v>57.24</v>
      </c>
      <c r="L161" s="9" t="n">
        <v>-1.68</v>
      </c>
      <c r="M161" s="10" t="n">
        <v>-0.0285</v>
      </c>
      <c r="N161" s="8" t="n">
        <v>57.24</v>
      </c>
      <c r="O161" s="8" t="n">
        <v>57.24</v>
      </c>
      <c r="P161" s="8" t="n">
        <v>57.24</v>
      </c>
      <c r="Q161" s="8" t="n">
        <v>57.24</v>
      </c>
      <c r="R161" s="11" t="n">
        <v>9</v>
      </c>
      <c r="S161" s="11" t="n">
        <f aca="false">K161*R161</f>
        <v>515.16</v>
      </c>
      <c r="T161" s="8" t="n">
        <v>46.81</v>
      </c>
      <c r="U161" s="8" t="n">
        <v>60.17</v>
      </c>
      <c r="V161" s="12" t="n">
        <f aca="false">IF(U161-T161=0,"",(K161-T161)/(U161-T161))</f>
        <v>0.780688622754491</v>
      </c>
      <c r="W161" s="13" t="n">
        <f aca="false">IF(U161=0,"",K161/U161-1)</f>
        <v>-0.0486953631377763</v>
      </c>
      <c r="X161" s="11"/>
      <c r="Y161" s="5" t="s">
        <v>253</v>
      </c>
      <c r="Z161" s="5" t="s">
        <v>254</v>
      </c>
      <c r="AA161" s="5" t="s">
        <v>251</v>
      </c>
      <c r="AB161" s="5"/>
      <c r="AC161" s="5" t="s">
        <v>601</v>
      </c>
      <c r="AD161" s="14" t="n">
        <v>46288.771875</v>
      </c>
    </row>
    <row r="162" customFormat="false" ht="15" hidden="false" customHeight="false" outlineLevel="0" collapsed="false">
      <c r="A162" s="5" t="s">
        <v>602</v>
      </c>
      <c r="B162" s="5" t="s">
        <v>603</v>
      </c>
      <c r="C162" s="5" t="s">
        <v>248</v>
      </c>
      <c r="D162" s="5" t="s">
        <v>249</v>
      </c>
      <c r="E162" s="5" t="s">
        <v>250</v>
      </c>
      <c r="F162" s="5" t="s">
        <v>251</v>
      </c>
      <c r="G162" s="5" t="s">
        <v>59</v>
      </c>
      <c r="H162" s="5" t="s">
        <v>60</v>
      </c>
      <c r="I162" s="6" t="n">
        <v>0.1666</v>
      </c>
      <c r="J162" s="7" t="n">
        <f aca="false">IF(I162="","",1/I162)</f>
        <v>6.00240096038415</v>
      </c>
      <c r="K162" s="8" t="n">
        <v>97.1</v>
      </c>
      <c r="L162" s="9" t="n">
        <v>-1.18</v>
      </c>
      <c r="M162" s="10" t="n">
        <v>-0.012</v>
      </c>
      <c r="N162" s="8" t="n">
        <v>98.3</v>
      </c>
      <c r="O162" s="8" t="n">
        <v>96.82</v>
      </c>
      <c r="P162" s="8" t="n">
        <v>98.3</v>
      </c>
      <c r="Q162" s="8" t="n">
        <v>97.1</v>
      </c>
      <c r="R162" s="11" t="n">
        <v>494</v>
      </c>
      <c r="S162" s="11" t="n">
        <f aca="false">K162*R162</f>
        <v>47967.4</v>
      </c>
      <c r="T162" s="8" t="n">
        <v>54.66</v>
      </c>
      <c r="U162" s="8" t="n">
        <v>98.7</v>
      </c>
      <c r="V162" s="12" t="n">
        <f aca="false">IF(U162-T162=0,"",(K162-T162)/(U162-T162))</f>
        <v>0.963669391462307</v>
      </c>
      <c r="W162" s="13" t="n">
        <f aca="false">IF(U162=0,"",K162/U162-1)</f>
        <v>-0.016210739614995</v>
      </c>
      <c r="X162" s="11"/>
      <c r="Y162" s="5" t="s">
        <v>253</v>
      </c>
      <c r="Z162" s="5" t="s">
        <v>254</v>
      </c>
      <c r="AA162" s="5" t="s">
        <v>251</v>
      </c>
      <c r="AB162" s="5"/>
      <c r="AC162" s="5" t="s">
        <v>604</v>
      </c>
      <c r="AD162" s="14" t="n">
        <v>46288.771875</v>
      </c>
    </row>
    <row r="163" customFormat="false" ht="15" hidden="false" customHeight="false" outlineLevel="0" collapsed="false">
      <c r="A163" s="5" t="s">
        <v>605</v>
      </c>
      <c r="B163" s="5" t="s">
        <v>606</v>
      </c>
      <c r="C163" s="5" t="s">
        <v>248</v>
      </c>
      <c r="D163" s="5" t="s">
        <v>249</v>
      </c>
      <c r="E163" s="5" t="s">
        <v>250</v>
      </c>
      <c r="F163" s="5" t="s">
        <v>251</v>
      </c>
      <c r="G163" s="5" t="s">
        <v>59</v>
      </c>
      <c r="H163" s="5" t="s">
        <v>60</v>
      </c>
      <c r="I163" s="6" t="n">
        <v>0.333333</v>
      </c>
      <c r="J163" s="7" t="n">
        <f aca="false">IF(I163="","",1/I163)</f>
        <v>3.000003000003</v>
      </c>
      <c r="K163" s="8" t="n">
        <v>81.21</v>
      </c>
      <c r="L163" s="9" t="n">
        <v>-0.11</v>
      </c>
      <c r="M163" s="10" t="n">
        <v>-0.0014</v>
      </c>
      <c r="N163" s="8" t="n">
        <v>81.21</v>
      </c>
      <c r="O163" s="8" t="n">
        <v>81.21</v>
      </c>
      <c r="P163" s="8" t="n">
        <v>81.21</v>
      </c>
      <c r="Q163" s="8" t="n">
        <v>81.6</v>
      </c>
      <c r="R163" s="11" t="n">
        <v>257</v>
      </c>
      <c r="S163" s="11" t="n">
        <f aca="false">K163*R163</f>
        <v>20870.97</v>
      </c>
      <c r="T163" s="8" t="n">
        <v>70.01</v>
      </c>
      <c r="U163" s="8" t="n">
        <v>84.32</v>
      </c>
      <c r="V163" s="12" t="n">
        <f aca="false">IF(U163-T163=0,"",(K163-T163)/(U163-T163))</f>
        <v>0.782669461914745</v>
      </c>
      <c r="W163" s="13" t="n">
        <f aca="false">IF(U163=0,"",K163/U163-1)</f>
        <v>-0.0368833017077799</v>
      </c>
      <c r="X163" s="11"/>
      <c r="Y163" s="5" t="s">
        <v>253</v>
      </c>
      <c r="Z163" s="5" t="s">
        <v>254</v>
      </c>
      <c r="AA163" s="5" t="s">
        <v>251</v>
      </c>
      <c r="AB163" s="5"/>
      <c r="AC163" s="5" t="s">
        <v>607</v>
      </c>
      <c r="AD163" s="14" t="n">
        <v>46288.771875</v>
      </c>
    </row>
    <row r="164" customFormat="false" ht="15" hidden="false" customHeight="false" outlineLevel="0" collapsed="false">
      <c r="A164" s="5" t="s">
        <v>608</v>
      </c>
      <c r="B164" s="5" t="s">
        <v>609</v>
      </c>
      <c r="C164" s="5" t="s">
        <v>248</v>
      </c>
      <c r="D164" s="5" t="s">
        <v>249</v>
      </c>
      <c r="E164" s="5" t="s">
        <v>250</v>
      </c>
      <c r="F164" s="5" t="s">
        <v>251</v>
      </c>
      <c r="G164" s="5" t="s">
        <v>59</v>
      </c>
      <c r="H164" s="5" t="s">
        <v>60</v>
      </c>
      <c r="I164" s="6" t="n">
        <v>0.25</v>
      </c>
      <c r="J164" s="7" t="n">
        <f aca="false">IF(I164="","",1/I164)</f>
        <v>4</v>
      </c>
      <c r="K164" s="8" t="n">
        <v>95</v>
      </c>
      <c r="L164" s="9" t="n">
        <v>0.77</v>
      </c>
      <c r="M164" s="10" t="n">
        <v>0.0082</v>
      </c>
      <c r="N164" s="8" t="n">
        <v>94.5</v>
      </c>
      <c r="O164" s="8" t="n">
        <v>94.5</v>
      </c>
      <c r="P164" s="8" t="n">
        <v>95</v>
      </c>
      <c r="Q164" s="8" t="n">
        <v>95</v>
      </c>
      <c r="R164" s="11" t="n">
        <v>2</v>
      </c>
      <c r="S164" s="11" t="n">
        <f aca="false">K164*R164</f>
        <v>190</v>
      </c>
      <c r="T164" s="8" t="n">
        <v>86.82</v>
      </c>
      <c r="U164" s="8" t="n">
        <v>105.71</v>
      </c>
      <c r="V164" s="12" t="n">
        <f aca="false">IF(U164-T164=0,"",(K164-T164)/(U164-T164))</f>
        <v>0.433033350979355</v>
      </c>
      <c r="W164" s="13" t="n">
        <f aca="false">IF(U164=0,"",K164/U164-1)</f>
        <v>-0.101314918172358</v>
      </c>
      <c r="X164" s="11"/>
      <c r="Y164" s="5" t="s">
        <v>253</v>
      </c>
      <c r="Z164" s="5" t="s">
        <v>254</v>
      </c>
      <c r="AA164" s="5" t="s">
        <v>251</v>
      </c>
      <c r="AB164" s="5"/>
      <c r="AC164" s="5" t="s">
        <v>610</v>
      </c>
      <c r="AD164" s="14" t="n">
        <v>46288.771875</v>
      </c>
    </row>
    <row r="165" customFormat="false" ht="15" hidden="false" customHeight="false" outlineLevel="0" collapsed="false">
      <c r="A165" s="5" t="s">
        <v>611</v>
      </c>
      <c r="B165" s="5" t="s">
        <v>612</v>
      </c>
      <c r="C165" s="5" t="s">
        <v>248</v>
      </c>
      <c r="D165" s="5" t="s">
        <v>249</v>
      </c>
      <c r="E165" s="5" t="s">
        <v>250</v>
      </c>
      <c r="F165" s="5" t="s">
        <v>251</v>
      </c>
      <c r="G165" s="5" t="s">
        <v>59</v>
      </c>
      <c r="H165" s="5" t="s">
        <v>60</v>
      </c>
      <c r="I165" s="6" t="n">
        <v>0.125</v>
      </c>
      <c r="J165" s="7" t="n">
        <f aca="false">IF(I165="","",1/I165)</f>
        <v>8</v>
      </c>
      <c r="K165" s="8" t="n">
        <v>119.67</v>
      </c>
      <c r="L165" s="9" t="n">
        <v>-2.97</v>
      </c>
      <c r="M165" s="10" t="n">
        <v>-0.0242</v>
      </c>
      <c r="N165" s="8" t="n">
        <v>120.35</v>
      </c>
      <c r="O165" s="8" t="n">
        <v>119.2</v>
      </c>
      <c r="P165" s="8" t="n">
        <v>120.95</v>
      </c>
      <c r="Q165" s="8" t="n">
        <v>119.67</v>
      </c>
      <c r="R165" s="11" t="n">
        <v>3206</v>
      </c>
      <c r="S165" s="11" t="n">
        <f aca="false">K165*R165</f>
        <v>383662.02</v>
      </c>
      <c r="T165" s="8" t="n">
        <v>52.4</v>
      </c>
      <c r="U165" s="8" t="n">
        <v>145.44</v>
      </c>
      <c r="V165" s="12" t="n">
        <f aca="false">IF(U165-T165=0,"",(K165-T165)/(U165-T165))</f>
        <v>0.723022355975925</v>
      </c>
      <c r="W165" s="13" t="n">
        <f aca="false">IF(U165=0,"",K165/U165-1)</f>
        <v>-0.177186468646865</v>
      </c>
      <c r="X165" s="11"/>
      <c r="Y165" s="5" t="s">
        <v>253</v>
      </c>
      <c r="Z165" s="5" t="s">
        <v>254</v>
      </c>
      <c r="AA165" s="5" t="s">
        <v>251</v>
      </c>
      <c r="AB165" s="5"/>
      <c r="AC165" s="5" t="s">
        <v>613</v>
      </c>
      <c r="AD165" s="14" t="n">
        <v>46288.771875</v>
      </c>
    </row>
    <row r="166" customFormat="false" ht="15" hidden="false" customHeight="false" outlineLevel="0" collapsed="false">
      <c r="A166" s="5" t="s">
        <v>614</v>
      </c>
      <c r="B166" s="5" t="s">
        <v>615</v>
      </c>
      <c r="C166" s="5" t="s">
        <v>248</v>
      </c>
      <c r="D166" s="5" t="s">
        <v>249</v>
      </c>
      <c r="E166" s="5" t="s">
        <v>250</v>
      </c>
      <c r="F166" s="5" t="s">
        <v>251</v>
      </c>
      <c r="G166" s="5" t="s">
        <v>59</v>
      </c>
      <c r="H166" s="5" t="s">
        <v>60</v>
      </c>
      <c r="I166" s="6" t="n">
        <v>0.33333</v>
      </c>
      <c r="J166" s="7" t="n">
        <f aca="false">IF(I166="","",1/I166)</f>
        <v>3.0000300003</v>
      </c>
      <c r="K166" s="8" t="n">
        <v>65.4</v>
      </c>
      <c r="L166" s="9" t="n">
        <v>0.23</v>
      </c>
      <c r="M166" s="10" t="n">
        <v>0.0035</v>
      </c>
      <c r="N166" s="8" t="n">
        <v>65.17</v>
      </c>
      <c r="O166" s="8" t="n">
        <v>65.17</v>
      </c>
      <c r="P166" s="8" t="n">
        <v>65.4</v>
      </c>
      <c r="Q166" s="8" t="n">
        <v>65.4</v>
      </c>
      <c r="R166" s="11" t="n">
        <v>102</v>
      </c>
      <c r="S166" s="11" t="n">
        <f aca="false">K166*R166</f>
        <v>6670.8</v>
      </c>
      <c r="T166" s="8" t="n">
        <v>53.01</v>
      </c>
      <c r="U166" s="8" t="n">
        <v>69.82</v>
      </c>
      <c r="V166" s="12" t="n">
        <f aca="false">IF(U166-T166=0,"",(K166-T166)/(U166-T166))</f>
        <v>0.737061273051756</v>
      </c>
      <c r="W166" s="13" t="n">
        <f aca="false">IF(U166=0,"",K166/U166-1)</f>
        <v>-0.0633056430822112</v>
      </c>
      <c r="X166" s="11"/>
      <c r="Y166" s="5" t="s">
        <v>253</v>
      </c>
      <c r="Z166" s="5" t="s">
        <v>254</v>
      </c>
      <c r="AA166" s="5" t="s">
        <v>251</v>
      </c>
      <c r="AB166" s="5"/>
      <c r="AC166" s="5" t="s">
        <v>616</v>
      </c>
      <c r="AD166" s="14" t="n">
        <v>46288.771875</v>
      </c>
    </row>
    <row r="167" customFormat="false" ht="15" hidden="false" customHeight="false" outlineLevel="0" collapsed="false">
      <c r="A167" s="5" t="s">
        <v>617</v>
      </c>
      <c r="B167" s="5" t="s">
        <v>618</v>
      </c>
      <c r="C167" s="5" t="s">
        <v>248</v>
      </c>
      <c r="D167" s="5" t="s">
        <v>249</v>
      </c>
      <c r="E167" s="5" t="s">
        <v>250</v>
      </c>
      <c r="F167" s="5" t="s">
        <v>251</v>
      </c>
      <c r="G167" s="5" t="s">
        <v>59</v>
      </c>
      <c r="H167" s="5" t="s">
        <v>60</v>
      </c>
      <c r="I167" s="6" t="n">
        <v>0.16666666</v>
      </c>
      <c r="J167" s="7" t="n">
        <f aca="false">IF(I167="","",1/I167)</f>
        <v>6.00000024000001</v>
      </c>
      <c r="K167" s="8" t="n">
        <v>58</v>
      </c>
      <c r="L167" s="9" t="n">
        <v>-3.02</v>
      </c>
      <c r="M167" s="10" t="n">
        <v>-0.0495</v>
      </c>
      <c r="N167" s="8" t="n">
        <v>58</v>
      </c>
      <c r="O167" s="8" t="n">
        <v>58</v>
      </c>
      <c r="P167" s="8" t="n">
        <v>58</v>
      </c>
      <c r="Q167" s="8" t="n">
        <v>58</v>
      </c>
      <c r="R167" s="11" t="n">
        <v>9</v>
      </c>
      <c r="S167" s="11" t="n">
        <f aca="false">K167*R167</f>
        <v>522</v>
      </c>
      <c r="T167" s="8" t="n">
        <v>50.27</v>
      </c>
      <c r="U167" s="8" t="n">
        <v>133.05</v>
      </c>
      <c r="V167" s="12" t="n">
        <f aca="false">IF(U167-T167=0,"",(K167-T167)/(U167-T167))</f>
        <v>0.0933800434887654</v>
      </c>
      <c r="W167" s="13" t="n">
        <f aca="false">IF(U167=0,"",K167/U167-1)</f>
        <v>-0.564073656520105</v>
      </c>
      <c r="X167" s="11"/>
      <c r="Y167" s="5" t="s">
        <v>253</v>
      </c>
      <c r="Z167" s="5" t="s">
        <v>254</v>
      </c>
      <c r="AA167" s="5" t="s">
        <v>251</v>
      </c>
      <c r="AB167" s="5"/>
      <c r="AC167" s="5" t="s">
        <v>619</v>
      </c>
      <c r="AD167" s="14" t="n">
        <v>46288.771875</v>
      </c>
    </row>
    <row r="168" customFormat="false" ht="15" hidden="false" customHeight="false" outlineLevel="0" collapsed="false">
      <c r="A168" s="5" t="s">
        <v>620</v>
      </c>
      <c r="B168" s="5" t="s">
        <v>621</v>
      </c>
      <c r="C168" s="5" t="s">
        <v>248</v>
      </c>
      <c r="D168" s="5" t="s">
        <v>249</v>
      </c>
      <c r="E168" s="5" t="s">
        <v>250</v>
      </c>
      <c r="F168" s="5" t="s">
        <v>251</v>
      </c>
      <c r="G168" s="5" t="s">
        <v>59</v>
      </c>
      <c r="H168" s="5" t="s">
        <v>60</v>
      </c>
      <c r="I168" s="6" t="n">
        <v>0.25</v>
      </c>
      <c r="J168" s="7" t="n">
        <f aca="false">IF(I168="","",1/I168)</f>
        <v>4</v>
      </c>
      <c r="K168" s="8" t="n">
        <v>87.93</v>
      </c>
      <c r="L168" s="9" t="n">
        <v>0</v>
      </c>
      <c r="M168" s="10" t="n">
        <v>0</v>
      </c>
      <c r="N168" s="8" t="n">
        <v>87.93</v>
      </c>
      <c r="O168" s="8" t="n">
        <v>87.93</v>
      </c>
      <c r="P168" s="8" t="n">
        <v>87.93</v>
      </c>
      <c r="Q168" s="8" t="n">
        <v>87.93</v>
      </c>
      <c r="R168" s="11" t="n">
        <v>1200</v>
      </c>
      <c r="S168" s="11" t="n">
        <f aca="false">K168*R168</f>
        <v>105516</v>
      </c>
      <c r="T168" s="8" t="n">
        <v>79</v>
      </c>
      <c r="U168" s="8" t="n">
        <v>92.79</v>
      </c>
      <c r="V168" s="12" t="n">
        <f aca="false">IF(U168-T168=0,"",(K168-T168)/(U168-T168))</f>
        <v>0.647570703408267</v>
      </c>
      <c r="W168" s="13" t="n">
        <f aca="false">IF(U168=0,"",K168/U168-1)</f>
        <v>-0.0523763336566441</v>
      </c>
      <c r="X168" s="11"/>
      <c r="Y168" s="5" t="s">
        <v>253</v>
      </c>
      <c r="Z168" s="5" t="s">
        <v>254</v>
      </c>
      <c r="AA168" s="5" t="s">
        <v>251</v>
      </c>
      <c r="AB168" s="5"/>
      <c r="AC168" s="5" t="s">
        <v>622</v>
      </c>
      <c r="AD168" s="14" t="n">
        <v>46288.771875</v>
      </c>
    </row>
    <row r="169" customFormat="false" ht="15" hidden="false" customHeight="false" outlineLevel="0" collapsed="false">
      <c r="A169" s="5" t="s">
        <v>623</v>
      </c>
      <c r="B169" s="5" t="s">
        <v>624</v>
      </c>
      <c r="C169" s="5" t="s">
        <v>248</v>
      </c>
      <c r="D169" s="5" t="s">
        <v>249</v>
      </c>
      <c r="E169" s="5" t="s">
        <v>250</v>
      </c>
      <c r="F169" s="5" t="s">
        <v>251</v>
      </c>
      <c r="G169" s="5" t="s">
        <v>59</v>
      </c>
      <c r="H169" s="5" t="s">
        <v>60</v>
      </c>
      <c r="I169" s="6" t="n">
        <v>0.125</v>
      </c>
      <c r="J169" s="7" t="n">
        <f aca="false">IF(I169="","",1/I169)</f>
        <v>8</v>
      </c>
      <c r="K169" s="8" t="n">
        <v>61.6</v>
      </c>
      <c r="L169" s="9" t="n">
        <v>1.54</v>
      </c>
      <c r="M169" s="10" t="n">
        <v>0.0256</v>
      </c>
      <c r="N169" s="8" t="n">
        <v>61.6</v>
      </c>
      <c r="O169" s="8" t="n">
        <v>61.6</v>
      </c>
      <c r="P169" s="8" t="n">
        <v>61.6</v>
      </c>
      <c r="Q169" s="8" t="n">
        <v>61.6</v>
      </c>
      <c r="R169" s="11" t="n">
        <v>8</v>
      </c>
      <c r="S169" s="11" t="n">
        <f aca="false">K169*R169</f>
        <v>492.8</v>
      </c>
      <c r="T169" s="8" t="n">
        <v>55.5</v>
      </c>
      <c r="U169" s="8" t="n">
        <v>61.6</v>
      </c>
      <c r="V169" s="12" t="n">
        <f aca="false">IF(U169-T169=0,"",(K169-T169)/(U169-T169))</f>
        <v>1</v>
      </c>
      <c r="W169" s="13" t="n">
        <f aca="false">IF(U169=0,"",K169/U169-1)</f>
        <v>0</v>
      </c>
      <c r="X169" s="11"/>
      <c r="Y169" s="5" t="s">
        <v>253</v>
      </c>
      <c r="Z169" s="5" t="s">
        <v>254</v>
      </c>
      <c r="AA169" s="5" t="s">
        <v>251</v>
      </c>
      <c r="AB169" s="5"/>
      <c r="AC169" s="5" t="s">
        <v>625</v>
      </c>
      <c r="AD169" s="14" t="n">
        <v>46288.771875</v>
      </c>
    </row>
    <row r="170" customFormat="false" ht="15" hidden="false" customHeight="false" outlineLevel="0" collapsed="false">
      <c r="A170" s="5" t="s">
        <v>626</v>
      </c>
      <c r="B170" s="5" t="s">
        <v>627</v>
      </c>
      <c r="C170" s="5" t="s">
        <v>248</v>
      </c>
      <c r="D170" s="5" t="s">
        <v>249</v>
      </c>
      <c r="E170" s="5" t="s">
        <v>250</v>
      </c>
      <c r="F170" s="5" t="s">
        <v>251</v>
      </c>
      <c r="G170" s="5" t="s">
        <v>59</v>
      </c>
      <c r="H170" s="5" t="s">
        <v>60</v>
      </c>
      <c r="I170" s="6" t="n">
        <v>0.05</v>
      </c>
      <c r="J170" s="7" t="n">
        <f aca="false">IF(I170="","",1/I170)</f>
        <v>20</v>
      </c>
      <c r="K170" s="8" t="n">
        <v>69.24</v>
      </c>
      <c r="L170" s="9" t="n">
        <v>1.54</v>
      </c>
      <c r="M170" s="10" t="n">
        <v>0.0227</v>
      </c>
      <c r="N170" s="8" t="n">
        <v>69.24</v>
      </c>
      <c r="O170" s="8" t="n">
        <v>69.24</v>
      </c>
      <c r="P170" s="8" t="n">
        <v>69.24</v>
      </c>
      <c r="Q170" s="8" t="n">
        <v>69.24</v>
      </c>
      <c r="R170" s="11" t="n">
        <v>2</v>
      </c>
      <c r="S170" s="11" t="n">
        <f aca="false">K170*R170</f>
        <v>138.48</v>
      </c>
      <c r="T170" s="8" t="n">
        <v>50.15</v>
      </c>
      <c r="U170" s="8" t="n">
        <v>69.24</v>
      </c>
      <c r="V170" s="12" t="n">
        <f aca="false">IF(U170-T170=0,"",(K170-T170)/(U170-T170))</f>
        <v>1</v>
      </c>
      <c r="W170" s="13" t="n">
        <f aca="false">IF(U170=0,"",K170/U170-1)</f>
        <v>0</v>
      </c>
      <c r="X170" s="11"/>
      <c r="Y170" s="5" t="s">
        <v>253</v>
      </c>
      <c r="Z170" s="5" t="s">
        <v>254</v>
      </c>
      <c r="AA170" s="5" t="s">
        <v>251</v>
      </c>
      <c r="AB170" s="5"/>
      <c r="AC170" s="5" t="s">
        <v>628</v>
      </c>
      <c r="AD170" s="14" t="n">
        <v>46288.771875</v>
      </c>
    </row>
    <row r="171" customFormat="false" ht="15" hidden="false" customHeight="false" outlineLevel="0" collapsed="false">
      <c r="A171" s="5" t="s">
        <v>629</v>
      </c>
      <c r="B171" s="5" t="s">
        <v>630</v>
      </c>
      <c r="C171" s="5" t="s">
        <v>248</v>
      </c>
      <c r="D171" s="5" t="s">
        <v>249</v>
      </c>
      <c r="E171" s="5" t="s">
        <v>250</v>
      </c>
      <c r="F171" s="5" t="s">
        <v>251</v>
      </c>
      <c r="G171" s="5" t="s">
        <v>59</v>
      </c>
      <c r="H171" s="5" t="s">
        <v>60</v>
      </c>
      <c r="I171" s="6" t="n">
        <v>0.5</v>
      </c>
      <c r="J171" s="7" t="n">
        <f aca="false">IF(I171="","",1/I171)</f>
        <v>2</v>
      </c>
      <c r="K171" s="8" t="n">
        <v>74.35</v>
      </c>
      <c r="L171" s="9" t="n">
        <v>-1.97</v>
      </c>
      <c r="M171" s="10" t="n">
        <v>-0.0258</v>
      </c>
      <c r="N171" s="8" t="n">
        <v>74.35</v>
      </c>
      <c r="O171" s="8" t="n">
        <v>74.35</v>
      </c>
      <c r="P171" s="8" t="n">
        <v>74.35</v>
      </c>
      <c r="Q171" s="8" t="n">
        <v>74.35</v>
      </c>
      <c r="R171" s="11" t="n">
        <v>1</v>
      </c>
      <c r="S171" s="11" t="n">
        <f aca="false">K171*R171</f>
        <v>74.35</v>
      </c>
      <c r="T171" s="8" t="n">
        <v>59.4</v>
      </c>
      <c r="U171" s="8" t="n">
        <v>86.07</v>
      </c>
      <c r="V171" s="12" t="n">
        <f aca="false">IF(U171-T171=0,"",(K171-T171)/(U171-T171))</f>
        <v>0.560554930633671</v>
      </c>
      <c r="W171" s="13" t="n">
        <f aca="false">IF(U171=0,"",K171/U171-1)</f>
        <v>-0.13616823515743</v>
      </c>
      <c r="X171" s="11"/>
      <c r="Y171" s="5" t="s">
        <v>253</v>
      </c>
      <c r="Z171" s="5" t="s">
        <v>254</v>
      </c>
      <c r="AA171" s="5" t="s">
        <v>251</v>
      </c>
      <c r="AB171" s="5"/>
      <c r="AC171" s="5" t="s">
        <v>631</v>
      </c>
      <c r="AD171" s="14" t="n">
        <v>46288.771875</v>
      </c>
    </row>
    <row r="172" customFormat="false" ht="15" hidden="false" customHeight="false" outlineLevel="0" collapsed="false">
      <c r="A172" s="5" t="s">
        <v>632</v>
      </c>
      <c r="B172" s="5" t="s">
        <v>633</v>
      </c>
      <c r="C172" s="5" t="s">
        <v>248</v>
      </c>
      <c r="D172" s="5" t="s">
        <v>249</v>
      </c>
      <c r="E172" s="5" t="s">
        <v>250</v>
      </c>
      <c r="F172" s="5" t="s">
        <v>251</v>
      </c>
      <c r="G172" s="5" t="s">
        <v>59</v>
      </c>
      <c r="H172" s="5" t="s">
        <v>60</v>
      </c>
      <c r="I172" s="6" t="n">
        <v>0.2</v>
      </c>
      <c r="J172" s="7" t="n">
        <f aca="false">IF(I172="","",1/I172)</f>
        <v>5</v>
      </c>
      <c r="K172" s="8" t="n">
        <v>26.43</v>
      </c>
      <c r="L172" s="9" t="n">
        <v>-0.25</v>
      </c>
      <c r="M172" s="10" t="n">
        <v>-0.0094</v>
      </c>
      <c r="N172" s="8" t="n">
        <v>26.42</v>
      </c>
      <c r="O172" s="8" t="n">
        <v>26.42</v>
      </c>
      <c r="P172" s="8" t="n">
        <v>26.43</v>
      </c>
      <c r="Q172" s="8" t="n">
        <v>26.43</v>
      </c>
      <c r="R172" s="11" t="n">
        <v>54</v>
      </c>
      <c r="S172" s="11" t="n">
        <f aca="false">K172*R172</f>
        <v>1427.22</v>
      </c>
      <c r="T172" s="8" t="n">
        <v>23.69</v>
      </c>
      <c r="U172" s="8" t="n">
        <v>36.48</v>
      </c>
      <c r="V172" s="12" t="n">
        <f aca="false">IF(U172-T172=0,"",(K172-T172)/(U172-T172))</f>
        <v>0.214229867083659</v>
      </c>
      <c r="W172" s="13" t="n">
        <f aca="false">IF(U172=0,"",K172/U172-1)</f>
        <v>-0.275493421052632</v>
      </c>
      <c r="X172" s="11"/>
      <c r="Y172" s="5" t="s">
        <v>253</v>
      </c>
      <c r="Z172" s="5" t="s">
        <v>254</v>
      </c>
      <c r="AA172" s="5" t="s">
        <v>251</v>
      </c>
      <c r="AB172" s="5"/>
      <c r="AC172" s="5" t="s">
        <v>634</v>
      </c>
      <c r="AD172" s="14" t="n">
        <v>46288.771875</v>
      </c>
    </row>
    <row r="173" customFormat="false" ht="15" hidden="false" customHeight="false" outlineLevel="0" collapsed="false">
      <c r="A173" s="5" t="s">
        <v>635</v>
      </c>
      <c r="B173" s="5" t="s">
        <v>636</v>
      </c>
      <c r="C173" s="5" t="s">
        <v>248</v>
      </c>
      <c r="D173" s="5" t="s">
        <v>249</v>
      </c>
      <c r="E173" s="5" t="s">
        <v>250</v>
      </c>
      <c r="F173" s="5" t="s">
        <v>251</v>
      </c>
      <c r="G173" s="5" t="s">
        <v>59</v>
      </c>
      <c r="H173" s="5" t="s">
        <v>60</v>
      </c>
      <c r="I173" s="6" t="n">
        <v>0.066666667</v>
      </c>
      <c r="J173" s="7" t="n">
        <f aca="false">IF(I173="","",1/I173)</f>
        <v>14.999999925</v>
      </c>
      <c r="K173" s="8" t="n">
        <v>61.59</v>
      </c>
      <c r="L173" s="9" t="n">
        <v>-4.9</v>
      </c>
      <c r="M173" s="10" t="n">
        <v>-0.0737</v>
      </c>
      <c r="N173" s="8" t="n">
        <v>61.59</v>
      </c>
      <c r="O173" s="8" t="n">
        <v>61.59</v>
      </c>
      <c r="P173" s="8" t="n">
        <v>61.59</v>
      </c>
      <c r="Q173" s="8" t="n">
        <v>61.59</v>
      </c>
      <c r="R173" s="11" t="n">
        <v>14</v>
      </c>
      <c r="S173" s="11" t="n">
        <f aca="false">K173*R173</f>
        <v>862.26</v>
      </c>
      <c r="T173" s="8" t="n">
        <v>57.13</v>
      </c>
      <c r="U173" s="8" t="n">
        <v>66.52</v>
      </c>
      <c r="V173" s="12" t="n">
        <f aca="false">IF(U173-T173=0,"",(K173-T173)/(U173-T173))</f>
        <v>0.474973375931843</v>
      </c>
      <c r="W173" s="13" t="n">
        <f aca="false">IF(U173=0,"",K173/U173-1)</f>
        <v>-0.0741130487071556</v>
      </c>
      <c r="X173" s="11"/>
      <c r="Y173" s="5" t="s">
        <v>253</v>
      </c>
      <c r="Z173" s="5" t="s">
        <v>254</v>
      </c>
      <c r="AA173" s="5" t="s">
        <v>251</v>
      </c>
      <c r="AB173" s="5"/>
      <c r="AC173" s="5" t="s">
        <v>637</v>
      </c>
      <c r="AD173" s="14" t="n">
        <v>46288.771875</v>
      </c>
    </row>
    <row r="174" customFormat="false" ht="15" hidden="false" customHeight="false" outlineLevel="0" collapsed="false">
      <c r="A174" s="5" t="s">
        <v>638</v>
      </c>
      <c r="B174" s="5" t="s">
        <v>639</v>
      </c>
      <c r="C174" s="5" t="s">
        <v>248</v>
      </c>
      <c r="D174" s="5" t="s">
        <v>249</v>
      </c>
      <c r="E174" s="5" t="s">
        <v>250</v>
      </c>
      <c r="F174" s="5" t="s">
        <v>251</v>
      </c>
      <c r="G174" s="5" t="s">
        <v>59</v>
      </c>
      <c r="H174" s="5" t="s">
        <v>60</v>
      </c>
      <c r="I174" s="6" t="n">
        <v>0.2</v>
      </c>
      <c r="J174" s="7" t="n">
        <f aca="false">IF(I174="","",1/I174)</f>
        <v>5</v>
      </c>
      <c r="K174" s="8" t="n">
        <v>35.56</v>
      </c>
      <c r="L174" s="9" t="n">
        <v>-0.16</v>
      </c>
      <c r="M174" s="10" t="n">
        <v>-0.0045</v>
      </c>
      <c r="N174" s="8" t="n">
        <v>36.08</v>
      </c>
      <c r="O174" s="8" t="n">
        <v>35.5</v>
      </c>
      <c r="P174" s="8" t="n">
        <v>36.08</v>
      </c>
      <c r="Q174" s="8" t="n">
        <v>35.56</v>
      </c>
      <c r="R174" s="11" t="n">
        <v>175</v>
      </c>
      <c r="S174" s="11" t="n">
        <f aca="false">K174*R174</f>
        <v>6223</v>
      </c>
      <c r="T174" s="8" t="n">
        <v>32.36</v>
      </c>
      <c r="U174" s="8" t="n">
        <v>45.02</v>
      </c>
      <c r="V174" s="12" t="n">
        <f aca="false">IF(U174-T174=0,"",(K174-T174)/(U174-T174))</f>
        <v>0.252764612954187</v>
      </c>
      <c r="W174" s="13" t="n">
        <f aca="false">IF(U174=0,"",K174/U174-1)</f>
        <v>-0.210128831630387</v>
      </c>
      <c r="X174" s="11"/>
      <c r="Y174" s="5" t="s">
        <v>253</v>
      </c>
      <c r="Z174" s="5" t="s">
        <v>254</v>
      </c>
      <c r="AA174" s="5" t="s">
        <v>251</v>
      </c>
      <c r="AB174" s="5"/>
      <c r="AC174" s="5" t="s">
        <v>640</v>
      </c>
      <c r="AD174" s="14" t="n">
        <v>46288.771875</v>
      </c>
    </row>
    <row r="175" customFormat="false" ht="15" hidden="false" customHeight="false" outlineLevel="0" collapsed="false">
      <c r="A175" s="5" t="s">
        <v>641</v>
      </c>
      <c r="B175" s="5" t="s">
        <v>642</v>
      </c>
      <c r="C175" s="5" t="s">
        <v>248</v>
      </c>
      <c r="D175" s="5" t="s">
        <v>249</v>
      </c>
      <c r="E175" s="5" t="s">
        <v>250</v>
      </c>
      <c r="F175" s="5" t="s">
        <v>251</v>
      </c>
      <c r="G175" s="5" t="s">
        <v>59</v>
      </c>
      <c r="H175" s="5" t="s">
        <v>60</v>
      </c>
      <c r="I175" s="6" t="n">
        <v>0.166666667</v>
      </c>
      <c r="J175" s="7" t="n">
        <f aca="false">IF(I175="","",1/I175)</f>
        <v>5.999999988</v>
      </c>
      <c r="K175" s="8" t="n">
        <v>70.98</v>
      </c>
      <c r="L175" s="9" t="n">
        <v>0.26</v>
      </c>
      <c r="M175" s="10" t="n">
        <v>0.0037</v>
      </c>
      <c r="N175" s="8" t="n">
        <v>70.98</v>
      </c>
      <c r="O175" s="8" t="n">
        <v>70.98</v>
      </c>
      <c r="P175" s="8" t="n">
        <v>70.98</v>
      </c>
      <c r="Q175" s="8" t="n">
        <v>70.98</v>
      </c>
      <c r="R175" s="11" t="n">
        <v>3</v>
      </c>
      <c r="S175" s="11" t="n">
        <f aca="false">K175*R175</f>
        <v>212.94</v>
      </c>
      <c r="T175" s="8" t="n">
        <v>55.87</v>
      </c>
      <c r="U175" s="8" t="n">
        <v>70.98</v>
      </c>
      <c r="V175" s="12" t="n">
        <f aca="false">IF(U175-T175=0,"",(K175-T175)/(U175-T175))</f>
        <v>1</v>
      </c>
      <c r="W175" s="13" t="n">
        <f aca="false">IF(U175=0,"",K175/U175-1)</f>
        <v>0</v>
      </c>
      <c r="X175" s="11"/>
      <c r="Y175" s="5" t="s">
        <v>253</v>
      </c>
      <c r="Z175" s="5" t="s">
        <v>254</v>
      </c>
      <c r="AA175" s="5" t="s">
        <v>251</v>
      </c>
      <c r="AB175" s="5"/>
      <c r="AC175" s="5" t="s">
        <v>643</v>
      </c>
      <c r="AD175" s="14" t="n">
        <v>46288.771875</v>
      </c>
    </row>
    <row r="176" customFormat="false" ht="15" hidden="false" customHeight="false" outlineLevel="0" collapsed="false">
      <c r="A176" s="5" t="s">
        <v>644</v>
      </c>
      <c r="B176" s="5" t="s">
        <v>645</v>
      </c>
      <c r="C176" s="5" t="s">
        <v>248</v>
      </c>
      <c r="D176" s="5" t="s">
        <v>249</v>
      </c>
      <c r="E176" s="5" t="s">
        <v>250</v>
      </c>
      <c r="F176" s="5" t="s">
        <v>251</v>
      </c>
      <c r="G176" s="5" t="s">
        <v>59</v>
      </c>
      <c r="H176" s="5" t="s">
        <v>60</v>
      </c>
      <c r="I176" s="6" t="n">
        <v>0.125</v>
      </c>
      <c r="J176" s="7" t="n">
        <f aca="false">IF(I176="","",1/I176)</f>
        <v>8</v>
      </c>
      <c r="K176" s="8" t="n">
        <v>93.42</v>
      </c>
      <c r="L176" s="9" t="n">
        <v>1.17</v>
      </c>
      <c r="M176" s="10" t="n">
        <v>0.0127</v>
      </c>
      <c r="N176" s="8" t="n">
        <v>93.06</v>
      </c>
      <c r="O176" s="8" t="n">
        <v>93.06</v>
      </c>
      <c r="P176" s="8" t="n">
        <v>93.42</v>
      </c>
      <c r="Q176" s="8" t="n">
        <v>93.42</v>
      </c>
      <c r="R176" s="11" t="n">
        <v>12</v>
      </c>
      <c r="S176" s="11" t="n">
        <f aca="false">K176*R176</f>
        <v>1121.04</v>
      </c>
      <c r="T176" s="8" t="n">
        <v>78</v>
      </c>
      <c r="U176" s="8" t="n">
        <v>93.87</v>
      </c>
      <c r="V176" s="12" t="n">
        <f aca="false">IF(U176-T176=0,"",(K176-T176)/(U176-T176))</f>
        <v>0.97164461247637</v>
      </c>
      <c r="W176" s="13" t="n">
        <f aca="false">IF(U176=0,"",K176/U176-1)</f>
        <v>-0.00479386385426661</v>
      </c>
      <c r="X176" s="11"/>
      <c r="Y176" s="5" t="s">
        <v>253</v>
      </c>
      <c r="Z176" s="5" t="s">
        <v>254</v>
      </c>
      <c r="AA176" s="5" t="s">
        <v>251</v>
      </c>
      <c r="AB176" s="5"/>
      <c r="AC176" s="5" t="s">
        <v>646</v>
      </c>
      <c r="AD176" s="14" t="n">
        <v>46288.771875</v>
      </c>
    </row>
    <row r="177" customFormat="false" ht="15" hidden="false" customHeight="false" outlineLevel="0" collapsed="false">
      <c r="A177" s="5" t="s">
        <v>647</v>
      </c>
      <c r="B177" s="5" t="s">
        <v>648</v>
      </c>
      <c r="C177" s="5" t="s">
        <v>248</v>
      </c>
      <c r="D177" s="5" t="s">
        <v>249</v>
      </c>
      <c r="E177" s="5" t="s">
        <v>250</v>
      </c>
      <c r="F177" s="5" t="s">
        <v>251</v>
      </c>
      <c r="G177" s="5" t="s">
        <v>59</v>
      </c>
      <c r="H177" s="5" t="s">
        <v>60</v>
      </c>
      <c r="I177" s="6" t="n">
        <v>0.16666667</v>
      </c>
      <c r="J177" s="7" t="n">
        <f aca="false">IF(I177="","",1/I177)</f>
        <v>5.99999988</v>
      </c>
      <c r="K177" s="8" t="n">
        <v>59.42</v>
      </c>
      <c r="L177" s="9" t="n">
        <v>0</v>
      </c>
      <c r="M177" s="10" t="n">
        <v>0</v>
      </c>
      <c r="N177" s="8" t="n">
        <v>59.42</v>
      </c>
      <c r="O177" s="8" t="n">
        <v>59.42</v>
      </c>
      <c r="P177" s="8" t="n">
        <v>59.42</v>
      </c>
      <c r="Q177" s="8" t="n">
        <v>59.42</v>
      </c>
      <c r="R177" s="11" t="n">
        <v>14</v>
      </c>
      <c r="S177" s="11" t="n">
        <f aca="false">K177*R177</f>
        <v>831.88</v>
      </c>
      <c r="T177" s="8" t="n">
        <v>36.04333297</v>
      </c>
      <c r="U177" s="8" t="n">
        <v>59.42</v>
      </c>
      <c r="V177" s="12" t="n">
        <f aca="false">IF(U177-T177=0,"",(K177-T177)/(U177-T177))</f>
        <v>1</v>
      </c>
      <c r="W177" s="13" t="n">
        <f aca="false">IF(U177=0,"",K177/U177-1)</f>
        <v>0</v>
      </c>
      <c r="X177" s="11"/>
      <c r="Y177" s="5" t="s">
        <v>253</v>
      </c>
      <c r="Z177" s="5" t="s">
        <v>254</v>
      </c>
      <c r="AA177" s="5" t="s">
        <v>251</v>
      </c>
      <c r="AB177" s="5"/>
      <c r="AC177" s="5" t="s">
        <v>649</v>
      </c>
      <c r="AD177" s="14" t="n">
        <v>46288.771875</v>
      </c>
    </row>
    <row r="178" customFormat="false" ht="15" hidden="false" customHeight="false" outlineLevel="0" collapsed="false">
      <c r="A178" s="5" t="s">
        <v>650</v>
      </c>
      <c r="B178" s="5" t="s">
        <v>651</v>
      </c>
      <c r="C178" s="5" t="s">
        <v>248</v>
      </c>
      <c r="D178" s="5" t="s">
        <v>249</v>
      </c>
      <c r="E178" s="5" t="s">
        <v>250</v>
      </c>
      <c r="F178" s="5" t="s">
        <v>251</v>
      </c>
      <c r="G178" s="5" t="s">
        <v>59</v>
      </c>
      <c r="H178" s="5" t="s">
        <v>60</v>
      </c>
      <c r="I178" s="6" t="n">
        <v>0.333333</v>
      </c>
      <c r="J178" s="7" t="n">
        <f aca="false">IF(I178="","",1/I178)</f>
        <v>3.000003000003</v>
      </c>
      <c r="K178" s="8" t="n">
        <v>38.04</v>
      </c>
      <c r="L178" s="9" t="n">
        <v>0.21</v>
      </c>
      <c r="M178" s="10" t="n">
        <v>0.0056</v>
      </c>
      <c r="N178" s="8" t="n">
        <v>37.9</v>
      </c>
      <c r="O178" s="8" t="n">
        <v>37.8</v>
      </c>
      <c r="P178" s="8" t="n">
        <v>38.04</v>
      </c>
      <c r="Q178" s="8" t="n">
        <v>38.04</v>
      </c>
      <c r="R178" s="11" t="n">
        <v>4568</v>
      </c>
      <c r="S178" s="11" t="n">
        <f aca="false">K178*R178</f>
        <v>173766.72</v>
      </c>
      <c r="T178" s="8" t="n">
        <v>35.63</v>
      </c>
      <c r="U178" s="8" t="n">
        <v>44.5</v>
      </c>
      <c r="V178" s="12" t="n">
        <f aca="false">IF(U178-T178=0,"",(K178-T178)/(U178-T178))</f>
        <v>0.271702367531003</v>
      </c>
      <c r="W178" s="13" t="n">
        <f aca="false">IF(U178=0,"",K178/U178-1)</f>
        <v>-0.145168539325843</v>
      </c>
      <c r="X178" s="11"/>
      <c r="Y178" s="5" t="s">
        <v>253</v>
      </c>
      <c r="Z178" s="5" t="s">
        <v>254</v>
      </c>
      <c r="AA178" s="5" t="s">
        <v>251</v>
      </c>
      <c r="AB178" s="5"/>
      <c r="AC178" s="5" t="s">
        <v>652</v>
      </c>
      <c r="AD178" s="14" t="n">
        <v>46288.771875</v>
      </c>
    </row>
    <row r="179" customFormat="false" ht="15" hidden="false" customHeight="false" outlineLevel="0" collapsed="false">
      <c r="A179" s="5" t="s">
        <v>653</v>
      </c>
      <c r="B179" s="5" t="s">
        <v>654</v>
      </c>
      <c r="C179" s="5" t="s">
        <v>248</v>
      </c>
      <c r="D179" s="5" t="s">
        <v>249</v>
      </c>
      <c r="E179" s="5" t="s">
        <v>250</v>
      </c>
      <c r="F179" s="5" t="s">
        <v>251</v>
      </c>
      <c r="G179" s="5" t="s">
        <v>59</v>
      </c>
      <c r="H179" s="5" t="s">
        <v>60</v>
      </c>
      <c r="I179" s="6" t="n">
        <v>1</v>
      </c>
      <c r="J179" s="7" t="n">
        <f aca="false">IF(I179="","",1/I179)</f>
        <v>1</v>
      </c>
      <c r="K179" s="8" t="n">
        <v>170</v>
      </c>
      <c r="L179" s="9" t="n">
        <v>-2</v>
      </c>
      <c r="M179" s="10" t="n">
        <v>-0.0116</v>
      </c>
      <c r="N179" s="8" t="n">
        <v>170</v>
      </c>
      <c r="O179" s="8" t="n">
        <v>170</v>
      </c>
      <c r="P179" s="8" t="n">
        <v>170</v>
      </c>
      <c r="Q179" s="8" t="n">
        <v>170</v>
      </c>
      <c r="R179" s="11" t="n">
        <v>5</v>
      </c>
      <c r="S179" s="11" t="n">
        <f aca="false">K179*R179</f>
        <v>850</v>
      </c>
      <c r="T179" s="8" t="n">
        <v>170</v>
      </c>
      <c r="U179" s="8" t="n">
        <v>218.32</v>
      </c>
      <c r="V179" s="12" t="n">
        <f aca="false">IF(U179-T179=0,"",(K179-T179)/(U179-T179))</f>
        <v>0</v>
      </c>
      <c r="W179" s="13" t="n">
        <f aca="false">IF(U179=0,"",K179/U179-1)</f>
        <v>-0.22132649322096</v>
      </c>
      <c r="X179" s="11"/>
      <c r="Y179" s="5" t="s">
        <v>253</v>
      </c>
      <c r="Z179" s="5" t="s">
        <v>254</v>
      </c>
      <c r="AA179" s="5" t="s">
        <v>251</v>
      </c>
      <c r="AB179" s="5"/>
      <c r="AC179" s="5" t="s">
        <v>655</v>
      </c>
      <c r="AD179" s="14" t="n">
        <v>46288.771875</v>
      </c>
    </row>
    <row r="180" customFormat="false" ht="15" hidden="false" customHeight="false" outlineLevel="0" collapsed="false">
      <c r="A180" s="5" t="s">
        <v>656</v>
      </c>
      <c r="B180" s="5" t="s">
        <v>657</v>
      </c>
      <c r="C180" s="5" t="s">
        <v>248</v>
      </c>
      <c r="D180" s="5" t="s">
        <v>249</v>
      </c>
      <c r="E180" s="5" t="s">
        <v>250</v>
      </c>
      <c r="F180" s="5" t="s">
        <v>251</v>
      </c>
      <c r="G180" s="5" t="s">
        <v>59</v>
      </c>
      <c r="H180" s="5" t="s">
        <v>60</v>
      </c>
      <c r="I180" s="6" t="n">
        <v>0.08333333</v>
      </c>
      <c r="J180" s="7" t="n">
        <f aca="false">IF(I180="","",1/I180)</f>
        <v>12.00000048</v>
      </c>
      <c r="K180" s="8" t="n">
        <v>77.27</v>
      </c>
      <c r="L180" s="9" t="n">
        <v>0.11</v>
      </c>
      <c r="M180" s="10" t="n">
        <v>0.0014</v>
      </c>
      <c r="N180" s="8" t="n">
        <v>77.27</v>
      </c>
      <c r="O180" s="8" t="n">
        <v>77.27</v>
      </c>
      <c r="P180" s="8" t="n">
        <v>77.27</v>
      </c>
      <c r="Q180" s="8" t="n">
        <v>77.27</v>
      </c>
      <c r="R180" s="11" t="n">
        <v>130</v>
      </c>
      <c r="S180" s="11" t="n">
        <f aca="false">K180*R180</f>
        <v>10045.1</v>
      </c>
      <c r="T180" s="8" t="n">
        <v>72.52</v>
      </c>
      <c r="U180" s="8" t="n">
        <v>82.48</v>
      </c>
      <c r="V180" s="12" t="n">
        <f aca="false">IF(U180-T180=0,"",(K180-T180)/(U180-T180))</f>
        <v>0.476907630522088</v>
      </c>
      <c r="W180" s="13" t="n">
        <f aca="false">IF(U180=0,"",K180/U180-1)</f>
        <v>-0.0631668283220176</v>
      </c>
      <c r="X180" s="11"/>
      <c r="Y180" s="5" t="s">
        <v>253</v>
      </c>
      <c r="Z180" s="5" t="s">
        <v>254</v>
      </c>
      <c r="AA180" s="5" t="s">
        <v>251</v>
      </c>
      <c r="AB180" s="5"/>
      <c r="AC180" s="5" t="s">
        <v>658</v>
      </c>
      <c r="AD180" s="14" t="n">
        <v>46288.771875</v>
      </c>
    </row>
    <row r="181" customFormat="false" ht="15" hidden="false" customHeight="false" outlineLevel="0" collapsed="false">
      <c r="A181" s="5" t="s">
        <v>659</v>
      </c>
      <c r="B181" s="5" t="s">
        <v>660</v>
      </c>
      <c r="C181" s="5" t="s">
        <v>248</v>
      </c>
      <c r="D181" s="5" t="s">
        <v>249</v>
      </c>
      <c r="E181" s="5" t="s">
        <v>250</v>
      </c>
      <c r="F181" s="5" t="s">
        <v>251</v>
      </c>
      <c r="G181" s="5" t="s">
        <v>59</v>
      </c>
      <c r="H181" s="5" t="s">
        <v>60</v>
      </c>
      <c r="I181" s="6" t="n">
        <v>0.33333333</v>
      </c>
      <c r="J181" s="7" t="n">
        <f aca="false">IF(I181="","",1/I181)</f>
        <v>3.00000003</v>
      </c>
      <c r="K181" s="8" t="n">
        <v>45.05</v>
      </c>
      <c r="L181" s="9" t="n">
        <v>-0.25</v>
      </c>
      <c r="M181" s="10" t="n">
        <v>-0.0055</v>
      </c>
      <c r="N181" s="8" t="n">
        <v>44.84</v>
      </c>
      <c r="O181" s="8" t="n">
        <v>44.84</v>
      </c>
      <c r="P181" s="8" t="n">
        <v>45.15</v>
      </c>
      <c r="Q181" s="8" t="n">
        <v>45.05</v>
      </c>
      <c r="R181" s="11" t="n">
        <v>662</v>
      </c>
      <c r="S181" s="11" t="n">
        <f aca="false">K181*R181</f>
        <v>29823.1</v>
      </c>
      <c r="T181" s="8" t="n">
        <v>43.39</v>
      </c>
      <c r="U181" s="8" t="n">
        <v>49.9</v>
      </c>
      <c r="V181" s="12" t="n">
        <f aca="false">IF(U181-T181=0,"",(K181-T181)/(U181-T181))</f>
        <v>0.254992319508448</v>
      </c>
      <c r="W181" s="13" t="n">
        <f aca="false">IF(U181=0,"",K181/U181-1)</f>
        <v>-0.0971943887775552</v>
      </c>
      <c r="X181" s="11"/>
      <c r="Y181" s="5" t="s">
        <v>253</v>
      </c>
      <c r="Z181" s="5" t="s">
        <v>254</v>
      </c>
      <c r="AA181" s="5" t="s">
        <v>251</v>
      </c>
      <c r="AB181" s="5"/>
      <c r="AC181" s="5" t="s">
        <v>661</v>
      </c>
      <c r="AD181" s="14" t="n">
        <v>46288.771875</v>
      </c>
    </row>
    <row r="182" customFormat="false" ht="15" hidden="false" customHeight="false" outlineLevel="0" collapsed="false">
      <c r="A182" s="5" t="s">
        <v>662</v>
      </c>
      <c r="B182" s="5" t="s">
        <v>663</v>
      </c>
      <c r="C182" s="5" t="s">
        <v>248</v>
      </c>
      <c r="D182" s="5" t="s">
        <v>249</v>
      </c>
      <c r="E182" s="5" t="s">
        <v>250</v>
      </c>
      <c r="F182" s="5" t="s">
        <v>251</v>
      </c>
      <c r="G182" s="5" t="s">
        <v>59</v>
      </c>
      <c r="H182" s="5" t="s">
        <v>60</v>
      </c>
      <c r="I182" s="6" t="n">
        <v>0.2</v>
      </c>
      <c r="J182" s="7" t="n">
        <f aca="false">IF(I182="","",1/I182)</f>
        <v>5</v>
      </c>
      <c r="K182" s="8" t="n">
        <v>79.28</v>
      </c>
      <c r="L182" s="9" t="n">
        <v>0.48</v>
      </c>
      <c r="M182" s="10" t="n">
        <v>0.0061</v>
      </c>
      <c r="N182" s="8" t="n">
        <v>79.07</v>
      </c>
      <c r="O182" s="8" t="n">
        <v>79.05</v>
      </c>
      <c r="P182" s="8" t="n">
        <v>79.28</v>
      </c>
      <c r="Q182" s="8" t="n">
        <v>79.28</v>
      </c>
      <c r="R182" s="11" t="n">
        <v>61</v>
      </c>
      <c r="S182" s="11" t="n">
        <f aca="false">K182*R182</f>
        <v>4836.08</v>
      </c>
      <c r="T182" s="8" t="n">
        <v>63</v>
      </c>
      <c r="U182" s="8" t="n">
        <v>91.93</v>
      </c>
      <c r="V182" s="12" t="n">
        <f aca="false">IF(U182-T182=0,"",(K182-T182)/(U182-T182))</f>
        <v>0.562737642585551</v>
      </c>
      <c r="W182" s="13" t="n">
        <f aca="false">IF(U182=0,"",K182/U182-1)</f>
        <v>-0.137604699227673</v>
      </c>
      <c r="X182" s="11"/>
      <c r="Y182" s="5" t="s">
        <v>253</v>
      </c>
      <c r="Z182" s="5" t="s">
        <v>254</v>
      </c>
      <c r="AA182" s="5" t="s">
        <v>251</v>
      </c>
      <c r="AB182" s="5"/>
      <c r="AC182" s="5" t="s">
        <v>664</v>
      </c>
      <c r="AD182" s="14" t="n">
        <v>46288.771875</v>
      </c>
    </row>
    <row r="183" customFormat="false" ht="15" hidden="false" customHeight="false" outlineLevel="0" collapsed="false">
      <c r="A183" s="5" t="s">
        <v>665</v>
      </c>
      <c r="B183" s="5" t="s">
        <v>666</v>
      </c>
      <c r="C183" s="5" t="s">
        <v>248</v>
      </c>
      <c r="D183" s="5" t="s">
        <v>249</v>
      </c>
      <c r="E183" s="5" t="s">
        <v>250</v>
      </c>
      <c r="F183" s="5" t="s">
        <v>251</v>
      </c>
      <c r="G183" s="5" t="s">
        <v>59</v>
      </c>
      <c r="H183" s="5" t="s">
        <v>60</v>
      </c>
      <c r="I183" s="6" t="n">
        <v>0.1</v>
      </c>
      <c r="J183" s="7" t="n">
        <f aca="false">IF(I183="","",1/I183)</f>
        <v>10</v>
      </c>
      <c r="K183" s="8" t="n">
        <v>14.71</v>
      </c>
      <c r="L183" s="9" t="n">
        <v>0.08</v>
      </c>
      <c r="M183" s="10" t="n">
        <v>0.0055</v>
      </c>
      <c r="N183" s="8" t="n">
        <v>14.72</v>
      </c>
      <c r="O183" s="8" t="n">
        <v>14.71</v>
      </c>
      <c r="P183" s="8" t="n">
        <v>14.72</v>
      </c>
      <c r="Q183" s="8" t="n">
        <v>14.71</v>
      </c>
      <c r="R183" s="11" t="n">
        <v>7</v>
      </c>
      <c r="S183" s="11" t="n">
        <f aca="false">K183*R183</f>
        <v>102.97</v>
      </c>
      <c r="T183" s="8" t="n">
        <v>12.576</v>
      </c>
      <c r="U183" s="8" t="n">
        <v>15.59</v>
      </c>
      <c r="V183" s="12" t="n">
        <f aca="false">IF(U183-T183=0,"",(K183-T183)/(U183-T183))</f>
        <v>0.708029197080292</v>
      </c>
      <c r="W183" s="13" t="n">
        <f aca="false">IF(U183=0,"",K183/U183-1)</f>
        <v>-0.0564464400256575</v>
      </c>
      <c r="X183" s="11"/>
      <c r="Y183" s="5" t="s">
        <v>253</v>
      </c>
      <c r="Z183" s="5" t="s">
        <v>254</v>
      </c>
      <c r="AA183" s="5" t="s">
        <v>251</v>
      </c>
      <c r="AB183" s="5"/>
      <c r="AC183" s="5" t="s">
        <v>667</v>
      </c>
      <c r="AD183" s="14" t="n">
        <v>46288.771875</v>
      </c>
    </row>
    <row r="184" customFormat="false" ht="15" hidden="false" customHeight="false" outlineLevel="0" collapsed="false">
      <c r="A184" s="5" t="s">
        <v>668</v>
      </c>
      <c r="B184" s="5" t="s">
        <v>669</v>
      </c>
      <c r="C184" s="5" t="s">
        <v>248</v>
      </c>
      <c r="D184" s="5" t="s">
        <v>249</v>
      </c>
      <c r="E184" s="5" t="s">
        <v>250</v>
      </c>
      <c r="F184" s="5" t="s">
        <v>251</v>
      </c>
      <c r="G184" s="5" t="s">
        <v>59</v>
      </c>
      <c r="H184" s="5" t="s">
        <v>60</v>
      </c>
      <c r="I184" s="6" t="n">
        <v>0.25</v>
      </c>
      <c r="J184" s="7" t="n">
        <f aca="false">IF(I184="","",1/I184)</f>
        <v>4</v>
      </c>
      <c r="K184" s="8" t="n">
        <v>59.4</v>
      </c>
      <c r="L184" s="9" t="n">
        <v>-1.02</v>
      </c>
      <c r="M184" s="10" t="n">
        <v>-0.0169</v>
      </c>
      <c r="N184" s="8" t="n">
        <v>59.4</v>
      </c>
      <c r="O184" s="8" t="n">
        <v>59.4</v>
      </c>
      <c r="P184" s="8" t="n">
        <v>59.4</v>
      </c>
      <c r="Q184" s="8" t="n">
        <v>59.4</v>
      </c>
      <c r="R184" s="11" t="n">
        <v>70</v>
      </c>
      <c r="S184" s="11" t="n">
        <f aca="false">K184*R184</f>
        <v>4158</v>
      </c>
      <c r="T184" s="8" t="n">
        <v>52.5</v>
      </c>
      <c r="U184" s="8" t="n">
        <v>60.42</v>
      </c>
      <c r="V184" s="12" t="n">
        <f aca="false">IF(U184-T184=0,"",(K184-T184)/(U184-T184))</f>
        <v>0.871212121212121</v>
      </c>
      <c r="W184" s="13" t="n">
        <f aca="false">IF(U184=0,"",K184/U184-1)</f>
        <v>-0.0168818272095334</v>
      </c>
      <c r="X184" s="11"/>
      <c r="Y184" s="5" t="s">
        <v>253</v>
      </c>
      <c r="Z184" s="5" t="s">
        <v>254</v>
      </c>
      <c r="AA184" s="5" t="s">
        <v>251</v>
      </c>
      <c r="AB184" s="5"/>
      <c r="AC184" s="5" t="s">
        <v>670</v>
      </c>
      <c r="AD184" s="14" t="n">
        <v>46288.771875</v>
      </c>
    </row>
    <row r="185" customFormat="false" ht="15" hidden="false" customHeight="false" outlineLevel="0" collapsed="false">
      <c r="A185" s="5" t="s">
        <v>671</v>
      </c>
      <c r="B185" s="5" t="s">
        <v>672</v>
      </c>
      <c r="C185" s="5" t="s">
        <v>248</v>
      </c>
      <c r="D185" s="5" t="s">
        <v>249</v>
      </c>
      <c r="E185" s="5" t="s">
        <v>250</v>
      </c>
      <c r="F185" s="5" t="s">
        <v>251</v>
      </c>
      <c r="G185" s="5" t="s">
        <v>59</v>
      </c>
      <c r="H185" s="5" t="s">
        <v>60</v>
      </c>
      <c r="I185" s="6" t="n">
        <v>0.25</v>
      </c>
      <c r="J185" s="7" t="n">
        <f aca="false">IF(I185="","",1/I185)</f>
        <v>4</v>
      </c>
      <c r="K185" s="8" t="n">
        <v>35.01</v>
      </c>
      <c r="L185" s="9" t="n">
        <v>-0.22</v>
      </c>
      <c r="M185" s="10" t="n">
        <v>-0.0062</v>
      </c>
      <c r="N185" s="8" t="n">
        <v>35.23</v>
      </c>
      <c r="O185" s="8" t="n">
        <v>35.01</v>
      </c>
      <c r="P185" s="8" t="n">
        <v>35.23</v>
      </c>
      <c r="Q185" s="8" t="n">
        <v>35.23</v>
      </c>
      <c r="R185" s="11" t="n">
        <v>59</v>
      </c>
      <c r="S185" s="11" t="n">
        <f aca="false">K185*R185</f>
        <v>2065.59</v>
      </c>
      <c r="T185" s="8" t="n">
        <v>30.24</v>
      </c>
      <c r="U185" s="8" t="n">
        <v>47.8</v>
      </c>
      <c r="V185" s="12" t="n">
        <f aca="false">IF(U185-T185=0,"",(K185-T185)/(U185-T185))</f>
        <v>0.271640091116173</v>
      </c>
      <c r="W185" s="13" t="n">
        <f aca="false">IF(U185=0,"",K185/U185-1)</f>
        <v>-0.267573221757322</v>
      </c>
      <c r="X185" s="11"/>
      <c r="Y185" s="5" t="s">
        <v>253</v>
      </c>
      <c r="Z185" s="5" t="s">
        <v>254</v>
      </c>
      <c r="AA185" s="5" t="s">
        <v>251</v>
      </c>
      <c r="AB185" s="5"/>
      <c r="AC185" s="5" t="s">
        <v>673</v>
      </c>
      <c r="AD185" s="14" t="n">
        <v>46288.771875</v>
      </c>
    </row>
    <row r="186" customFormat="false" ht="15" hidden="false" customHeight="false" outlineLevel="0" collapsed="false">
      <c r="A186" s="5" t="s">
        <v>674</v>
      </c>
      <c r="B186" s="5" t="s">
        <v>675</v>
      </c>
      <c r="C186" s="5" t="s">
        <v>248</v>
      </c>
      <c r="D186" s="5" t="s">
        <v>249</v>
      </c>
      <c r="E186" s="5" t="s">
        <v>250</v>
      </c>
      <c r="F186" s="5" t="s">
        <v>251</v>
      </c>
      <c r="G186" s="5" t="s">
        <v>59</v>
      </c>
      <c r="H186" s="5" t="s">
        <v>60</v>
      </c>
      <c r="I186" s="6" t="n">
        <v>0.25</v>
      </c>
      <c r="J186" s="7" t="n">
        <f aca="false">IF(I186="","",1/I186)</f>
        <v>4</v>
      </c>
      <c r="K186" s="8" t="n">
        <v>82.48</v>
      </c>
      <c r="L186" s="9" t="n">
        <v>-2.96</v>
      </c>
      <c r="M186" s="10" t="n">
        <v>-0.0346</v>
      </c>
      <c r="N186" s="8" t="n">
        <v>82.48</v>
      </c>
      <c r="O186" s="8" t="n">
        <v>82.48</v>
      </c>
      <c r="P186" s="8" t="n">
        <v>82.48</v>
      </c>
      <c r="Q186" s="8" t="n">
        <v>82.48</v>
      </c>
      <c r="R186" s="11" t="n">
        <v>14</v>
      </c>
      <c r="S186" s="11" t="n">
        <f aca="false">K186*R186</f>
        <v>1154.72</v>
      </c>
      <c r="T186" s="8" t="n">
        <v>68.88</v>
      </c>
      <c r="U186" s="8" t="n">
        <v>85.44</v>
      </c>
      <c r="V186" s="12" t="n">
        <f aca="false">IF(U186-T186=0,"",(K186-T186)/(U186-T186))</f>
        <v>0.821256038647343</v>
      </c>
      <c r="W186" s="13" t="n">
        <f aca="false">IF(U186=0,"",K186/U186-1)</f>
        <v>-0.0346441947565542</v>
      </c>
      <c r="X186" s="11"/>
      <c r="Y186" s="5" t="s">
        <v>253</v>
      </c>
      <c r="Z186" s="5" t="s">
        <v>254</v>
      </c>
      <c r="AA186" s="5" t="s">
        <v>251</v>
      </c>
      <c r="AB186" s="5"/>
      <c r="AC186" s="5" t="s">
        <v>676</v>
      </c>
      <c r="AD186" s="14" t="n">
        <v>46288.771875</v>
      </c>
    </row>
    <row r="187" customFormat="false" ht="15" hidden="false" customHeight="false" outlineLevel="0" collapsed="false">
      <c r="A187" s="5" t="s">
        <v>677</v>
      </c>
      <c r="B187" s="5" t="s">
        <v>678</v>
      </c>
      <c r="C187" s="5" t="s">
        <v>55</v>
      </c>
      <c r="D187" s="5" t="s">
        <v>56</v>
      </c>
      <c r="E187" s="5" t="s">
        <v>99</v>
      </c>
      <c r="F187" s="5" t="s">
        <v>100</v>
      </c>
      <c r="G187" s="5" t="s">
        <v>59</v>
      </c>
      <c r="H187" s="5" t="s">
        <v>60</v>
      </c>
      <c r="I187" s="6" t="n">
        <v>0.33333333</v>
      </c>
      <c r="J187" s="7" t="n">
        <f aca="false">IF(I187="","",1/I187)</f>
        <v>3.00000003</v>
      </c>
      <c r="K187" s="8" t="n">
        <v>23.68</v>
      </c>
      <c r="L187" s="9" t="n">
        <v>0</v>
      </c>
      <c r="M187" s="10" t="n">
        <v>0</v>
      </c>
      <c r="N187" s="8" t="n">
        <v>23.68</v>
      </c>
      <c r="O187" s="8" t="n">
        <v>23.68</v>
      </c>
      <c r="P187" s="8" t="n">
        <v>23.68</v>
      </c>
      <c r="Q187" s="8" t="n">
        <v>23.68</v>
      </c>
      <c r="R187" s="11" t="n">
        <v>3</v>
      </c>
      <c r="S187" s="11" t="n">
        <f aca="false">K187*R187</f>
        <v>71.04</v>
      </c>
      <c r="T187" s="8" t="n">
        <v>13.9</v>
      </c>
      <c r="U187" s="8" t="n">
        <v>32.99</v>
      </c>
      <c r="V187" s="12" t="n">
        <f aca="false">IF(U187-T187=0,"",(K187-T187)/(U187-T187))</f>
        <v>0.512310110005238</v>
      </c>
      <c r="W187" s="13" t="n">
        <f aca="false">IF(U187=0,"",K187/U187-1)</f>
        <v>-0.282206729311913</v>
      </c>
      <c r="X187" s="11" t="n">
        <v>11479</v>
      </c>
      <c r="Y187" s="5" t="s">
        <v>99</v>
      </c>
      <c r="Z187" s="5" t="s">
        <v>101</v>
      </c>
      <c r="AA187" s="5" t="s">
        <v>100</v>
      </c>
      <c r="AB187" s="5"/>
      <c r="AC187" s="5" t="s">
        <v>679</v>
      </c>
      <c r="AD187" s="14" t="n">
        <v>46288.771875</v>
      </c>
    </row>
    <row r="188" customFormat="false" ht="15" hidden="false" customHeight="false" outlineLevel="0" collapsed="false">
      <c r="A188" s="5" t="s">
        <v>680</v>
      </c>
      <c r="B188" s="5" t="s">
        <v>681</v>
      </c>
      <c r="C188" s="5" t="s">
        <v>248</v>
      </c>
      <c r="D188" s="5" t="s">
        <v>249</v>
      </c>
      <c r="E188" s="5" t="s">
        <v>250</v>
      </c>
      <c r="F188" s="5" t="s">
        <v>251</v>
      </c>
      <c r="G188" s="5" t="s">
        <v>59</v>
      </c>
      <c r="H188" s="5" t="s">
        <v>60</v>
      </c>
      <c r="I188" s="6" t="n">
        <v>0.125</v>
      </c>
      <c r="J188" s="7" t="n">
        <f aca="false">IF(I188="","",1/I188)</f>
        <v>8</v>
      </c>
      <c r="K188" s="8" t="n">
        <v>50.41</v>
      </c>
      <c r="L188" s="9" t="n">
        <v>0.06</v>
      </c>
      <c r="M188" s="10" t="n">
        <v>0.0012</v>
      </c>
      <c r="N188" s="8" t="n">
        <v>49.09</v>
      </c>
      <c r="O188" s="8" t="n">
        <v>49.09</v>
      </c>
      <c r="P188" s="8" t="n">
        <v>50.41</v>
      </c>
      <c r="Q188" s="8" t="n">
        <v>50.41</v>
      </c>
      <c r="R188" s="11" t="n">
        <v>829</v>
      </c>
      <c r="S188" s="11" t="n">
        <f aca="false">K188*R188</f>
        <v>41789.89</v>
      </c>
      <c r="T188" s="8" t="n">
        <v>42.79</v>
      </c>
      <c r="U188" s="8" t="n">
        <v>56.91</v>
      </c>
      <c r="V188" s="12" t="n">
        <f aca="false">IF(U188-T188=0,"",(K188-T188)/(U188-T188))</f>
        <v>0.539660056657224</v>
      </c>
      <c r="W188" s="13" t="n">
        <f aca="false">IF(U188=0,"",K188/U188-1)</f>
        <v>-0.114215427868564</v>
      </c>
      <c r="X188" s="11"/>
      <c r="Y188" s="5" t="s">
        <v>253</v>
      </c>
      <c r="Z188" s="5" t="s">
        <v>254</v>
      </c>
      <c r="AA188" s="5" t="s">
        <v>251</v>
      </c>
      <c r="AB188" s="5"/>
      <c r="AC188" s="5" t="s">
        <v>682</v>
      </c>
      <c r="AD188" s="14" t="n">
        <v>46288.771875</v>
      </c>
    </row>
    <row r="189" customFormat="false" ht="15" hidden="false" customHeight="false" outlineLevel="0" collapsed="false">
      <c r="A189" s="5" t="s">
        <v>683</v>
      </c>
      <c r="B189" s="5" t="s">
        <v>684</v>
      </c>
      <c r="C189" s="5" t="s">
        <v>248</v>
      </c>
      <c r="D189" s="5" t="s">
        <v>249</v>
      </c>
      <c r="E189" s="5" t="s">
        <v>250</v>
      </c>
      <c r="F189" s="5" t="s">
        <v>251</v>
      </c>
      <c r="G189" s="5" t="s">
        <v>59</v>
      </c>
      <c r="H189" s="5" t="s">
        <v>60</v>
      </c>
      <c r="I189" s="6" t="n">
        <v>0.25</v>
      </c>
      <c r="J189" s="7" t="n">
        <f aca="false">IF(I189="","",1/I189)</f>
        <v>4</v>
      </c>
      <c r="K189" s="8" t="n">
        <v>79.09</v>
      </c>
      <c r="L189" s="9" t="n">
        <v>0.13</v>
      </c>
      <c r="M189" s="10" t="n">
        <v>0.0016</v>
      </c>
      <c r="N189" s="8" t="n">
        <v>79.09</v>
      </c>
      <c r="O189" s="8" t="n">
        <v>79.09</v>
      </c>
      <c r="P189" s="8" t="n">
        <v>79.09</v>
      </c>
      <c r="Q189" s="8" t="n">
        <v>79.09</v>
      </c>
      <c r="R189" s="11" t="n">
        <v>2</v>
      </c>
      <c r="S189" s="11" t="n">
        <f aca="false">K189*R189</f>
        <v>158.18</v>
      </c>
      <c r="T189" s="8" t="n">
        <v>68.59</v>
      </c>
      <c r="U189" s="8" t="n">
        <v>79.52</v>
      </c>
      <c r="V189" s="12" t="n">
        <f aca="false">IF(U189-T189=0,"",(K189-T189)/(U189-T189))</f>
        <v>0.960658737419946</v>
      </c>
      <c r="W189" s="13" t="n">
        <f aca="false">IF(U189=0,"",K189/U189-1)</f>
        <v>-0.00540744466800791</v>
      </c>
      <c r="X189" s="11"/>
      <c r="Y189" s="5" t="s">
        <v>253</v>
      </c>
      <c r="Z189" s="5" t="s">
        <v>254</v>
      </c>
      <c r="AA189" s="5" t="s">
        <v>251</v>
      </c>
      <c r="AB189" s="5"/>
      <c r="AC189" s="5" t="s">
        <v>685</v>
      </c>
      <c r="AD189" s="14" t="n">
        <v>46288.771875</v>
      </c>
    </row>
    <row r="190" customFormat="false" ht="15" hidden="false" customHeight="false" outlineLevel="0" collapsed="false">
      <c r="A190" s="5" t="s">
        <v>686</v>
      </c>
      <c r="B190" s="5" t="s">
        <v>687</v>
      </c>
      <c r="C190" s="5" t="s">
        <v>248</v>
      </c>
      <c r="D190" s="5" t="s">
        <v>249</v>
      </c>
      <c r="E190" s="5" t="s">
        <v>250</v>
      </c>
      <c r="F190" s="5" t="s">
        <v>251</v>
      </c>
      <c r="G190" s="5" t="s">
        <v>59</v>
      </c>
      <c r="H190" s="5" t="s">
        <v>60</v>
      </c>
      <c r="I190" s="6" t="n">
        <v>0.25</v>
      </c>
      <c r="J190" s="7" t="n">
        <f aca="false">IF(I190="","",1/I190)</f>
        <v>4</v>
      </c>
      <c r="K190" s="8" t="n">
        <v>103.88</v>
      </c>
      <c r="L190" s="9" t="n">
        <v>-0.76</v>
      </c>
      <c r="M190" s="10" t="n">
        <v>-0.0073</v>
      </c>
      <c r="N190" s="8" t="n">
        <v>104.59</v>
      </c>
      <c r="O190" s="8" t="n">
        <v>103.39</v>
      </c>
      <c r="P190" s="8" t="n">
        <v>104.59</v>
      </c>
      <c r="Q190" s="8" t="n">
        <v>103.88</v>
      </c>
      <c r="R190" s="11" t="n">
        <v>4552</v>
      </c>
      <c r="S190" s="11" t="n">
        <f aca="false">K190*R190</f>
        <v>472861.76</v>
      </c>
      <c r="T190" s="8" t="n">
        <v>93.72</v>
      </c>
      <c r="U190" s="8" t="n">
        <v>135.57</v>
      </c>
      <c r="V190" s="12" t="n">
        <f aca="false">IF(U190-T190=0,"",(K190-T190)/(U190-T190))</f>
        <v>0.242771804062127</v>
      </c>
      <c r="W190" s="13" t="n">
        <f aca="false">IF(U190=0,"",K190/U190-1)</f>
        <v>-0.233753780334882</v>
      </c>
      <c r="X190" s="11"/>
      <c r="Y190" s="5" t="s">
        <v>253</v>
      </c>
      <c r="Z190" s="5" t="s">
        <v>254</v>
      </c>
      <c r="AA190" s="5" t="s">
        <v>251</v>
      </c>
      <c r="AB190" s="5"/>
      <c r="AC190" s="5" t="s">
        <v>688</v>
      </c>
      <c r="AD190" s="14" t="n">
        <v>46288.771875</v>
      </c>
    </row>
    <row r="191" customFormat="false" ht="15" hidden="false" customHeight="false" outlineLevel="0" collapsed="false">
      <c r="A191" s="5" t="s">
        <v>689</v>
      </c>
      <c r="B191" s="5" t="s">
        <v>690</v>
      </c>
      <c r="C191" s="5" t="s">
        <v>248</v>
      </c>
      <c r="D191" s="5" t="s">
        <v>249</v>
      </c>
      <c r="E191" s="5" t="s">
        <v>250</v>
      </c>
      <c r="F191" s="5" t="s">
        <v>251</v>
      </c>
      <c r="G191" s="5" t="s">
        <v>59</v>
      </c>
      <c r="H191" s="5" t="s">
        <v>60</v>
      </c>
      <c r="I191" s="6" t="n">
        <v>0.066666667</v>
      </c>
      <c r="J191" s="7" t="n">
        <f aca="false">IF(I191="","",1/I191)</f>
        <v>14.999999925</v>
      </c>
      <c r="K191" s="8" t="n">
        <v>71.06</v>
      </c>
      <c r="L191" s="9" t="n">
        <v>-0.76</v>
      </c>
      <c r="M191" s="10" t="n">
        <v>-0.0106</v>
      </c>
      <c r="N191" s="8" t="n">
        <v>72.13</v>
      </c>
      <c r="O191" s="8" t="n">
        <v>71.06</v>
      </c>
      <c r="P191" s="8" t="n">
        <v>72.13</v>
      </c>
      <c r="Q191" s="8" t="n">
        <v>71.06</v>
      </c>
      <c r="R191" s="11" t="n">
        <v>506</v>
      </c>
      <c r="S191" s="11" t="n">
        <f aca="false">K191*R191</f>
        <v>35956.36</v>
      </c>
      <c r="T191" s="8" t="n">
        <v>50.15</v>
      </c>
      <c r="U191" s="8" t="n">
        <v>74.83</v>
      </c>
      <c r="V191" s="12" t="n">
        <f aca="false">IF(U191-T191=0,"",(K191-T191)/(U191-T191))</f>
        <v>0.847244732576986</v>
      </c>
      <c r="W191" s="13" t="n">
        <f aca="false">IF(U191=0,"",K191/U191-1)</f>
        <v>-0.0503808632901243</v>
      </c>
      <c r="X191" s="11"/>
      <c r="Y191" s="5" t="s">
        <v>253</v>
      </c>
      <c r="Z191" s="5" t="s">
        <v>254</v>
      </c>
      <c r="AA191" s="5" t="s">
        <v>251</v>
      </c>
      <c r="AB191" s="5"/>
      <c r="AC191" s="5" t="s">
        <v>691</v>
      </c>
      <c r="AD191" s="14" t="n">
        <v>46288.771875</v>
      </c>
    </row>
    <row r="192" customFormat="false" ht="15" hidden="false" customHeight="false" outlineLevel="0" collapsed="false">
      <c r="A192" s="5" t="s">
        <v>692</v>
      </c>
      <c r="B192" s="5" t="s">
        <v>693</v>
      </c>
      <c r="C192" s="5" t="s">
        <v>248</v>
      </c>
      <c r="D192" s="5" t="s">
        <v>249</v>
      </c>
      <c r="E192" s="5" t="s">
        <v>250</v>
      </c>
      <c r="F192" s="5" t="s">
        <v>251</v>
      </c>
      <c r="G192" s="5" t="s">
        <v>59</v>
      </c>
      <c r="H192" s="5" t="s">
        <v>60</v>
      </c>
      <c r="I192" s="6" t="n">
        <v>0.5</v>
      </c>
      <c r="J192" s="7" t="n">
        <f aca="false">IF(I192="","",1/I192)</f>
        <v>2</v>
      </c>
      <c r="K192" s="8" t="n">
        <v>45.2</v>
      </c>
      <c r="L192" s="9" t="n">
        <v>-0.4</v>
      </c>
      <c r="M192" s="10" t="n">
        <v>-0.0088</v>
      </c>
      <c r="N192" s="8" t="n">
        <v>45.33</v>
      </c>
      <c r="O192" s="8" t="n">
        <v>45.2</v>
      </c>
      <c r="P192" s="8" t="n">
        <v>45.33</v>
      </c>
      <c r="Q192" s="8" t="n">
        <v>45.2</v>
      </c>
      <c r="R192" s="11" t="n">
        <v>20</v>
      </c>
      <c r="S192" s="11" t="n">
        <f aca="false">K192*R192</f>
        <v>904</v>
      </c>
      <c r="T192" s="8" t="n">
        <v>40.92</v>
      </c>
      <c r="U192" s="8" t="n">
        <v>59.52</v>
      </c>
      <c r="V192" s="12" t="n">
        <f aca="false">IF(U192-T192=0,"",(K192-T192)/(U192-T192))</f>
        <v>0.23010752688172</v>
      </c>
      <c r="W192" s="13" t="n">
        <f aca="false">IF(U192=0,"",K192/U192-1)</f>
        <v>-0.240591397849462</v>
      </c>
      <c r="X192" s="11"/>
      <c r="Y192" s="5" t="s">
        <v>253</v>
      </c>
      <c r="Z192" s="5" t="s">
        <v>254</v>
      </c>
      <c r="AA192" s="5" t="s">
        <v>251</v>
      </c>
      <c r="AB192" s="5"/>
      <c r="AC192" s="5" t="s">
        <v>694</v>
      </c>
      <c r="AD192" s="14" t="n">
        <v>46288.771875</v>
      </c>
    </row>
    <row r="193" customFormat="false" ht="15" hidden="false" customHeight="false" outlineLevel="0" collapsed="false">
      <c r="A193" s="5" t="s">
        <v>695</v>
      </c>
      <c r="B193" s="5" t="s">
        <v>696</v>
      </c>
      <c r="C193" s="5" t="s">
        <v>248</v>
      </c>
      <c r="D193" s="5" t="s">
        <v>249</v>
      </c>
      <c r="E193" s="5" t="s">
        <v>250</v>
      </c>
      <c r="F193" s="5" t="s">
        <v>251</v>
      </c>
      <c r="G193" s="5" t="s">
        <v>59</v>
      </c>
      <c r="H193" s="5" t="s">
        <v>60</v>
      </c>
      <c r="I193" s="6" t="n">
        <v>0.125</v>
      </c>
      <c r="J193" s="7" t="n">
        <f aca="false">IF(I193="","",1/I193)</f>
        <v>8</v>
      </c>
      <c r="K193" s="8" t="n">
        <v>73.71</v>
      </c>
      <c r="L193" s="9" t="n">
        <v>1.54</v>
      </c>
      <c r="M193" s="10" t="n">
        <v>0.0213</v>
      </c>
      <c r="N193" s="8" t="n">
        <v>73.7</v>
      </c>
      <c r="O193" s="8" t="n">
        <v>73.7</v>
      </c>
      <c r="P193" s="8" t="n">
        <v>73.71</v>
      </c>
      <c r="Q193" s="8" t="n">
        <v>73.71</v>
      </c>
      <c r="R193" s="11" t="n">
        <v>8</v>
      </c>
      <c r="S193" s="11" t="n">
        <f aca="false">K193*R193</f>
        <v>589.68</v>
      </c>
      <c r="T193" s="8" t="n">
        <v>65.52</v>
      </c>
      <c r="U193" s="8" t="n">
        <v>74.3</v>
      </c>
      <c r="V193" s="12" t="n">
        <f aca="false">IF(U193-T193=0,"",(K193-T193)/(U193-T193))</f>
        <v>0.932801822323462</v>
      </c>
      <c r="W193" s="13" t="n">
        <f aca="false">IF(U193=0,"",K193/U193-1)</f>
        <v>-0.00794078061911174</v>
      </c>
      <c r="X193" s="11"/>
      <c r="Y193" s="5" t="s">
        <v>253</v>
      </c>
      <c r="Z193" s="5" t="s">
        <v>254</v>
      </c>
      <c r="AA193" s="5" t="s">
        <v>251</v>
      </c>
      <c r="AB193" s="5"/>
      <c r="AC193" s="5" t="s">
        <v>697</v>
      </c>
      <c r="AD193" s="14" t="n">
        <v>46288.771875</v>
      </c>
    </row>
    <row r="194" customFormat="false" ht="15" hidden="false" customHeight="false" outlineLevel="0" collapsed="false">
      <c r="A194" s="5" t="s">
        <v>698</v>
      </c>
      <c r="B194" s="5" t="s">
        <v>699</v>
      </c>
      <c r="C194" s="5" t="s">
        <v>248</v>
      </c>
      <c r="D194" s="5" t="s">
        <v>249</v>
      </c>
      <c r="E194" s="5" t="s">
        <v>250</v>
      </c>
      <c r="F194" s="5" t="s">
        <v>251</v>
      </c>
      <c r="G194" s="5" t="s">
        <v>59</v>
      </c>
      <c r="H194" s="5" t="s">
        <v>60</v>
      </c>
      <c r="I194" s="6" t="n">
        <v>0.333333333</v>
      </c>
      <c r="J194" s="7" t="n">
        <f aca="false">IF(I194="","",1/I194)</f>
        <v>3.000000003</v>
      </c>
      <c r="K194" s="8" t="n">
        <v>60.42</v>
      </c>
      <c r="L194" s="9" t="n">
        <v>0.48</v>
      </c>
      <c r="M194" s="10" t="n">
        <v>0.008</v>
      </c>
      <c r="N194" s="8" t="n">
        <v>60.42</v>
      </c>
      <c r="O194" s="8" t="n">
        <v>60.42</v>
      </c>
      <c r="P194" s="8" t="n">
        <v>60.42</v>
      </c>
      <c r="Q194" s="8" t="n">
        <v>60.42</v>
      </c>
      <c r="R194" s="11" t="n">
        <v>1</v>
      </c>
      <c r="S194" s="11" t="n">
        <f aca="false">K194*R194</f>
        <v>60.42</v>
      </c>
      <c r="T194" s="8" t="n">
        <v>59.28</v>
      </c>
      <c r="U194" s="8" t="n">
        <v>68.35</v>
      </c>
      <c r="V194" s="12" t="n">
        <f aca="false">IF(U194-T194=0,"",(K194-T194)/(U194-T194))</f>
        <v>0.125689084895259</v>
      </c>
      <c r="W194" s="13" t="n">
        <f aca="false">IF(U194=0,"",K194/U194-1)</f>
        <v>-0.116020482809071</v>
      </c>
      <c r="X194" s="11"/>
      <c r="Y194" s="5" t="s">
        <v>253</v>
      </c>
      <c r="Z194" s="5" t="s">
        <v>254</v>
      </c>
      <c r="AA194" s="5" t="s">
        <v>251</v>
      </c>
      <c r="AB194" s="5"/>
      <c r="AC194" s="5" t="s">
        <v>700</v>
      </c>
      <c r="AD194" s="14" t="n">
        <v>46288.771875</v>
      </c>
    </row>
    <row r="195" customFormat="false" ht="15" hidden="false" customHeight="false" outlineLevel="0" collapsed="false">
      <c r="A195" s="5" t="s">
        <v>701</v>
      </c>
      <c r="B195" s="5" t="s">
        <v>702</v>
      </c>
      <c r="C195" s="5" t="s">
        <v>55</v>
      </c>
      <c r="D195" s="5" t="s">
        <v>56</v>
      </c>
      <c r="E195" s="5" t="s">
        <v>115</v>
      </c>
      <c r="F195" s="5" t="s">
        <v>116</v>
      </c>
      <c r="G195" s="5" t="s">
        <v>59</v>
      </c>
      <c r="H195" s="5" t="s">
        <v>86</v>
      </c>
      <c r="I195" s="6" t="n">
        <v>0.0714286</v>
      </c>
      <c r="J195" s="7" t="n">
        <f aca="false">IF(I195="","",1/I195)</f>
        <v>13.9999944000022</v>
      </c>
      <c r="K195" s="8" t="n">
        <v>33.16</v>
      </c>
      <c r="L195" s="9" t="n">
        <v>-1.18</v>
      </c>
      <c r="M195" s="10" t="n">
        <v>-0.0344</v>
      </c>
      <c r="N195" s="8" t="n">
        <v>33.02</v>
      </c>
      <c r="O195" s="8" t="n">
        <v>32.74</v>
      </c>
      <c r="P195" s="8" t="n">
        <v>33.18</v>
      </c>
      <c r="Q195" s="8" t="n">
        <v>33.07</v>
      </c>
      <c r="R195" s="11" t="n">
        <v>3786</v>
      </c>
      <c r="S195" s="11" t="n">
        <f aca="false">K195*R195</f>
        <v>125543.76</v>
      </c>
      <c r="T195" s="8" t="n">
        <v>32.6</v>
      </c>
      <c r="U195" s="8" t="n">
        <v>62.73</v>
      </c>
      <c r="V195" s="12" t="n">
        <f aca="false">IF(U195-T195=0,"",(K195-T195)/(U195-T195))</f>
        <v>0.0185861267839361</v>
      </c>
      <c r="W195" s="13" t="n">
        <f aca="false">IF(U195=0,"",K195/U195-1)</f>
        <v>-0.471385302088315</v>
      </c>
      <c r="X195" s="11" t="n">
        <v>154704</v>
      </c>
      <c r="Y195" s="5" t="s">
        <v>115</v>
      </c>
      <c r="Z195" s="5" t="s">
        <v>117</v>
      </c>
      <c r="AA195" s="5" t="s">
        <v>116</v>
      </c>
      <c r="AB195" s="5"/>
      <c r="AC195" s="5" t="s">
        <v>703</v>
      </c>
      <c r="AD195" s="14" t="n">
        <v>46288.771875</v>
      </c>
    </row>
    <row r="196" customFormat="false" ht="15" hidden="false" customHeight="false" outlineLevel="0" collapsed="false">
      <c r="A196" s="5" t="s">
        <v>704</v>
      </c>
      <c r="B196" s="5" t="s">
        <v>705</v>
      </c>
      <c r="C196" s="5" t="s">
        <v>248</v>
      </c>
      <c r="D196" s="5" t="s">
        <v>249</v>
      </c>
      <c r="E196" s="5" t="s">
        <v>250</v>
      </c>
      <c r="F196" s="5" t="s">
        <v>251</v>
      </c>
      <c r="G196" s="5" t="s">
        <v>59</v>
      </c>
      <c r="H196" s="5" t="s">
        <v>60</v>
      </c>
      <c r="I196" s="6" t="n">
        <v>0.333333333</v>
      </c>
      <c r="J196" s="7" t="n">
        <f aca="false">IF(I196="","",1/I196)</f>
        <v>3.000000003</v>
      </c>
      <c r="K196" s="8" t="n">
        <v>74.06</v>
      </c>
      <c r="L196" s="9" t="n">
        <v>-0.97</v>
      </c>
      <c r="M196" s="10" t="n">
        <v>-0.0129</v>
      </c>
      <c r="N196" s="8" t="n">
        <v>74.06</v>
      </c>
      <c r="O196" s="8" t="n">
        <v>74.06</v>
      </c>
      <c r="P196" s="8" t="n">
        <v>74.06</v>
      </c>
      <c r="Q196" s="8" t="n">
        <v>74.06</v>
      </c>
      <c r="R196" s="11" t="n">
        <v>1</v>
      </c>
      <c r="S196" s="11" t="n">
        <f aca="false">K196*R196</f>
        <v>74.06</v>
      </c>
      <c r="T196" s="8" t="n">
        <v>71.12</v>
      </c>
      <c r="U196" s="8" t="n">
        <v>81.6</v>
      </c>
      <c r="V196" s="12" t="n">
        <f aca="false">IF(U196-T196=0,"",(K196-T196)/(U196-T196))</f>
        <v>0.280534351145038</v>
      </c>
      <c r="W196" s="13" t="n">
        <f aca="false">IF(U196=0,"",K196/U196-1)</f>
        <v>-0.0924019607843136</v>
      </c>
      <c r="X196" s="11"/>
      <c r="Y196" s="5" t="s">
        <v>253</v>
      </c>
      <c r="Z196" s="5" t="s">
        <v>254</v>
      </c>
      <c r="AA196" s="5" t="s">
        <v>251</v>
      </c>
      <c r="AB196" s="5"/>
      <c r="AC196" s="5" t="s">
        <v>706</v>
      </c>
      <c r="AD196" s="14" t="n">
        <v>46288.771875</v>
      </c>
    </row>
    <row r="197" customFormat="false" ht="15" hidden="false" customHeight="false" outlineLevel="0" collapsed="false">
      <c r="A197" s="5" t="s">
        <v>707</v>
      </c>
      <c r="B197" s="5" t="s">
        <v>708</v>
      </c>
      <c r="C197" s="5" t="s">
        <v>248</v>
      </c>
      <c r="D197" s="5" t="s">
        <v>249</v>
      </c>
      <c r="E197" s="5" t="s">
        <v>250</v>
      </c>
      <c r="F197" s="5" t="s">
        <v>251</v>
      </c>
      <c r="G197" s="5" t="s">
        <v>59</v>
      </c>
      <c r="H197" s="5" t="s">
        <v>60</v>
      </c>
      <c r="I197" s="6" t="n">
        <v>0.125</v>
      </c>
      <c r="J197" s="7" t="n">
        <f aca="false">IF(I197="","",1/I197)</f>
        <v>8</v>
      </c>
      <c r="K197" s="8" t="n">
        <v>63.29</v>
      </c>
      <c r="L197" s="9" t="n">
        <v>-0.33</v>
      </c>
      <c r="M197" s="10" t="n">
        <v>-0.0052</v>
      </c>
      <c r="N197" s="8" t="n">
        <v>63.26</v>
      </c>
      <c r="O197" s="8" t="n">
        <v>63.06</v>
      </c>
      <c r="P197" s="8" t="n">
        <v>63.29</v>
      </c>
      <c r="Q197" s="8" t="n">
        <v>63.29</v>
      </c>
      <c r="R197" s="11" t="n">
        <v>213</v>
      </c>
      <c r="S197" s="11" t="n">
        <f aca="false">K197*R197</f>
        <v>13480.77</v>
      </c>
      <c r="T197" s="8" t="n">
        <v>56.68</v>
      </c>
      <c r="U197" s="8" t="n">
        <v>66.99</v>
      </c>
      <c r="V197" s="12" t="n">
        <f aca="false">IF(U197-T197=0,"",(K197-T197)/(U197-T197))</f>
        <v>0.641125121241513</v>
      </c>
      <c r="W197" s="13" t="n">
        <f aca="false">IF(U197=0,"",K197/U197-1)</f>
        <v>-0.0552321241976413</v>
      </c>
      <c r="X197" s="11"/>
      <c r="Y197" s="5" t="s">
        <v>253</v>
      </c>
      <c r="Z197" s="5" t="s">
        <v>254</v>
      </c>
      <c r="AA197" s="5" t="s">
        <v>251</v>
      </c>
      <c r="AB197" s="5"/>
      <c r="AC197" s="5" t="s">
        <v>709</v>
      </c>
      <c r="AD197" s="14" t="n">
        <v>46288.771875</v>
      </c>
    </row>
    <row r="198" customFormat="false" ht="15" hidden="false" customHeight="false" outlineLevel="0" collapsed="false">
      <c r="A198" s="5" t="s">
        <v>710</v>
      </c>
      <c r="B198" s="5" t="s">
        <v>711</v>
      </c>
      <c r="C198" s="5" t="s">
        <v>248</v>
      </c>
      <c r="D198" s="5" t="s">
        <v>249</v>
      </c>
      <c r="E198" s="5" t="s">
        <v>250</v>
      </c>
      <c r="F198" s="5" t="s">
        <v>251</v>
      </c>
      <c r="G198" s="5" t="s">
        <v>59</v>
      </c>
      <c r="H198" s="5" t="s">
        <v>60</v>
      </c>
      <c r="I198" s="6" t="n">
        <v>0.083333</v>
      </c>
      <c r="J198" s="7" t="n">
        <f aca="false">IF(I198="","",1/I198)</f>
        <v>12.000048000192</v>
      </c>
      <c r="K198" s="8" t="n">
        <v>48.85</v>
      </c>
      <c r="L198" s="9" t="n">
        <v>0.06</v>
      </c>
      <c r="M198" s="10" t="n">
        <v>0.0012</v>
      </c>
      <c r="N198" s="8" t="n">
        <v>48.85</v>
      </c>
      <c r="O198" s="8" t="n">
        <v>48.85</v>
      </c>
      <c r="P198" s="8" t="n">
        <v>48.9</v>
      </c>
      <c r="Q198" s="8" t="n">
        <v>48.85</v>
      </c>
      <c r="R198" s="11" t="n">
        <v>156</v>
      </c>
      <c r="S198" s="11" t="n">
        <f aca="false">K198*R198</f>
        <v>7620.6</v>
      </c>
      <c r="T198" s="8" t="n">
        <v>44.79</v>
      </c>
      <c r="U198" s="8" t="n">
        <v>57.7</v>
      </c>
      <c r="V198" s="12" t="n">
        <f aca="false">IF(U198-T198=0,"",(K198-T198)/(U198-T198))</f>
        <v>0.314484895429899</v>
      </c>
      <c r="W198" s="13" t="n">
        <f aca="false">IF(U198=0,"",K198/U198-1)</f>
        <v>-0.153379549393414</v>
      </c>
      <c r="X198" s="11"/>
      <c r="Y198" s="5" t="s">
        <v>253</v>
      </c>
      <c r="Z198" s="5" t="s">
        <v>254</v>
      </c>
      <c r="AA198" s="5" t="s">
        <v>251</v>
      </c>
      <c r="AB198" s="5"/>
      <c r="AC198" s="5" t="s">
        <v>712</v>
      </c>
      <c r="AD198" s="14" t="n">
        <v>46288.771875</v>
      </c>
    </row>
    <row r="199" customFormat="false" ht="15" hidden="false" customHeight="false" outlineLevel="0" collapsed="false">
      <c r="A199" s="5" t="s">
        <v>713</v>
      </c>
      <c r="B199" s="5" t="s">
        <v>714</v>
      </c>
      <c r="C199" s="5" t="s">
        <v>248</v>
      </c>
      <c r="D199" s="5" t="s">
        <v>249</v>
      </c>
      <c r="E199" s="5" t="s">
        <v>250</v>
      </c>
      <c r="F199" s="5" t="s">
        <v>251</v>
      </c>
      <c r="G199" s="5" t="s">
        <v>59</v>
      </c>
      <c r="H199" s="5" t="s">
        <v>60</v>
      </c>
      <c r="I199" s="6" t="n">
        <v>0.166666667</v>
      </c>
      <c r="J199" s="7" t="n">
        <f aca="false">IF(I199="","",1/I199)</f>
        <v>5.999999988</v>
      </c>
      <c r="K199" s="8" t="n">
        <v>70.96</v>
      </c>
      <c r="L199" s="9" t="n">
        <v>-0.39</v>
      </c>
      <c r="M199" s="10" t="n">
        <v>-0.0055</v>
      </c>
      <c r="N199" s="8" t="n">
        <v>71.12</v>
      </c>
      <c r="O199" s="8" t="n">
        <v>70.65</v>
      </c>
      <c r="P199" s="8" t="n">
        <v>71.12</v>
      </c>
      <c r="Q199" s="8" t="n">
        <v>70.96</v>
      </c>
      <c r="R199" s="11" t="n">
        <v>565</v>
      </c>
      <c r="S199" s="11" t="n">
        <f aca="false">K199*R199</f>
        <v>40092.4</v>
      </c>
      <c r="T199" s="8" t="n">
        <v>57.92</v>
      </c>
      <c r="U199" s="8" t="n">
        <v>74.14</v>
      </c>
      <c r="V199" s="12" t="n">
        <f aca="false">IF(U199-T199=0,"",(K199-T199)/(U199-T199))</f>
        <v>0.803945745992601</v>
      </c>
      <c r="W199" s="13" t="n">
        <f aca="false">IF(U199=0,"",K199/U199-1)</f>
        <v>-0.0428918262746156</v>
      </c>
      <c r="X199" s="11"/>
      <c r="Y199" s="5" t="s">
        <v>253</v>
      </c>
      <c r="Z199" s="5" t="s">
        <v>254</v>
      </c>
      <c r="AA199" s="5" t="s">
        <v>251</v>
      </c>
      <c r="AB199" s="5"/>
      <c r="AC199" s="5" t="s">
        <v>715</v>
      </c>
      <c r="AD199" s="14" t="n">
        <v>46288.771875</v>
      </c>
    </row>
    <row r="200" customFormat="false" ht="15" hidden="false" customHeight="false" outlineLevel="0" collapsed="false">
      <c r="A200" s="5" t="s">
        <v>716</v>
      </c>
      <c r="B200" s="5" t="s">
        <v>717</v>
      </c>
      <c r="C200" s="5" t="s">
        <v>248</v>
      </c>
      <c r="D200" s="5" t="s">
        <v>249</v>
      </c>
      <c r="E200" s="5" t="s">
        <v>250</v>
      </c>
      <c r="F200" s="5" t="s">
        <v>251</v>
      </c>
      <c r="G200" s="5" t="s">
        <v>59</v>
      </c>
      <c r="H200" s="5" t="s">
        <v>60</v>
      </c>
      <c r="I200" s="6" t="n">
        <v>0.1</v>
      </c>
      <c r="J200" s="7" t="n">
        <f aca="false">IF(I200="","",1/I200)</f>
        <v>10</v>
      </c>
      <c r="K200" s="8" t="n">
        <v>68.85</v>
      </c>
      <c r="L200" s="9" t="n">
        <v>-0.94</v>
      </c>
      <c r="M200" s="10" t="n">
        <v>-0.0135</v>
      </c>
      <c r="N200" s="8" t="n">
        <v>68.85</v>
      </c>
      <c r="O200" s="8" t="n">
        <v>68.85</v>
      </c>
      <c r="P200" s="8" t="n">
        <v>68.85</v>
      </c>
      <c r="Q200" s="8" t="n">
        <v>68.85</v>
      </c>
      <c r="R200" s="11" t="n">
        <v>8</v>
      </c>
      <c r="S200" s="11" t="n">
        <f aca="false">K200*R200</f>
        <v>550.8</v>
      </c>
      <c r="T200" s="8" t="n">
        <v>46.35</v>
      </c>
      <c r="U200" s="8" t="n">
        <v>74.41</v>
      </c>
      <c r="V200" s="12" t="n">
        <f aca="false">IF(U200-T200=0,"",(K200-T200)/(U200-T200))</f>
        <v>0.801853171774768</v>
      </c>
      <c r="W200" s="13" t="n">
        <f aca="false">IF(U200=0,"",K200/U200-1)</f>
        <v>-0.07472113963177</v>
      </c>
      <c r="X200" s="11"/>
      <c r="Y200" s="5" t="s">
        <v>253</v>
      </c>
      <c r="Z200" s="5" t="s">
        <v>254</v>
      </c>
      <c r="AA200" s="5" t="s">
        <v>251</v>
      </c>
      <c r="AB200" s="5"/>
      <c r="AC200" s="5" t="s">
        <v>718</v>
      </c>
      <c r="AD200" s="14" t="n">
        <v>46288.771875</v>
      </c>
    </row>
    <row r="201" customFormat="false" ht="15" hidden="false" customHeight="false" outlineLevel="0" collapsed="false">
      <c r="A201" s="5" t="s">
        <v>719</v>
      </c>
      <c r="B201" s="5" t="s">
        <v>720</v>
      </c>
      <c r="C201" s="5" t="s">
        <v>248</v>
      </c>
      <c r="D201" s="5" t="s">
        <v>249</v>
      </c>
      <c r="E201" s="5" t="s">
        <v>250</v>
      </c>
      <c r="F201" s="5" t="s">
        <v>251</v>
      </c>
      <c r="G201" s="5" t="s">
        <v>59</v>
      </c>
      <c r="H201" s="5" t="s">
        <v>60</v>
      </c>
      <c r="I201" s="6" t="n">
        <v>0.035714285</v>
      </c>
      <c r="J201" s="7" t="n">
        <f aca="false">IF(I201="","",1/I201)</f>
        <v>28.00000056</v>
      </c>
      <c r="K201" s="8" t="n">
        <v>20.04</v>
      </c>
      <c r="L201" s="9" t="n">
        <v>0.52</v>
      </c>
      <c r="M201" s="10" t="n">
        <v>0.0266</v>
      </c>
      <c r="N201" s="8" t="n">
        <v>19.76</v>
      </c>
      <c r="O201" s="8" t="n">
        <v>19.76</v>
      </c>
      <c r="P201" s="8" t="n">
        <v>20.04</v>
      </c>
      <c r="Q201" s="8" t="n">
        <v>20.04</v>
      </c>
      <c r="R201" s="11" t="n">
        <v>3364</v>
      </c>
      <c r="S201" s="11" t="n">
        <f aca="false">K201*R201</f>
        <v>67414.56</v>
      </c>
      <c r="T201" s="8" t="n">
        <v>13.92</v>
      </c>
      <c r="U201" s="8" t="n">
        <v>22.22</v>
      </c>
      <c r="V201" s="12" t="n">
        <f aca="false">IF(U201-T201=0,"",(K201-T201)/(U201-T201))</f>
        <v>0.737349397590361</v>
      </c>
      <c r="W201" s="13" t="n">
        <f aca="false">IF(U201=0,"",K201/U201-1)</f>
        <v>-0.0981098109810981</v>
      </c>
      <c r="X201" s="11"/>
      <c r="Y201" s="5" t="s">
        <v>253</v>
      </c>
      <c r="Z201" s="5" t="s">
        <v>254</v>
      </c>
      <c r="AA201" s="5" t="s">
        <v>251</v>
      </c>
      <c r="AB201" s="5"/>
      <c r="AC201" s="5" t="s">
        <v>721</v>
      </c>
      <c r="AD201" s="14" t="n">
        <v>46288.771875</v>
      </c>
    </row>
    <row r="202" customFormat="false" ht="15" hidden="false" customHeight="false" outlineLevel="0" collapsed="false">
      <c r="A202" s="5" t="s">
        <v>722</v>
      </c>
      <c r="B202" s="5" t="s">
        <v>723</v>
      </c>
      <c r="C202" s="5" t="s">
        <v>248</v>
      </c>
      <c r="D202" s="5" t="s">
        <v>249</v>
      </c>
      <c r="E202" s="5" t="s">
        <v>250</v>
      </c>
      <c r="F202" s="5" t="s">
        <v>251</v>
      </c>
      <c r="G202" s="5" t="s">
        <v>59</v>
      </c>
      <c r="H202" s="5" t="s">
        <v>60</v>
      </c>
      <c r="I202" s="6" t="n">
        <v>0.16667</v>
      </c>
      <c r="J202" s="7" t="n">
        <f aca="false">IF(I202="","",1/I202)</f>
        <v>5.99988000239995</v>
      </c>
      <c r="K202" s="8" t="n">
        <v>64.6</v>
      </c>
      <c r="L202" s="9" t="n">
        <v>-0.19</v>
      </c>
      <c r="M202" s="10" t="n">
        <v>-0.0029</v>
      </c>
      <c r="N202" s="8" t="n">
        <v>65.18</v>
      </c>
      <c r="O202" s="8" t="n">
        <v>64.11</v>
      </c>
      <c r="P202" s="8" t="n">
        <v>65.18</v>
      </c>
      <c r="Q202" s="8" t="n">
        <v>64.6</v>
      </c>
      <c r="R202" s="11" t="n">
        <v>2841</v>
      </c>
      <c r="S202" s="11" t="n">
        <f aca="false">K202*R202</f>
        <v>183528.6</v>
      </c>
      <c r="T202" s="8" t="n">
        <v>58.99</v>
      </c>
      <c r="U202" s="8" t="n">
        <v>69.14</v>
      </c>
      <c r="V202" s="12" t="n">
        <f aca="false">IF(U202-T202=0,"",(K202-T202)/(U202-T202))</f>
        <v>0.552709359605911</v>
      </c>
      <c r="W202" s="13" t="n">
        <f aca="false">IF(U202=0,"",K202/U202-1)</f>
        <v>-0.0656638704078681</v>
      </c>
      <c r="X202" s="11"/>
      <c r="Y202" s="5" t="s">
        <v>253</v>
      </c>
      <c r="Z202" s="5" t="s">
        <v>254</v>
      </c>
      <c r="AA202" s="5" t="s">
        <v>251</v>
      </c>
      <c r="AB202" s="5"/>
      <c r="AC202" s="5" t="s">
        <v>724</v>
      </c>
      <c r="AD202" s="14" t="n">
        <v>46288.771875</v>
      </c>
    </row>
    <row r="203" customFormat="false" ht="15" hidden="false" customHeight="false" outlineLevel="0" collapsed="false">
      <c r="A203" s="5" t="s">
        <v>725</v>
      </c>
      <c r="B203" s="5" t="s">
        <v>726</v>
      </c>
      <c r="C203" s="5" t="s">
        <v>248</v>
      </c>
      <c r="D203" s="5" t="s">
        <v>249</v>
      </c>
      <c r="E203" s="5" t="s">
        <v>250</v>
      </c>
      <c r="F203" s="5" t="s">
        <v>251</v>
      </c>
      <c r="G203" s="5" t="s">
        <v>59</v>
      </c>
      <c r="H203" s="5" t="s">
        <v>60</v>
      </c>
      <c r="I203" s="6" t="n">
        <v>0.2</v>
      </c>
      <c r="J203" s="7" t="n">
        <f aca="false">IF(I203="","",1/I203)</f>
        <v>5</v>
      </c>
      <c r="K203" s="8" t="n">
        <v>74.83</v>
      </c>
      <c r="L203" s="9" t="n">
        <v>-0.07</v>
      </c>
      <c r="M203" s="10" t="n">
        <v>-0.0009</v>
      </c>
      <c r="N203" s="8" t="n">
        <v>74.41</v>
      </c>
      <c r="O203" s="8" t="n">
        <v>74.41</v>
      </c>
      <c r="P203" s="8" t="n">
        <v>74.83</v>
      </c>
      <c r="Q203" s="8" t="n">
        <v>74.83</v>
      </c>
      <c r="R203" s="11" t="n">
        <v>171</v>
      </c>
      <c r="S203" s="11" t="n">
        <f aca="false">K203*R203</f>
        <v>12795.93</v>
      </c>
      <c r="T203" s="8" t="n">
        <v>68.39</v>
      </c>
      <c r="U203" s="8" t="n">
        <v>83.55</v>
      </c>
      <c r="V203" s="12" t="n">
        <f aca="false">IF(U203-T203=0,"",(K203-T203)/(U203-T203))</f>
        <v>0.424802110817942</v>
      </c>
      <c r="W203" s="13" t="n">
        <f aca="false">IF(U203=0,"",K203/U203-1)</f>
        <v>-0.104368641532017</v>
      </c>
      <c r="X203" s="11"/>
      <c r="Y203" s="5" t="s">
        <v>253</v>
      </c>
      <c r="Z203" s="5" t="s">
        <v>254</v>
      </c>
      <c r="AA203" s="5" t="s">
        <v>251</v>
      </c>
      <c r="AB203" s="5"/>
      <c r="AC203" s="5" t="s">
        <v>727</v>
      </c>
      <c r="AD203" s="14" t="n">
        <v>46288.771875</v>
      </c>
    </row>
    <row r="204" customFormat="false" ht="15" hidden="false" customHeight="false" outlineLevel="0" collapsed="false">
      <c r="A204" s="5" t="s">
        <v>728</v>
      </c>
      <c r="B204" s="5" t="s">
        <v>729</v>
      </c>
      <c r="C204" s="5" t="s">
        <v>248</v>
      </c>
      <c r="D204" s="5" t="s">
        <v>249</v>
      </c>
      <c r="E204" s="5" t="s">
        <v>250</v>
      </c>
      <c r="F204" s="5" t="s">
        <v>251</v>
      </c>
      <c r="G204" s="5" t="s">
        <v>59</v>
      </c>
      <c r="H204" s="5" t="s">
        <v>60</v>
      </c>
      <c r="I204" s="6" t="n">
        <v>0.5</v>
      </c>
      <c r="J204" s="7" t="n">
        <f aca="false">IF(I204="","",1/I204)</f>
        <v>2</v>
      </c>
      <c r="K204" s="8" t="n">
        <v>72.24</v>
      </c>
      <c r="L204" s="9" t="n">
        <v>0.21</v>
      </c>
      <c r="M204" s="10" t="n">
        <v>0.0029</v>
      </c>
      <c r="N204" s="8" t="n">
        <v>72.24</v>
      </c>
      <c r="O204" s="8" t="n">
        <v>72.24</v>
      </c>
      <c r="P204" s="8" t="n">
        <v>72.24</v>
      </c>
      <c r="Q204" s="8" t="n">
        <v>72.24</v>
      </c>
      <c r="R204" s="11" t="n">
        <v>1</v>
      </c>
      <c r="S204" s="11" t="n">
        <f aca="false">K204*R204</f>
        <v>72.24</v>
      </c>
      <c r="T204" s="8" t="n">
        <v>53.75</v>
      </c>
      <c r="U204" s="8" t="n">
        <v>77.58</v>
      </c>
      <c r="V204" s="12" t="n">
        <f aca="false">IF(U204-T204=0,"",(K204-T204)/(U204-T204))</f>
        <v>0.775912715065044</v>
      </c>
      <c r="W204" s="13" t="n">
        <f aca="false">IF(U204=0,"",K204/U204-1)</f>
        <v>-0.0688321732405259</v>
      </c>
      <c r="X204" s="11"/>
      <c r="Y204" s="5" t="s">
        <v>253</v>
      </c>
      <c r="Z204" s="5" t="s">
        <v>254</v>
      </c>
      <c r="AA204" s="5" t="s">
        <v>251</v>
      </c>
      <c r="AB204" s="5"/>
      <c r="AC204" s="5" t="s">
        <v>730</v>
      </c>
      <c r="AD204" s="14" t="n">
        <v>46288.771875</v>
      </c>
    </row>
    <row r="205" customFormat="false" ht="15" hidden="false" customHeight="false" outlineLevel="0" collapsed="false">
      <c r="A205" s="5" t="s">
        <v>731</v>
      </c>
      <c r="B205" s="5" t="s">
        <v>732</v>
      </c>
      <c r="C205" s="5" t="s">
        <v>248</v>
      </c>
      <c r="D205" s="5" t="s">
        <v>249</v>
      </c>
      <c r="E205" s="5" t="s">
        <v>250</v>
      </c>
      <c r="F205" s="5" t="s">
        <v>251</v>
      </c>
      <c r="G205" s="5" t="s">
        <v>59</v>
      </c>
      <c r="H205" s="5" t="s">
        <v>60</v>
      </c>
      <c r="I205" s="6" t="n">
        <v>0.333333333</v>
      </c>
      <c r="J205" s="7" t="n">
        <f aca="false">IF(I205="","",1/I205)</f>
        <v>3.000000003</v>
      </c>
      <c r="K205" s="8" t="n">
        <v>98.81</v>
      </c>
      <c r="L205" s="9" t="n">
        <v>-4.49</v>
      </c>
      <c r="M205" s="10" t="n">
        <v>-0.0435</v>
      </c>
      <c r="N205" s="8" t="n">
        <v>98.81</v>
      </c>
      <c r="O205" s="8" t="n">
        <v>98.81</v>
      </c>
      <c r="P205" s="8" t="n">
        <v>98.81</v>
      </c>
      <c r="Q205" s="8" t="n">
        <v>98.81</v>
      </c>
      <c r="R205" s="11" t="n">
        <v>1</v>
      </c>
      <c r="S205" s="11" t="n">
        <f aca="false">K205*R205</f>
        <v>98.81</v>
      </c>
      <c r="T205" s="8" t="n">
        <v>89</v>
      </c>
      <c r="U205" s="8" t="n">
        <v>106.62</v>
      </c>
      <c r="V205" s="12" t="n">
        <f aca="false">IF(U205-T205=0,"",(K205-T205)/(U205-T205))</f>
        <v>0.556753688989784</v>
      </c>
      <c r="W205" s="13" t="n">
        <f aca="false">IF(U205=0,"",K205/U205-1)</f>
        <v>-0.0732507972237855</v>
      </c>
      <c r="X205" s="11"/>
      <c r="Y205" s="5" t="s">
        <v>253</v>
      </c>
      <c r="Z205" s="5" t="s">
        <v>254</v>
      </c>
      <c r="AA205" s="5" t="s">
        <v>251</v>
      </c>
      <c r="AB205" s="5"/>
      <c r="AC205" s="5" t="s">
        <v>733</v>
      </c>
      <c r="AD205" s="14" t="n">
        <v>46288.771875</v>
      </c>
    </row>
    <row r="206" customFormat="false" ht="15" hidden="false" customHeight="false" outlineLevel="0" collapsed="false">
      <c r="A206" s="5" t="s">
        <v>734</v>
      </c>
      <c r="B206" s="5" t="s">
        <v>735</v>
      </c>
      <c r="C206" s="5" t="s">
        <v>248</v>
      </c>
      <c r="D206" s="5" t="s">
        <v>249</v>
      </c>
      <c r="E206" s="5" t="s">
        <v>250</v>
      </c>
      <c r="F206" s="5" t="s">
        <v>251</v>
      </c>
      <c r="G206" s="5" t="s">
        <v>59</v>
      </c>
      <c r="H206" s="5" t="s">
        <v>60</v>
      </c>
      <c r="I206" s="6" t="n">
        <v>0.25</v>
      </c>
      <c r="J206" s="7" t="n">
        <f aca="false">IF(I206="","",1/I206)</f>
        <v>4</v>
      </c>
      <c r="K206" s="8" t="n">
        <v>80.79</v>
      </c>
      <c r="L206" s="9" t="n">
        <v>-0.36</v>
      </c>
      <c r="M206" s="10" t="n">
        <v>-0.0044</v>
      </c>
      <c r="N206" s="8" t="n">
        <v>80.4</v>
      </c>
      <c r="O206" s="8" t="n">
        <v>80.4</v>
      </c>
      <c r="P206" s="8" t="n">
        <v>80.8</v>
      </c>
      <c r="Q206" s="8" t="n">
        <v>80.79</v>
      </c>
      <c r="R206" s="11" t="n">
        <v>9</v>
      </c>
      <c r="S206" s="11" t="n">
        <f aca="false">K206*R206</f>
        <v>727.11</v>
      </c>
      <c r="T206" s="8" t="n">
        <v>78.56</v>
      </c>
      <c r="U206" s="8" t="n">
        <v>98</v>
      </c>
      <c r="V206" s="12" t="n">
        <f aca="false">IF(U206-T206=0,"",(K206-T206)/(U206-T206))</f>
        <v>0.114711934156379</v>
      </c>
      <c r="W206" s="13" t="n">
        <f aca="false">IF(U206=0,"",K206/U206-1)</f>
        <v>-0.175612244897959</v>
      </c>
      <c r="X206" s="11"/>
      <c r="Y206" s="5" t="s">
        <v>253</v>
      </c>
      <c r="Z206" s="5" t="s">
        <v>254</v>
      </c>
      <c r="AA206" s="5" t="s">
        <v>251</v>
      </c>
      <c r="AB206" s="5"/>
      <c r="AC206" s="5" t="s">
        <v>736</v>
      </c>
      <c r="AD206" s="14" t="n">
        <v>46288.771875</v>
      </c>
    </row>
    <row r="207" customFormat="false" ht="15" hidden="false" customHeight="false" outlineLevel="0" collapsed="false">
      <c r="A207" s="5" t="s">
        <v>737</v>
      </c>
      <c r="B207" s="5" t="s">
        <v>738</v>
      </c>
      <c r="C207" s="5" t="s">
        <v>248</v>
      </c>
      <c r="D207" s="5" t="s">
        <v>249</v>
      </c>
      <c r="E207" s="5" t="s">
        <v>250</v>
      </c>
      <c r="F207" s="5" t="s">
        <v>251</v>
      </c>
      <c r="G207" s="5" t="s">
        <v>59</v>
      </c>
      <c r="H207" s="5" t="s">
        <v>60</v>
      </c>
      <c r="I207" s="6" t="n">
        <v>0.25</v>
      </c>
      <c r="J207" s="7" t="n">
        <f aca="false">IF(I207="","",1/I207)</f>
        <v>4</v>
      </c>
      <c r="K207" s="8" t="n">
        <v>52</v>
      </c>
      <c r="L207" s="9" t="n">
        <v>-1</v>
      </c>
      <c r="M207" s="10" t="n">
        <v>-0.0189</v>
      </c>
      <c r="N207" s="8" t="n">
        <v>52</v>
      </c>
      <c r="O207" s="8" t="n">
        <v>52</v>
      </c>
      <c r="P207" s="8" t="n">
        <v>52</v>
      </c>
      <c r="Q207" s="8" t="n">
        <v>52</v>
      </c>
      <c r="R207" s="11" t="n">
        <v>8</v>
      </c>
      <c r="S207" s="11" t="n">
        <f aca="false">K207*R207</f>
        <v>416</v>
      </c>
      <c r="T207" s="8" t="n">
        <v>52</v>
      </c>
      <c r="U207" s="8" t="n">
        <v>57.06</v>
      </c>
      <c r="V207" s="12" t="n">
        <f aca="false">IF(U207-T207=0,"",(K207-T207)/(U207-T207))</f>
        <v>0</v>
      </c>
      <c r="W207" s="13" t="n">
        <f aca="false">IF(U207=0,"",K207/U207-1)</f>
        <v>-0.0886785839467228</v>
      </c>
      <c r="X207" s="11"/>
      <c r="Y207" s="5" t="s">
        <v>253</v>
      </c>
      <c r="Z207" s="5" t="s">
        <v>254</v>
      </c>
      <c r="AA207" s="5" t="s">
        <v>251</v>
      </c>
      <c r="AB207" s="5"/>
      <c r="AC207" s="5" t="s">
        <v>739</v>
      </c>
      <c r="AD207" s="14" t="n">
        <v>46288.771875</v>
      </c>
    </row>
    <row r="208" customFormat="false" ht="15" hidden="false" customHeight="false" outlineLevel="0" collapsed="false">
      <c r="A208" s="5" t="s">
        <v>740</v>
      </c>
      <c r="B208" s="5" t="s">
        <v>741</v>
      </c>
      <c r="C208" s="5" t="s">
        <v>248</v>
      </c>
      <c r="D208" s="5" t="s">
        <v>249</v>
      </c>
      <c r="E208" s="5" t="s">
        <v>250</v>
      </c>
      <c r="F208" s="5" t="s">
        <v>251</v>
      </c>
      <c r="G208" s="5" t="s">
        <v>59</v>
      </c>
      <c r="H208" s="5" t="s">
        <v>60</v>
      </c>
      <c r="I208" s="6" t="n">
        <v>0.2</v>
      </c>
      <c r="J208" s="7" t="n">
        <f aca="false">IF(I208="","",1/I208)</f>
        <v>5</v>
      </c>
      <c r="K208" s="8" t="n">
        <v>52.9</v>
      </c>
      <c r="L208" s="9" t="n">
        <v>-0.93</v>
      </c>
      <c r="M208" s="10" t="n">
        <v>-0.0173</v>
      </c>
      <c r="N208" s="8" t="n">
        <v>53.2</v>
      </c>
      <c r="O208" s="8" t="n">
        <v>52.9</v>
      </c>
      <c r="P208" s="8" t="n">
        <v>53.2</v>
      </c>
      <c r="Q208" s="8" t="n">
        <v>52.9</v>
      </c>
      <c r="R208" s="11" t="n">
        <v>108</v>
      </c>
      <c r="S208" s="11" t="n">
        <f aca="false">K208*R208</f>
        <v>5713.2</v>
      </c>
      <c r="T208" s="8" t="n">
        <v>45.01</v>
      </c>
      <c r="U208" s="8" t="n">
        <v>60.6</v>
      </c>
      <c r="V208" s="12" t="n">
        <f aca="false">IF(U208-T208=0,"",(K208-T208)/(U208-T208))</f>
        <v>0.506093649775497</v>
      </c>
      <c r="W208" s="13" t="n">
        <f aca="false">IF(U208=0,"",K208/U208-1)</f>
        <v>-0.127062706270627</v>
      </c>
      <c r="X208" s="11"/>
      <c r="Y208" s="5" t="s">
        <v>253</v>
      </c>
      <c r="Z208" s="5" t="s">
        <v>254</v>
      </c>
      <c r="AA208" s="5" t="s">
        <v>251</v>
      </c>
      <c r="AB208" s="5"/>
      <c r="AC208" s="5" t="s">
        <v>742</v>
      </c>
      <c r="AD208" s="14" t="n">
        <v>46288.771875</v>
      </c>
    </row>
    <row r="209" customFormat="false" ht="15" hidden="false" customHeight="false" outlineLevel="0" collapsed="false">
      <c r="A209" s="5" t="s">
        <v>743</v>
      </c>
      <c r="B209" s="5" t="s">
        <v>744</v>
      </c>
      <c r="C209" s="5" t="s">
        <v>248</v>
      </c>
      <c r="D209" s="5" t="s">
        <v>249</v>
      </c>
      <c r="E209" s="5" t="s">
        <v>250</v>
      </c>
      <c r="F209" s="5" t="s">
        <v>251</v>
      </c>
      <c r="G209" s="5" t="s">
        <v>59</v>
      </c>
      <c r="H209" s="5" t="s">
        <v>60</v>
      </c>
      <c r="I209" s="6" t="n">
        <v>0.333333333</v>
      </c>
      <c r="J209" s="7" t="n">
        <f aca="false">IF(I209="","",1/I209)</f>
        <v>3.000000003</v>
      </c>
      <c r="K209" s="8" t="n">
        <v>118.2</v>
      </c>
      <c r="L209" s="9" t="n">
        <v>5.34</v>
      </c>
      <c r="M209" s="10" t="n">
        <v>0.0473</v>
      </c>
      <c r="N209" s="8" t="n">
        <v>116.88</v>
      </c>
      <c r="O209" s="8" t="n">
        <v>116.88</v>
      </c>
      <c r="P209" s="8" t="n">
        <v>118.2</v>
      </c>
      <c r="Q209" s="8" t="n">
        <v>118.2</v>
      </c>
      <c r="R209" s="11" t="n">
        <v>11</v>
      </c>
      <c r="S209" s="11" t="n">
        <f aca="false">K209*R209</f>
        <v>1300.2</v>
      </c>
      <c r="T209" s="8" t="n">
        <v>71.05</v>
      </c>
      <c r="U209" s="8" t="n">
        <v>118.2</v>
      </c>
      <c r="V209" s="12" t="n">
        <f aca="false">IF(U209-T209=0,"",(K209-T209)/(U209-T209))</f>
        <v>1</v>
      </c>
      <c r="W209" s="13" t="n">
        <f aca="false">IF(U209=0,"",K209/U209-1)</f>
        <v>0</v>
      </c>
      <c r="X209" s="11"/>
      <c r="Y209" s="5" t="s">
        <v>253</v>
      </c>
      <c r="Z209" s="5" t="s">
        <v>254</v>
      </c>
      <c r="AA209" s="5" t="s">
        <v>251</v>
      </c>
      <c r="AB209" s="5"/>
      <c r="AC209" s="5" t="s">
        <v>745</v>
      </c>
      <c r="AD209" s="14" t="n">
        <v>46288.771875</v>
      </c>
    </row>
    <row r="210" customFormat="false" ht="15" hidden="false" customHeight="false" outlineLevel="0" collapsed="false">
      <c r="A210" s="5" t="s">
        <v>746</v>
      </c>
      <c r="B210" s="5" t="s">
        <v>747</v>
      </c>
      <c r="C210" s="5" t="s">
        <v>248</v>
      </c>
      <c r="D210" s="5" t="s">
        <v>249</v>
      </c>
      <c r="E210" s="5" t="s">
        <v>250</v>
      </c>
      <c r="F210" s="5" t="s">
        <v>251</v>
      </c>
      <c r="G210" s="5" t="s">
        <v>59</v>
      </c>
      <c r="H210" s="5" t="s">
        <v>60</v>
      </c>
      <c r="I210" s="6" t="n">
        <v>0.05555555</v>
      </c>
      <c r="J210" s="7" t="n">
        <f aca="false">IF(I210="","",1/I210)</f>
        <v>18.0000018000002</v>
      </c>
      <c r="K210" s="8" t="n">
        <v>29.07</v>
      </c>
      <c r="L210" s="9" t="n">
        <v>-0.21</v>
      </c>
      <c r="M210" s="10" t="n">
        <v>-0.0072</v>
      </c>
      <c r="N210" s="8" t="n">
        <v>29.28</v>
      </c>
      <c r="O210" s="8" t="n">
        <v>29.07</v>
      </c>
      <c r="P210" s="8" t="n">
        <v>29.37</v>
      </c>
      <c r="Q210" s="8" t="n">
        <v>29.07</v>
      </c>
      <c r="R210" s="11" t="n">
        <v>21</v>
      </c>
      <c r="S210" s="11" t="n">
        <f aca="false">K210*R210</f>
        <v>610.47</v>
      </c>
      <c r="T210" s="8" t="n">
        <v>23.81</v>
      </c>
      <c r="U210" s="8" t="n">
        <v>31.17</v>
      </c>
      <c r="V210" s="12" t="n">
        <f aca="false">IF(U210-T210=0,"",(K210-T210)/(U210-T210))</f>
        <v>0.714673913043478</v>
      </c>
      <c r="W210" s="13" t="n">
        <f aca="false">IF(U210=0,"",K210/U210-1)</f>
        <v>-0.0673724735322426</v>
      </c>
      <c r="X210" s="11"/>
      <c r="Y210" s="5" t="s">
        <v>253</v>
      </c>
      <c r="Z210" s="5" t="s">
        <v>254</v>
      </c>
      <c r="AA210" s="5" t="s">
        <v>251</v>
      </c>
      <c r="AB210" s="5"/>
      <c r="AC210" s="5" t="s">
        <v>748</v>
      </c>
      <c r="AD210" s="14" t="n">
        <v>46288.771875</v>
      </c>
    </row>
    <row r="211" customFormat="false" ht="15" hidden="false" customHeight="false" outlineLevel="0" collapsed="false">
      <c r="A211" s="5" t="s">
        <v>749</v>
      </c>
      <c r="B211" s="5" t="s">
        <v>750</v>
      </c>
      <c r="C211" s="5" t="s">
        <v>248</v>
      </c>
      <c r="D211" s="5" t="s">
        <v>249</v>
      </c>
      <c r="E211" s="5" t="s">
        <v>250</v>
      </c>
      <c r="F211" s="5" t="s">
        <v>251</v>
      </c>
      <c r="G211" s="5" t="s">
        <v>59</v>
      </c>
      <c r="H211" s="5" t="s">
        <v>60</v>
      </c>
      <c r="I211" s="6" t="n">
        <v>0.035714285</v>
      </c>
      <c r="J211" s="7" t="n">
        <f aca="false">IF(I211="","",1/I211)</f>
        <v>28.00000056</v>
      </c>
      <c r="K211" s="8" t="n">
        <v>10.11</v>
      </c>
      <c r="L211" s="9" t="n">
        <v>-0.37</v>
      </c>
      <c r="M211" s="10" t="n">
        <v>-0.0353</v>
      </c>
      <c r="N211" s="8" t="n">
        <v>10.11</v>
      </c>
      <c r="O211" s="8" t="n">
        <v>10.11</v>
      </c>
      <c r="P211" s="8" t="n">
        <v>10.11</v>
      </c>
      <c r="Q211" s="8" t="n">
        <v>10.11</v>
      </c>
      <c r="R211" s="11" t="n">
        <v>10</v>
      </c>
      <c r="S211" s="11" t="n">
        <f aca="false">K211*R211</f>
        <v>101.1</v>
      </c>
      <c r="T211" s="8" t="n">
        <v>8.06</v>
      </c>
      <c r="U211" s="8" t="n">
        <v>10.48</v>
      </c>
      <c r="V211" s="12" t="n">
        <f aca="false">IF(U211-T211=0,"",(K211-T211)/(U211-T211))</f>
        <v>0.847107438016529</v>
      </c>
      <c r="W211" s="13" t="n">
        <f aca="false">IF(U211=0,"",K211/U211-1)</f>
        <v>-0.0353053435114504</v>
      </c>
      <c r="X211" s="11"/>
      <c r="Y211" s="5" t="s">
        <v>253</v>
      </c>
      <c r="Z211" s="5" t="s">
        <v>254</v>
      </c>
      <c r="AA211" s="5" t="s">
        <v>251</v>
      </c>
      <c r="AB211" s="5"/>
      <c r="AC211" s="5" t="s">
        <v>751</v>
      </c>
      <c r="AD211" s="14" t="n">
        <v>46288.771875</v>
      </c>
    </row>
    <row r="212" customFormat="false" ht="15" hidden="false" customHeight="false" outlineLevel="0" collapsed="false">
      <c r="A212" s="5" t="s">
        <v>752</v>
      </c>
      <c r="B212" s="5" t="s">
        <v>753</v>
      </c>
      <c r="C212" s="5" t="s">
        <v>248</v>
      </c>
      <c r="D212" s="5" t="s">
        <v>249</v>
      </c>
      <c r="E212" s="5" t="s">
        <v>250</v>
      </c>
      <c r="F212" s="5" t="s">
        <v>251</v>
      </c>
      <c r="G212" s="5" t="s">
        <v>59</v>
      </c>
      <c r="H212" s="5" t="s">
        <v>60</v>
      </c>
      <c r="I212" s="6" t="n">
        <v>0.0285714</v>
      </c>
      <c r="J212" s="7" t="n">
        <f aca="false">IF(I212="","",1/I212)</f>
        <v>35.000035000035</v>
      </c>
      <c r="K212" s="8" t="n">
        <v>7.6</v>
      </c>
      <c r="L212" s="9" t="n">
        <v>-0.09</v>
      </c>
      <c r="M212" s="10" t="n">
        <v>-0.0117</v>
      </c>
      <c r="N212" s="8" t="n">
        <v>7.63</v>
      </c>
      <c r="O212" s="8" t="n">
        <v>7.6</v>
      </c>
      <c r="P212" s="8" t="n">
        <v>7.69</v>
      </c>
      <c r="Q212" s="8" t="n">
        <v>7.6</v>
      </c>
      <c r="R212" s="11" t="n">
        <v>129</v>
      </c>
      <c r="S212" s="11" t="n">
        <f aca="false">K212*R212</f>
        <v>980.4</v>
      </c>
      <c r="T212" s="8" t="n">
        <v>6.49</v>
      </c>
      <c r="U212" s="8" t="n">
        <v>10.11</v>
      </c>
      <c r="V212" s="12" t="n">
        <f aca="false">IF(U212-T212=0,"",(K212-T212)/(U212-T212))</f>
        <v>0.306629834254144</v>
      </c>
      <c r="W212" s="13" t="n">
        <f aca="false">IF(U212=0,"",K212/U212-1)</f>
        <v>-0.248269040553907</v>
      </c>
      <c r="X212" s="11"/>
      <c r="Y212" s="5" t="s">
        <v>253</v>
      </c>
      <c r="Z212" s="5" t="s">
        <v>254</v>
      </c>
      <c r="AA212" s="5" t="s">
        <v>251</v>
      </c>
      <c r="AB212" s="5"/>
      <c r="AC212" s="5" t="s">
        <v>754</v>
      </c>
      <c r="AD212" s="14" t="n">
        <v>46288.771875</v>
      </c>
    </row>
    <row r="213" customFormat="false" ht="15" hidden="false" customHeight="false" outlineLevel="0" collapsed="false">
      <c r="A213" s="5" t="s">
        <v>755</v>
      </c>
      <c r="B213" s="5" t="s">
        <v>756</v>
      </c>
      <c r="C213" s="5" t="s">
        <v>55</v>
      </c>
      <c r="D213" s="5" t="s">
        <v>56</v>
      </c>
      <c r="E213" s="5" t="s">
        <v>99</v>
      </c>
      <c r="F213" s="5" t="s">
        <v>100</v>
      </c>
      <c r="G213" s="5" t="s">
        <v>59</v>
      </c>
      <c r="H213" s="5"/>
      <c r="I213" s="6"/>
      <c r="J213" s="7" t="str">
        <f aca="false">IF(I213="","",1/I213)</f>
        <v/>
      </c>
      <c r="K213" s="8" t="n">
        <v>188.28</v>
      </c>
      <c r="L213" s="9" t="n">
        <v>0.78</v>
      </c>
      <c r="M213" s="10" t="n">
        <v>0.0042</v>
      </c>
      <c r="N213" s="8" t="n">
        <v>188.28</v>
      </c>
      <c r="O213" s="8" t="n">
        <v>188.28</v>
      </c>
      <c r="P213" s="8" t="n">
        <v>188.28</v>
      </c>
      <c r="Q213" s="8" t="n">
        <v>188.28</v>
      </c>
      <c r="R213" s="11" t="n">
        <v>15</v>
      </c>
      <c r="S213" s="11" t="n">
        <f aca="false">K213*R213</f>
        <v>2824.2</v>
      </c>
      <c r="T213" s="8" t="n">
        <v>121.32</v>
      </c>
      <c r="U213" s="8" t="n">
        <v>191</v>
      </c>
      <c r="V213" s="12" t="n">
        <f aca="false">IF(U213-T213=0,"",(K213-T213)/(U213-T213))</f>
        <v>0.960964408725603</v>
      </c>
      <c r="W213" s="13" t="n">
        <f aca="false">IF(U213=0,"",K213/U213-1)</f>
        <v>-0.0142408376963351</v>
      </c>
      <c r="X213" s="11" t="n">
        <v>170409</v>
      </c>
      <c r="Y213" s="5" t="s">
        <v>99</v>
      </c>
      <c r="Z213" s="5" t="s">
        <v>101</v>
      </c>
      <c r="AA213" s="5" t="s">
        <v>100</v>
      </c>
      <c r="AB213" s="5" t="s">
        <v>111</v>
      </c>
      <c r="AC213" s="5" t="s">
        <v>757</v>
      </c>
      <c r="AD213" s="14" t="n">
        <v>46288.771875</v>
      </c>
    </row>
    <row r="214" customFormat="false" ht="15" hidden="false" customHeight="false" outlineLevel="0" collapsed="false">
      <c r="A214" s="5" t="s">
        <v>758</v>
      </c>
      <c r="B214" s="5" t="s">
        <v>759</v>
      </c>
      <c r="C214" s="5" t="s">
        <v>248</v>
      </c>
      <c r="D214" s="5" t="s">
        <v>249</v>
      </c>
      <c r="E214" s="5" t="s">
        <v>250</v>
      </c>
      <c r="F214" s="5" t="s">
        <v>251</v>
      </c>
      <c r="G214" s="5" t="s">
        <v>59</v>
      </c>
      <c r="H214" s="5" t="s">
        <v>60</v>
      </c>
      <c r="I214" s="6" t="n">
        <v>0.05</v>
      </c>
      <c r="J214" s="7" t="n">
        <f aca="false">IF(I214="","",1/I214)</f>
        <v>20</v>
      </c>
      <c r="K214" s="8" t="n">
        <v>18.86</v>
      </c>
      <c r="L214" s="9" t="n">
        <v>0.02</v>
      </c>
      <c r="M214" s="10" t="n">
        <v>0.0011</v>
      </c>
      <c r="N214" s="8" t="n">
        <v>18.8</v>
      </c>
      <c r="O214" s="8" t="n">
        <v>18.8</v>
      </c>
      <c r="P214" s="8" t="n">
        <v>18.86</v>
      </c>
      <c r="Q214" s="8" t="n">
        <v>18.86</v>
      </c>
      <c r="R214" s="11" t="n">
        <v>21</v>
      </c>
      <c r="S214" s="11" t="n">
        <f aca="false">K214*R214</f>
        <v>396.06</v>
      </c>
      <c r="T214" s="8" t="n">
        <v>16.69</v>
      </c>
      <c r="U214" s="8" t="n">
        <v>20.62</v>
      </c>
      <c r="V214" s="12" t="n">
        <f aca="false">IF(U214-T214=0,"",(K214-T214)/(U214-T214))</f>
        <v>0.552162849872773</v>
      </c>
      <c r="W214" s="13" t="n">
        <f aca="false">IF(U214=0,"",K214/U214-1)</f>
        <v>-0.0853540252182348</v>
      </c>
      <c r="X214" s="11"/>
      <c r="Y214" s="5" t="s">
        <v>253</v>
      </c>
      <c r="Z214" s="5" t="s">
        <v>254</v>
      </c>
      <c r="AA214" s="5" t="s">
        <v>251</v>
      </c>
      <c r="AB214" s="5"/>
      <c r="AC214" s="5" t="s">
        <v>760</v>
      </c>
      <c r="AD214" s="14" t="n">
        <v>46288.771875</v>
      </c>
    </row>
    <row r="215" customFormat="false" ht="15" hidden="false" customHeight="false" outlineLevel="0" collapsed="false">
      <c r="A215" s="5" t="s">
        <v>761</v>
      </c>
      <c r="B215" s="5" t="s">
        <v>762</v>
      </c>
      <c r="C215" s="5" t="s">
        <v>248</v>
      </c>
      <c r="D215" s="5" t="s">
        <v>249</v>
      </c>
      <c r="E215" s="5" t="s">
        <v>250</v>
      </c>
      <c r="F215" s="5" t="s">
        <v>251</v>
      </c>
      <c r="G215" s="5" t="s">
        <v>59</v>
      </c>
      <c r="H215" s="5" t="s">
        <v>60</v>
      </c>
      <c r="I215" s="6" t="n">
        <v>0.125</v>
      </c>
      <c r="J215" s="7" t="n">
        <f aca="false">IF(I215="","",1/I215)</f>
        <v>8</v>
      </c>
      <c r="K215" s="8" t="n">
        <v>89.28</v>
      </c>
      <c r="L215" s="9" t="n">
        <v>0.13</v>
      </c>
      <c r="M215" s="10" t="n">
        <v>0.0015</v>
      </c>
      <c r="N215" s="8" t="n">
        <v>89.01</v>
      </c>
      <c r="O215" s="8" t="n">
        <v>88.8</v>
      </c>
      <c r="P215" s="8" t="n">
        <v>89.37</v>
      </c>
      <c r="Q215" s="8" t="n">
        <v>89.28</v>
      </c>
      <c r="R215" s="11" t="n">
        <v>352</v>
      </c>
      <c r="S215" s="11" t="n">
        <f aca="false">K215*R215</f>
        <v>31426.56</v>
      </c>
      <c r="T215" s="8" t="n">
        <v>70.01</v>
      </c>
      <c r="U215" s="8" t="n">
        <v>98.41</v>
      </c>
      <c r="V215" s="12" t="n">
        <f aca="false">IF(U215-T215=0,"",(K215-T215)/(U215-T215))</f>
        <v>0.678521126760563</v>
      </c>
      <c r="W215" s="13" t="n">
        <f aca="false">IF(U215=0,"",K215/U215-1)</f>
        <v>-0.0927751244792195</v>
      </c>
      <c r="X215" s="11"/>
      <c r="Y215" s="5" t="s">
        <v>253</v>
      </c>
      <c r="Z215" s="5" t="s">
        <v>254</v>
      </c>
      <c r="AA215" s="5" t="s">
        <v>251</v>
      </c>
      <c r="AB215" s="5"/>
      <c r="AC215" s="5" t="s">
        <v>763</v>
      </c>
      <c r="AD215" s="14" t="n">
        <v>46288.771875</v>
      </c>
    </row>
    <row r="216" customFormat="false" ht="15" hidden="false" customHeight="false" outlineLevel="0" collapsed="false">
      <c r="A216" s="5" t="s">
        <v>764</v>
      </c>
      <c r="B216" s="5" t="s">
        <v>765</v>
      </c>
      <c r="C216" s="5" t="s">
        <v>248</v>
      </c>
      <c r="D216" s="5" t="s">
        <v>249</v>
      </c>
      <c r="E216" s="5" t="s">
        <v>250</v>
      </c>
      <c r="F216" s="5" t="s">
        <v>251</v>
      </c>
      <c r="G216" s="5" t="s">
        <v>59</v>
      </c>
      <c r="H216" s="5" t="s">
        <v>60</v>
      </c>
      <c r="I216" s="6" t="n">
        <v>0.125</v>
      </c>
      <c r="J216" s="7" t="n">
        <f aca="false">IF(I216="","",1/I216)</f>
        <v>8</v>
      </c>
      <c r="K216" s="8" t="n">
        <v>85.58</v>
      </c>
      <c r="L216" s="9" t="n">
        <v>-0.82</v>
      </c>
      <c r="M216" s="10" t="n">
        <v>-0.0095</v>
      </c>
      <c r="N216" s="8" t="n">
        <v>85.58</v>
      </c>
      <c r="O216" s="8" t="n">
        <v>85.58</v>
      </c>
      <c r="P216" s="8" t="n">
        <v>85.58</v>
      </c>
      <c r="Q216" s="8" t="n">
        <v>85.58</v>
      </c>
      <c r="R216" s="11" t="n">
        <v>3</v>
      </c>
      <c r="S216" s="11" t="n">
        <f aca="false">K216*R216</f>
        <v>256.74</v>
      </c>
      <c r="T216" s="8" t="n">
        <v>73.35</v>
      </c>
      <c r="U216" s="8" t="n">
        <v>91.8</v>
      </c>
      <c r="V216" s="12" t="n">
        <f aca="false">IF(U216-T216=0,"",(K216-T216)/(U216-T216))</f>
        <v>0.662872628726287</v>
      </c>
      <c r="W216" s="13" t="n">
        <f aca="false">IF(U216=0,"",K216/U216-1)</f>
        <v>-0.067755991285403</v>
      </c>
      <c r="X216" s="11"/>
      <c r="Y216" s="5" t="s">
        <v>253</v>
      </c>
      <c r="Z216" s="5" t="s">
        <v>254</v>
      </c>
      <c r="AA216" s="5" t="s">
        <v>251</v>
      </c>
      <c r="AB216" s="5"/>
      <c r="AC216" s="5" t="s">
        <v>766</v>
      </c>
      <c r="AD216" s="14" t="n">
        <v>46288.771875</v>
      </c>
    </row>
    <row r="217" customFormat="false" ht="15" hidden="false" customHeight="false" outlineLevel="0" collapsed="false">
      <c r="A217" s="5" t="s">
        <v>767</v>
      </c>
      <c r="B217" s="5" t="s">
        <v>768</v>
      </c>
      <c r="C217" s="5" t="s">
        <v>248</v>
      </c>
      <c r="D217" s="5" t="s">
        <v>249</v>
      </c>
      <c r="E217" s="5" t="s">
        <v>250</v>
      </c>
      <c r="F217" s="5" t="s">
        <v>251</v>
      </c>
      <c r="G217" s="5" t="s">
        <v>59</v>
      </c>
      <c r="H217" s="5" t="s">
        <v>60</v>
      </c>
      <c r="I217" s="6" t="n">
        <v>0.066666667</v>
      </c>
      <c r="J217" s="7" t="n">
        <f aca="false">IF(I217="","",1/I217)</f>
        <v>14.999999925</v>
      </c>
      <c r="K217" s="8" t="n">
        <v>56.41</v>
      </c>
      <c r="L217" s="9" t="n">
        <v>-0.69</v>
      </c>
      <c r="M217" s="10" t="n">
        <v>-0.0121</v>
      </c>
      <c r="N217" s="8" t="n">
        <v>56.41</v>
      </c>
      <c r="O217" s="8" t="n">
        <v>56.41</v>
      </c>
      <c r="P217" s="8" t="n">
        <v>56.41</v>
      </c>
      <c r="Q217" s="8" t="n">
        <v>56.41</v>
      </c>
      <c r="R217" s="11" t="n">
        <v>2</v>
      </c>
      <c r="S217" s="11" t="n">
        <f aca="false">K217*R217</f>
        <v>112.82</v>
      </c>
      <c r="T217" s="8" t="n">
        <v>50.04</v>
      </c>
      <c r="U217" s="8" t="n">
        <v>60.59</v>
      </c>
      <c r="V217" s="12" t="n">
        <f aca="false">IF(U217-T217=0,"",(K217-T217)/(U217-T217))</f>
        <v>0.603791469194312</v>
      </c>
      <c r="W217" s="13" t="n">
        <f aca="false">IF(U217=0,"",K217/U217-1)</f>
        <v>-0.0689882818947022</v>
      </c>
      <c r="X217" s="11"/>
      <c r="Y217" s="5" t="s">
        <v>253</v>
      </c>
      <c r="Z217" s="5" t="s">
        <v>254</v>
      </c>
      <c r="AA217" s="5" t="s">
        <v>251</v>
      </c>
      <c r="AB217" s="5"/>
      <c r="AC217" s="5" t="s">
        <v>769</v>
      </c>
      <c r="AD217" s="14" t="n">
        <v>46288.771875</v>
      </c>
    </row>
    <row r="218" customFormat="false" ht="15" hidden="false" customHeight="false" outlineLevel="0" collapsed="false">
      <c r="A218" s="5" t="s">
        <v>770</v>
      </c>
      <c r="B218" s="5" t="s">
        <v>771</v>
      </c>
      <c r="C218" s="5" t="s">
        <v>55</v>
      </c>
      <c r="D218" s="5" t="s">
        <v>56</v>
      </c>
      <c r="E218" s="5" t="s">
        <v>71</v>
      </c>
      <c r="F218" s="5" t="s">
        <v>72</v>
      </c>
      <c r="G218" s="5" t="s">
        <v>59</v>
      </c>
      <c r="H218" s="5" t="s">
        <v>86</v>
      </c>
      <c r="I218" s="6" t="n">
        <v>1</v>
      </c>
      <c r="J218" s="7" t="n">
        <f aca="false">IF(I218="","",1/I218)</f>
        <v>1</v>
      </c>
      <c r="K218" s="8" t="n">
        <v>145.9</v>
      </c>
      <c r="L218" s="9" t="n">
        <v>-1.25</v>
      </c>
      <c r="M218" s="10" t="n">
        <v>-0.0085</v>
      </c>
      <c r="N218" s="8" t="n">
        <v>145.9</v>
      </c>
      <c r="O218" s="8" t="n">
        <v>145.9</v>
      </c>
      <c r="P218" s="8" t="n">
        <v>145.9</v>
      </c>
      <c r="Q218" s="8" t="n">
        <v>145.9</v>
      </c>
      <c r="R218" s="11" t="n">
        <v>26</v>
      </c>
      <c r="S218" s="11" t="n">
        <f aca="false">K218*R218</f>
        <v>3793.4</v>
      </c>
      <c r="T218" s="8" t="n">
        <v>98</v>
      </c>
      <c r="U218" s="8" t="n">
        <v>151.5</v>
      </c>
      <c r="V218" s="12" t="n">
        <f aca="false">IF(U218-T218=0,"",(K218-T218)/(U218-T218))</f>
        <v>0.895327102803738</v>
      </c>
      <c r="W218" s="13" t="n">
        <f aca="false">IF(U218=0,"",K218/U218-1)</f>
        <v>-0.0369636963696369</v>
      </c>
      <c r="X218" s="11" t="n">
        <v>813385</v>
      </c>
      <c r="Y218" s="5" t="s">
        <v>71</v>
      </c>
      <c r="Z218" s="5" t="s">
        <v>73</v>
      </c>
      <c r="AA218" s="5" t="s">
        <v>72</v>
      </c>
      <c r="AB218" s="5"/>
      <c r="AC218" s="5" t="s">
        <v>772</v>
      </c>
      <c r="AD218" s="14" t="n">
        <v>46288.771875</v>
      </c>
    </row>
    <row r="219" customFormat="false" ht="15" hidden="false" customHeight="false" outlineLevel="0" collapsed="false">
      <c r="A219" s="5" t="s">
        <v>773</v>
      </c>
      <c r="B219" s="5" t="s">
        <v>774</v>
      </c>
      <c r="C219" s="5" t="s">
        <v>248</v>
      </c>
      <c r="D219" s="5" t="s">
        <v>249</v>
      </c>
      <c r="E219" s="5" t="s">
        <v>250</v>
      </c>
      <c r="F219" s="5" t="s">
        <v>251</v>
      </c>
      <c r="G219" s="5" t="s">
        <v>59</v>
      </c>
      <c r="H219" s="5" t="s">
        <v>60</v>
      </c>
      <c r="I219" s="6" t="n">
        <v>0.33</v>
      </c>
      <c r="J219" s="7" t="n">
        <f aca="false">IF(I219="","",1/I219)</f>
        <v>3.03030303030303</v>
      </c>
      <c r="K219" s="8" t="n">
        <v>60.6</v>
      </c>
      <c r="L219" s="9" t="n">
        <v>-0.42</v>
      </c>
      <c r="M219" s="10" t="n">
        <v>-0.0069</v>
      </c>
      <c r="N219" s="8" t="n">
        <v>61.02</v>
      </c>
      <c r="O219" s="8" t="n">
        <v>60.3</v>
      </c>
      <c r="P219" s="8" t="n">
        <v>61.02</v>
      </c>
      <c r="Q219" s="8" t="n">
        <v>60.6</v>
      </c>
      <c r="R219" s="11" t="n">
        <v>63</v>
      </c>
      <c r="S219" s="11" t="n">
        <f aca="false">K219*R219</f>
        <v>3817.8</v>
      </c>
      <c r="T219" s="8" t="n">
        <v>48.7</v>
      </c>
      <c r="U219" s="8" t="n">
        <v>68.99</v>
      </c>
      <c r="V219" s="12" t="n">
        <f aca="false">IF(U219-T219=0,"",(K219-T219)/(U219-T219))</f>
        <v>0.586495810744209</v>
      </c>
      <c r="W219" s="13" t="n">
        <f aca="false">IF(U219=0,"",K219/U219-1)</f>
        <v>-0.121611827801131</v>
      </c>
      <c r="X219" s="11"/>
      <c r="Y219" s="5" t="s">
        <v>253</v>
      </c>
      <c r="Z219" s="5" t="s">
        <v>254</v>
      </c>
      <c r="AA219" s="5" t="s">
        <v>251</v>
      </c>
      <c r="AB219" s="5"/>
      <c r="AC219" s="5" t="s">
        <v>775</v>
      </c>
      <c r="AD219" s="14" t="n">
        <v>46288.771875</v>
      </c>
    </row>
    <row r="220" customFormat="false" ht="15" hidden="false" customHeight="false" outlineLevel="0" collapsed="false">
      <c r="A220" s="5" t="s">
        <v>776</v>
      </c>
      <c r="B220" s="5" t="s">
        <v>777</v>
      </c>
      <c r="C220" s="5" t="s">
        <v>248</v>
      </c>
      <c r="D220" s="5" t="s">
        <v>249</v>
      </c>
      <c r="E220" s="5" t="s">
        <v>250</v>
      </c>
      <c r="F220" s="5" t="s">
        <v>251</v>
      </c>
      <c r="G220" s="5" t="s">
        <v>59</v>
      </c>
      <c r="H220" s="5" t="s">
        <v>60</v>
      </c>
      <c r="I220" s="6" t="n">
        <v>0.2</v>
      </c>
      <c r="J220" s="7" t="n">
        <f aca="false">IF(I220="","",1/I220)</f>
        <v>5</v>
      </c>
      <c r="K220" s="8" t="n">
        <v>87.57</v>
      </c>
      <c r="L220" s="9" t="n">
        <v>-1.8</v>
      </c>
      <c r="M220" s="10" t="n">
        <v>-0.0201</v>
      </c>
      <c r="N220" s="8" t="n">
        <v>87.57</v>
      </c>
      <c r="O220" s="8" t="n">
        <v>87.57</v>
      </c>
      <c r="P220" s="8" t="n">
        <v>87.57</v>
      </c>
      <c r="Q220" s="8" t="n">
        <v>87.57</v>
      </c>
      <c r="R220" s="11" t="n">
        <v>1</v>
      </c>
      <c r="S220" s="11" t="n">
        <f aca="false">K220*R220</f>
        <v>87.57</v>
      </c>
      <c r="T220" s="8" t="n">
        <v>79.28</v>
      </c>
      <c r="U220" s="8" t="n">
        <v>89.37</v>
      </c>
      <c r="V220" s="12" t="n">
        <f aca="false">IF(U220-T220=0,"",(K220-T220)/(U220-T220))</f>
        <v>0.821605550049553</v>
      </c>
      <c r="W220" s="13" t="n">
        <f aca="false">IF(U220=0,"",K220/U220-1)</f>
        <v>-0.0201409869083586</v>
      </c>
      <c r="X220" s="11"/>
      <c r="Y220" s="5" t="s">
        <v>253</v>
      </c>
      <c r="Z220" s="5" t="s">
        <v>254</v>
      </c>
      <c r="AA220" s="5" t="s">
        <v>251</v>
      </c>
      <c r="AB220" s="5"/>
      <c r="AC220" s="5" t="s">
        <v>778</v>
      </c>
      <c r="AD220" s="14" t="n">
        <v>46288.771875</v>
      </c>
    </row>
    <row r="221" customFormat="false" ht="15" hidden="false" customHeight="false" outlineLevel="0" collapsed="false">
      <c r="A221" s="5" t="s">
        <v>779</v>
      </c>
      <c r="B221" s="5" t="s">
        <v>780</v>
      </c>
      <c r="C221" s="5" t="s">
        <v>248</v>
      </c>
      <c r="D221" s="5" t="s">
        <v>249</v>
      </c>
      <c r="E221" s="5" t="s">
        <v>250</v>
      </c>
      <c r="F221" s="5" t="s">
        <v>251</v>
      </c>
      <c r="G221" s="5" t="s">
        <v>59</v>
      </c>
      <c r="H221" s="5" t="s">
        <v>60</v>
      </c>
      <c r="I221" s="6" t="n">
        <v>0.16666667</v>
      </c>
      <c r="J221" s="7" t="n">
        <f aca="false">IF(I221="","",1/I221)</f>
        <v>5.99999988</v>
      </c>
      <c r="K221" s="8" t="n">
        <v>42.96</v>
      </c>
      <c r="L221" s="9" t="n">
        <v>-0.35</v>
      </c>
      <c r="M221" s="10" t="n">
        <v>-0.0081</v>
      </c>
      <c r="N221" s="8" t="n">
        <v>42.96</v>
      </c>
      <c r="O221" s="8" t="n">
        <v>42.96</v>
      </c>
      <c r="P221" s="8" t="n">
        <v>42.96</v>
      </c>
      <c r="Q221" s="8" t="n">
        <v>42.96</v>
      </c>
      <c r="R221" s="11" t="n">
        <v>1000</v>
      </c>
      <c r="S221" s="11" t="n">
        <f aca="false">K221*R221</f>
        <v>42960</v>
      </c>
      <c r="T221" s="8" t="n">
        <v>40</v>
      </c>
      <c r="U221" s="8" t="n">
        <v>47.15</v>
      </c>
      <c r="V221" s="12" t="n">
        <f aca="false">IF(U221-T221=0,"",(K221-T221)/(U221-T221))</f>
        <v>0.413986013986014</v>
      </c>
      <c r="W221" s="13" t="n">
        <f aca="false">IF(U221=0,"",K221/U221-1)</f>
        <v>-0.088865323435843</v>
      </c>
      <c r="X221" s="11"/>
      <c r="Y221" s="5" t="s">
        <v>253</v>
      </c>
      <c r="Z221" s="5" t="s">
        <v>254</v>
      </c>
      <c r="AA221" s="5" t="s">
        <v>251</v>
      </c>
      <c r="AB221" s="5"/>
      <c r="AC221" s="5" t="s">
        <v>781</v>
      </c>
      <c r="AD221" s="14" t="n">
        <v>46288.771875</v>
      </c>
    </row>
    <row r="222" customFormat="false" ht="15" hidden="false" customHeight="false" outlineLevel="0" collapsed="false">
      <c r="A222" s="5" t="s">
        <v>782</v>
      </c>
      <c r="B222" s="5" t="s">
        <v>783</v>
      </c>
      <c r="C222" s="5" t="s">
        <v>248</v>
      </c>
      <c r="D222" s="5" t="s">
        <v>249</v>
      </c>
      <c r="E222" s="5" t="s">
        <v>250</v>
      </c>
      <c r="F222" s="5" t="s">
        <v>251</v>
      </c>
      <c r="G222" s="5" t="s">
        <v>59</v>
      </c>
      <c r="H222" s="5" t="s">
        <v>60</v>
      </c>
      <c r="I222" s="6" t="n">
        <v>0.166666667</v>
      </c>
      <c r="J222" s="7" t="n">
        <f aca="false">IF(I222="","",1/I222)</f>
        <v>5.999999988</v>
      </c>
      <c r="K222" s="8" t="n">
        <v>76.36</v>
      </c>
      <c r="L222" s="9" t="n">
        <v>0.22</v>
      </c>
      <c r="M222" s="10" t="n">
        <v>0.0029</v>
      </c>
      <c r="N222" s="8" t="n">
        <v>76.36</v>
      </c>
      <c r="O222" s="8" t="n">
        <v>76.36</v>
      </c>
      <c r="P222" s="8" t="n">
        <v>76.36</v>
      </c>
      <c r="Q222" s="8" t="n">
        <v>76.36</v>
      </c>
      <c r="R222" s="11" t="n">
        <v>15</v>
      </c>
      <c r="S222" s="11" t="n">
        <f aca="false">K222*R222</f>
        <v>1145.4</v>
      </c>
      <c r="T222" s="8" t="n">
        <v>72.52</v>
      </c>
      <c r="U222" s="8" t="n">
        <v>98.5</v>
      </c>
      <c r="V222" s="12" t="n">
        <f aca="false">IF(U222-T222=0,"",(K222-T222)/(U222-T222))</f>
        <v>0.147806004618938</v>
      </c>
      <c r="W222" s="13" t="n">
        <f aca="false">IF(U222=0,"",K222/U222-1)</f>
        <v>-0.224771573604061</v>
      </c>
      <c r="X222" s="11"/>
      <c r="Y222" s="5" t="s">
        <v>253</v>
      </c>
      <c r="Z222" s="5" t="s">
        <v>254</v>
      </c>
      <c r="AA222" s="5" t="s">
        <v>251</v>
      </c>
      <c r="AB222" s="5"/>
      <c r="AC222" s="5" t="s">
        <v>784</v>
      </c>
      <c r="AD222" s="14" t="n">
        <v>46288.771875</v>
      </c>
    </row>
    <row r="223" customFormat="false" ht="15" hidden="false" customHeight="false" outlineLevel="0" collapsed="false">
      <c r="A223" s="5" t="s">
        <v>785</v>
      </c>
      <c r="B223" s="5" t="s">
        <v>786</v>
      </c>
      <c r="C223" s="5" t="s">
        <v>248</v>
      </c>
      <c r="D223" s="5" t="s">
        <v>249</v>
      </c>
      <c r="E223" s="5" t="s">
        <v>250</v>
      </c>
      <c r="F223" s="5" t="s">
        <v>251</v>
      </c>
      <c r="G223" s="5" t="s">
        <v>59</v>
      </c>
      <c r="H223" s="5" t="s">
        <v>60</v>
      </c>
      <c r="I223" s="6" t="n">
        <v>0.1</v>
      </c>
      <c r="J223" s="7" t="n">
        <f aca="false">IF(I223="","",1/I223)</f>
        <v>10</v>
      </c>
      <c r="K223" s="8" t="n">
        <v>86.49</v>
      </c>
      <c r="L223" s="9" t="n">
        <v>0.18</v>
      </c>
      <c r="M223" s="10" t="n">
        <v>0.0021</v>
      </c>
      <c r="N223" s="8" t="n">
        <v>86.66</v>
      </c>
      <c r="O223" s="8" t="n">
        <v>86.48</v>
      </c>
      <c r="P223" s="8" t="n">
        <v>86.84</v>
      </c>
      <c r="Q223" s="8" t="n">
        <v>86.49</v>
      </c>
      <c r="R223" s="11" t="n">
        <v>6130</v>
      </c>
      <c r="S223" s="11" t="n">
        <f aca="false">K223*R223</f>
        <v>530183.7</v>
      </c>
      <c r="T223" s="8" t="n">
        <v>72.86</v>
      </c>
      <c r="U223" s="8" t="n">
        <v>89.58</v>
      </c>
      <c r="V223" s="12" t="n">
        <f aca="false">IF(U223-T223=0,"",(K223-T223)/(U223-T223))</f>
        <v>0.815191387559808</v>
      </c>
      <c r="W223" s="13" t="n">
        <f aca="false">IF(U223=0,"",K223/U223-1)</f>
        <v>-0.034494306764903</v>
      </c>
      <c r="X223" s="11"/>
      <c r="Y223" s="5" t="s">
        <v>253</v>
      </c>
      <c r="Z223" s="5" t="s">
        <v>254</v>
      </c>
      <c r="AA223" s="5" t="s">
        <v>251</v>
      </c>
      <c r="AB223" s="5"/>
      <c r="AC223" s="5" t="s">
        <v>787</v>
      </c>
      <c r="AD223" s="14" t="n">
        <v>46288.771875</v>
      </c>
    </row>
    <row r="224" customFormat="false" ht="15" hidden="false" customHeight="false" outlineLevel="0" collapsed="false">
      <c r="A224" s="5" t="s">
        <v>788</v>
      </c>
      <c r="B224" s="5" t="s">
        <v>789</v>
      </c>
      <c r="C224" s="5" t="s">
        <v>248</v>
      </c>
      <c r="D224" s="5" t="s">
        <v>249</v>
      </c>
      <c r="E224" s="5" t="s">
        <v>250</v>
      </c>
      <c r="F224" s="5" t="s">
        <v>251</v>
      </c>
      <c r="G224" s="5" t="s">
        <v>59</v>
      </c>
      <c r="H224" s="5" t="s">
        <v>60</v>
      </c>
      <c r="I224" s="6" t="n">
        <v>0.2</v>
      </c>
      <c r="J224" s="7" t="n">
        <f aca="false">IF(I224="","",1/I224)</f>
        <v>5</v>
      </c>
      <c r="K224" s="8" t="n">
        <v>45.9</v>
      </c>
      <c r="L224" s="9" t="n">
        <v>0</v>
      </c>
      <c r="M224" s="10" t="n">
        <v>0</v>
      </c>
      <c r="N224" s="8" t="n">
        <v>45.9</v>
      </c>
      <c r="O224" s="8" t="n">
        <v>45.9</v>
      </c>
      <c r="P224" s="8" t="n">
        <v>45.9</v>
      </c>
      <c r="Q224" s="8" t="n">
        <v>45.9</v>
      </c>
      <c r="R224" s="11" t="n">
        <v>3</v>
      </c>
      <c r="S224" s="11" t="n">
        <f aca="false">K224*R224</f>
        <v>137.7</v>
      </c>
      <c r="T224" s="8" t="n">
        <v>45.65</v>
      </c>
      <c r="U224" s="8" t="n">
        <v>53.15</v>
      </c>
      <c r="V224" s="12" t="n">
        <f aca="false">IF(U224-T224=0,"",(K224-T224)/(U224-T224))</f>
        <v>0.0333333333333333</v>
      </c>
      <c r="W224" s="13" t="n">
        <f aca="false">IF(U224=0,"",K224/U224-1)</f>
        <v>-0.136406396989652</v>
      </c>
      <c r="X224" s="11"/>
      <c r="Y224" s="5" t="s">
        <v>253</v>
      </c>
      <c r="Z224" s="5" t="s">
        <v>254</v>
      </c>
      <c r="AA224" s="5" t="s">
        <v>251</v>
      </c>
      <c r="AB224" s="5"/>
      <c r="AC224" s="5" t="s">
        <v>790</v>
      </c>
      <c r="AD224" s="14" t="n">
        <v>46288.771875</v>
      </c>
    </row>
    <row r="225" customFormat="false" ht="15" hidden="false" customHeight="false" outlineLevel="0" collapsed="false">
      <c r="A225" s="5" t="s">
        <v>791</v>
      </c>
      <c r="B225" s="5" t="s">
        <v>792</v>
      </c>
      <c r="C225" s="5" t="s">
        <v>248</v>
      </c>
      <c r="D225" s="5" t="s">
        <v>249</v>
      </c>
      <c r="E225" s="5" t="s">
        <v>250</v>
      </c>
      <c r="F225" s="5" t="s">
        <v>251</v>
      </c>
      <c r="G225" s="5" t="s">
        <v>59</v>
      </c>
      <c r="H225" s="5" t="s">
        <v>60</v>
      </c>
      <c r="I225" s="6" t="n">
        <v>0.025</v>
      </c>
      <c r="J225" s="7" t="n">
        <f aca="false">IF(I225="","",1/I225)</f>
        <v>40</v>
      </c>
      <c r="K225" s="8" t="n">
        <v>99.58</v>
      </c>
      <c r="L225" s="9" t="n">
        <v>0.5</v>
      </c>
      <c r="M225" s="10" t="n">
        <v>0.005</v>
      </c>
      <c r="N225" s="8" t="n">
        <v>98.99</v>
      </c>
      <c r="O225" s="8" t="n">
        <v>98.99</v>
      </c>
      <c r="P225" s="8" t="n">
        <v>99.8</v>
      </c>
      <c r="Q225" s="8" t="n">
        <v>99.77</v>
      </c>
      <c r="R225" s="11" t="n">
        <v>4849</v>
      </c>
      <c r="S225" s="11" t="n">
        <f aca="false">K225*R225</f>
        <v>482863.42</v>
      </c>
      <c r="T225" s="8" t="n">
        <v>83.22</v>
      </c>
      <c r="U225" s="8" t="n">
        <v>102.35</v>
      </c>
      <c r="V225" s="12" t="n">
        <f aca="false">IF(U225-T225=0,"",(K225-T225)/(U225-T225))</f>
        <v>0.855201254573968</v>
      </c>
      <c r="W225" s="13" t="n">
        <f aca="false">IF(U225=0,"",K225/U225-1)</f>
        <v>-0.0270639960918417</v>
      </c>
      <c r="X225" s="11"/>
      <c r="Y225" s="5" t="s">
        <v>253</v>
      </c>
      <c r="Z225" s="5" t="s">
        <v>254</v>
      </c>
      <c r="AA225" s="5" t="s">
        <v>251</v>
      </c>
      <c r="AB225" s="5"/>
      <c r="AC225" s="5" t="s">
        <v>793</v>
      </c>
      <c r="AD225" s="14" t="n">
        <v>46288.771875</v>
      </c>
    </row>
    <row r="226" customFormat="false" ht="15" hidden="false" customHeight="false" outlineLevel="0" collapsed="false">
      <c r="A226" s="5" t="s">
        <v>794</v>
      </c>
      <c r="B226" s="5" t="s">
        <v>795</v>
      </c>
      <c r="C226" s="5" t="s">
        <v>248</v>
      </c>
      <c r="D226" s="5" t="s">
        <v>249</v>
      </c>
      <c r="E226" s="5" t="s">
        <v>250</v>
      </c>
      <c r="F226" s="5" t="s">
        <v>251</v>
      </c>
      <c r="G226" s="5" t="s">
        <v>59</v>
      </c>
      <c r="H226" s="5" t="s">
        <v>60</v>
      </c>
      <c r="I226" s="6" t="n">
        <v>0.166666667</v>
      </c>
      <c r="J226" s="7" t="n">
        <f aca="false">IF(I226="","",1/I226)</f>
        <v>5.999999988</v>
      </c>
      <c r="K226" s="8" t="n">
        <v>79.9</v>
      </c>
      <c r="L226" s="9" t="n">
        <v>0.43</v>
      </c>
      <c r="M226" s="10" t="n">
        <v>0.0054</v>
      </c>
      <c r="N226" s="8" t="n">
        <v>80.27</v>
      </c>
      <c r="O226" s="8" t="n">
        <v>79.68</v>
      </c>
      <c r="P226" s="8" t="n">
        <v>80.27</v>
      </c>
      <c r="Q226" s="8" t="n">
        <v>79.85</v>
      </c>
      <c r="R226" s="11" t="n">
        <v>2465</v>
      </c>
      <c r="S226" s="11" t="n">
        <f aca="false">K226*R226</f>
        <v>196953.5</v>
      </c>
      <c r="T226" s="8" t="n">
        <v>70.06</v>
      </c>
      <c r="U226" s="8" t="n">
        <v>84.01</v>
      </c>
      <c r="V226" s="12" t="n">
        <f aca="false">IF(U226-T226=0,"",(K226-T226)/(U226-T226))</f>
        <v>0.705376344086022</v>
      </c>
      <c r="W226" s="13" t="n">
        <f aca="false">IF(U226=0,"",K226/U226-1)</f>
        <v>-0.0489227472919891</v>
      </c>
      <c r="X226" s="11"/>
      <c r="Y226" s="5" t="s">
        <v>253</v>
      </c>
      <c r="Z226" s="5" t="s">
        <v>254</v>
      </c>
      <c r="AA226" s="5" t="s">
        <v>251</v>
      </c>
      <c r="AB226" s="5"/>
      <c r="AC226" s="5" t="s">
        <v>796</v>
      </c>
      <c r="AD226" s="14" t="n">
        <v>46288.771875</v>
      </c>
    </row>
    <row r="227" customFormat="false" ht="15" hidden="false" customHeight="false" outlineLevel="0" collapsed="false">
      <c r="A227" s="5" t="s">
        <v>797</v>
      </c>
      <c r="B227" s="5" t="s">
        <v>798</v>
      </c>
      <c r="C227" s="5" t="s">
        <v>248</v>
      </c>
      <c r="D227" s="5" t="s">
        <v>249</v>
      </c>
      <c r="E227" s="5" t="s">
        <v>250</v>
      </c>
      <c r="F227" s="5" t="s">
        <v>251</v>
      </c>
      <c r="G227" s="5" t="s">
        <v>59</v>
      </c>
      <c r="H227" s="5" t="s">
        <v>60</v>
      </c>
      <c r="I227" s="6" t="n">
        <v>0.125</v>
      </c>
      <c r="J227" s="7" t="n">
        <f aca="false">IF(I227="","",1/I227)</f>
        <v>8</v>
      </c>
      <c r="K227" s="8" t="n">
        <v>91.78</v>
      </c>
      <c r="L227" s="9" t="n">
        <v>0.19</v>
      </c>
      <c r="M227" s="10" t="n">
        <v>0.0021</v>
      </c>
      <c r="N227" s="8" t="n">
        <v>91.59</v>
      </c>
      <c r="O227" s="8" t="n">
        <v>91.59</v>
      </c>
      <c r="P227" s="8" t="n">
        <v>91.78</v>
      </c>
      <c r="Q227" s="8" t="n">
        <v>91.7</v>
      </c>
      <c r="R227" s="11" t="n">
        <v>1156</v>
      </c>
      <c r="S227" s="11" t="n">
        <f aca="false">K227*R227</f>
        <v>106097.68</v>
      </c>
      <c r="T227" s="8" t="n">
        <v>72.31</v>
      </c>
      <c r="U227" s="8" t="n">
        <v>92.02</v>
      </c>
      <c r="V227" s="12" t="n">
        <f aca="false">IF(U227-T227=0,"",(K227-T227)/(U227-T227))</f>
        <v>0.987823439878235</v>
      </c>
      <c r="W227" s="13" t="n">
        <f aca="false">IF(U227=0,"",K227/U227-1)</f>
        <v>-0.0026081286676809</v>
      </c>
      <c r="X227" s="11"/>
      <c r="Y227" s="5" t="s">
        <v>253</v>
      </c>
      <c r="Z227" s="5" t="s">
        <v>254</v>
      </c>
      <c r="AA227" s="5" t="s">
        <v>251</v>
      </c>
      <c r="AB227" s="5"/>
      <c r="AC227" s="5" t="s">
        <v>799</v>
      </c>
      <c r="AD227" s="14" t="n">
        <v>46288.771875</v>
      </c>
    </row>
    <row r="228" customFormat="false" ht="15" hidden="false" customHeight="false" outlineLevel="0" collapsed="false">
      <c r="A228" s="5" t="s">
        <v>800</v>
      </c>
      <c r="B228" s="5" t="s">
        <v>801</v>
      </c>
      <c r="C228" s="5" t="s">
        <v>248</v>
      </c>
      <c r="D228" s="5" t="s">
        <v>249</v>
      </c>
      <c r="E228" s="5" t="s">
        <v>250</v>
      </c>
      <c r="F228" s="5" t="s">
        <v>251</v>
      </c>
      <c r="G228" s="5" t="s">
        <v>59</v>
      </c>
      <c r="H228" s="5" t="s">
        <v>60</v>
      </c>
      <c r="I228" s="6" t="n">
        <v>0.04</v>
      </c>
      <c r="J228" s="7" t="n">
        <f aca="false">IF(I228="","",1/I228)</f>
        <v>25</v>
      </c>
      <c r="K228" s="8" t="n">
        <v>25.23</v>
      </c>
      <c r="L228" s="9" t="n">
        <v>0.46</v>
      </c>
      <c r="M228" s="10" t="n">
        <v>0.0186</v>
      </c>
      <c r="N228" s="8" t="n">
        <v>25.23</v>
      </c>
      <c r="O228" s="8" t="n">
        <v>25.23</v>
      </c>
      <c r="P228" s="8" t="n">
        <v>25.23</v>
      </c>
      <c r="Q228" s="8" t="n">
        <v>25.23</v>
      </c>
      <c r="R228" s="11" t="n">
        <v>4</v>
      </c>
      <c r="S228" s="11" t="n">
        <f aca="false">K228*R228</f>
        <v>100.92</v>
      </c>
      <c r="T228" s="8" t="n">
        <v>21.575</v>
      </c>
      <c r="U228" s="8" t="n">
        <v>27</v>
      </c>
      <c r="V228" s="12" t="n">
        <f aca="false">IF(U228-T228=0,"",(K228-T228)/(U228-T228))</f>
        <v>0.673732718894009</v>
      </c>
      <c r="W228" s="13" t="n">
        <f aca="false">IF(U228=0,"",K228/U228-1)</f>
        <v>-0.0655555555555556</v>
      </c>
      <c r="X228" s="11"/>
      <c r="Y228" s="5" t="s">
        <v>253</v>
      </c>
      <c r="Z228" s="5" t="s">
        <v>254</v>
      </c>
      <c r="AA228" s="5" t="s">
        <v>251</v>
      </c>
      <c r="AB228" s="5"/>
      <c r="AC228" s="5" t="s">
        <v>802</v>
      </c>
      <c r="AD228" s="14" t="n">
        <v>46288.771875</v>
      </c>
    </row>
    <row r="229" customFormat="false" ht="15" hidden="false" customHeight="false" outlineLevel="0" collapsed="false">
      <c r="A229" s="5" t="s">
        <v>803</v>
      </c>
      <c r="B229" s="5" t="s">
        <v>804</v>
      </c>
      <c r="C229" s="5" t="s">
        <v>248</v>
      </c>
      <c r="D229" s="5" t="s">
        <v>249</v>
      </c>
      <c r="E229" s="5" t="s">
        <v>250</v>
      </c>
      <c r="F229" s="5" t="s">
        <v>251</v>
      </c>
      <c r="G229" s="5" t="s">
        <v>59</v>
      </c>
      <c r="H229" s="5" t="s">
        <v>60</v>
      </c>
      <c r="I229" s="6" t="n">
        <v>0.05</v>
      </c>
      <c r="J229" s="7" t="n">
        <f aca="false">IF(I229="","",1/I229)</f>
        <v>20</v>
      </c>
      <c r="K229" s="8" t="n">
        <v>72.8</v>
      </c>
      <c r="L229" s="9" t="n">
        <v>-0.49</v>
      </c>
      <c r="M229" s="10" t="n">
        <v>-0.0067</v>
      </c>
      <c r="N229" s="8" t="n">
        <v>73.15</v>
      </c>
      <c r="O229" s="8" t="n">
        <v>72.8</v>
      </c>
      <c r="P229" s="8" t="n">
        <v>73.16</v>
      </c>
      <c r="Q229" s="8" t="n">
        <v>72.8</v>
      </c>
      <c r="R229" s="11" t="n">
        <v>1483</v>
      </c>
      <c r="S229" s="11" t="n">
        <f aca="false">K229*R229</f>
        <v>107962.4</v>
      </c>
      <c r="T229" s="8" t="n">
        <v>61.8</v>
      </c>
      <c r="U229" s="8" t="n">
        <v>80.08</v>
      </c>
      <c r="V229" s="12" t="n">
        <f aca="false">IF(U229-T229=0,"",(K229-T229)/(U229-T229))</f>
        <v>0.601750547045952</v>
      </c>
      <c r="W229" s="13" t="n">
        <f aca="false">IF(U229=0,"",K229/U229-1)</f>
        <v>-0.0909090909090909</v>
      </c>
      <c r="X229" s="11"/>
      <c r="Y229" s="5" t="s">
        <v>253</v>
      </c>
      <c r="Z229" s="5" t="s">
        <v>254</v>
      </c>
      <c r="AA229" s="5" t="s">
        <v>251</v>
      </c>
      <c r="AB229" s="5"/>
      <c r="AC229" s="5" t="s">
        <v>805</v>
      </c>
      <c r="AD229" s="14" t="n">
        <v>46288.771875</v>
      </c>
    </row>
    <row r="230" customFormat="false" ht="15" hidden="false" customHeight="false" outlineLevel="0" collapsed="false">
      <c r="A230" s="5" t="s">
        <v>806</v>
      </c>
      <c r="B230" s="5" t="s">
        <v>807</v>
      </c>
      <c r="C230" s="5" t="s">
        <v>248</v>
      </c>
      <c r="D230" s="5" t="s">
        <v>249</v>
      </c>
      <c r="E230" s="5" t="s">
        <v>250</v>
      </c>
      <c r="F230" s="5" t="s">
        <v>251</v>
      </c>
      <c r="G230" s="5" t="s">
        <v>59</v>
      </c>
      <c r="H230" s="5" t="s">
        <v>60</v>
      </c>
      <c r="I230" s="6" t="n">
        <v>0.25</v>
      </c>
      <c r="J230" s="7" t="n">
        <f aca="false">IF(I230="","",1/I230)</f>
        <v>4</v>
      </c>
      <c r="K230" s="8" t="n">
        <v>74.87</v>
      </c>
      <c r="L230" s="9" t="n">
        <v>0.96</v>
      </c>
      <c r="M230" s="10" t="n">
        <v>0.013</v>
      </c>
      <c r="N230" s="8" t="n">
        <v>74.56</v>
      </c>
      <c r="O230" s="8" t="n">
        <v>74.48</v>
      </c>
      <c r="P230" s="8" t="n">
        <v>74.87</v>
      </c>
      <c r="Q230" s="8" t="n">
        <v>74.87</v>
      </c>
      <c r="R230" s="11" t="n">
        <v>57</v>
      </c>
      <c r="S230" s="11" t="n">
        <f aca="false">K230*R230</f>
        <v>4267.59</v>
      </c>
      <c r="T230" s="8" t="n">
        <v>54.74</v>
      </c>
      <c r="U230" s="8" t="n">
        <v>77.91</v>
      </c>
      <c r="V230" s="12" t="n">
        <f aca="false">IF(U230-T230=0,"",(K230-T230)/(U230-T230))</f>
        <v>0.868795856711265</v>
      </c>
      <c r="W230" s="13" t="n">
        <f aca="false">IF(U230=0,"",K230/U230-1)</f>
        <v>-0.0390193813374405</v>
      </c>
      <c r="X230" s="11"/>
      <c r="Y230" s="5" t="s">
        <v>253</v>
      </c>
      <c r="Z230" s="5" t="s">
        <v>254</v>
      </c>
      <c r="AA230" s="5" t="s">
        <v>251</v>
      </c>
      <c r="AB230" s="5"/>
      <c r="AC230" s="5" t="s">
        <v>808</v>
      </c>
      <c r="AD230" s="14" t="n">
        <v>46288.771875</v>
      </c>
    </row>
    <row r="231" customFormat="false" ht="15" hidden="false" customHeight="false" outlineLevel="0" collapsed="false">
      <c r="A231" s="5" t="s">
        <v>809</v>
      </c>
      <c r="B231" s="5" t="s">
        <v>810</v>
      </c>
      <c r="C231" s="5" t="s">
        <v>248</v>
      </c>
      <c r="D231" s="5" t="s">
        <v>249</v>
      </c>
      <c r="E231" s="5" t="s">
        <v>250</v>
      </c>
      <c r="F231" s="5" t="s">
        <v>251</v>
      </c>
      <c r="G231" s="5" t="s">
        <v>59</v>
      </c>
      <c r="H231" s="5" t="s">
        <v>60</v>
      </c>
      <c r="I231" s="6" t="n">
        <v>0.125</v>
      </c>
      <c r="J231" s="7" t="n">
        <f aca="false">IF(I231="","",1/I231)</f>
        <v>8</v>
      </c>
      <c r="K231" s="8" t="n">
        <v>85.33</v>
      </c>
      <c r="L231" s="9" t="n">
        <v>0.19</v>
      </c>
      <c r="M231" s="10" t="n">
        <v>0.0022</v>
      </c>
      <c r="N231" s="8" t="n">
        <v>85.25</v>
      </c>
      <c r="O231" s="8" t="n">
        <v>85.25</v>
      </c>
      <c r="P231" s="8" t="n">
        <v>85.71</v>
      </c>
      <c r="Q231" s="8" t="n">
        <v>85.33</v>
      </c>
      <c r="R231" s="11" t="n">
        <v>52</v>
      </c>
      <c r="S231" s="11" t="n">
        <f aca="false">K231*R231</f>
        <v>4437.16</v>
      </c>
      <c r="T231" s="8" t="n">
        <v>72.59</v>
      </c>
      <c r="U231" s="8" t="n">
        <v>96.59</v>
      </c>
      <c r="V231" s="12" t="n">
        <f aca="false">IF(U231-T231=0,"",(K231-T231)/(U231-T231))</f>
        <v>0.530833333333333</v>
      </c>
      <c r="W231" s="13" t="n">
        <f aca="false">IF(U231=0,"",K231/U231-1)</f>
        <v>-0.116575214825551</v>
      </c>
      <c r="X231" s="11"/>
      <c r="Y231" s="5" t="s">
        <v>253</v>
      </c>
      <c r="Z231" s="5" t="s">
        <v>254</v>
      </c>
      <c r="AA231" s="5" t="s">
        <v>251</v>
      </c>
      <c r="AB231" s="5"/>
      <c r="AC231" s="5" t="s">
        <v>811</v>
      </c>
      <c r="AD231" s="14" t="n">
        <v>46288.771875</v>
      </c>
    </row>
    <row r="232" customFormat="false" ht="15" hidden="false" customHeight="false" outlineLevel="0" collapsed="false">
      <c r="A232" s="5" t="s">
        <v>812</v>
      </c>
      <c r="B232" s="5" t="s">
        <v>813</v>
      </c>
      <c r="C232" s="5" t="s">
        <v>248</v>
      </c>
      <c r="D232" s="5" t="s">
        <v>249</v>
      </c>
      <c r="E232" s="5" t="s">
        <v>250</v>
      </c>
      <c r="F232" s="5" t="s">
        <v>251</v>
      </c>
      <c r="G232" s="5" t="s">
        <v>59</v>
      </c>
      <c r="H232" s="5" t="s">
        <v>60</v>
      </c>
      <c r="I232" s="6" t="n">
        <v>0.125</v>
      </c>
      <c r="J232" s="7" t="n">
        <f aca="false">IF(I232="","",1/I232)</f>
        <v>8</v>
      </c>
      <c r="K232" s="8" t="n">
        <v>66.11</v>
      </c>
      <c r="L232" s="9" t="n">
        <v>-0.04</v>
      </c>
      <c r="M232" s="10" t="n">
        <v>-0.0006</v>
      </c>
      <c r="N232" s="8" t="n">
        <v>66.3</v>
      </c>
      <c r="O232" s="8" t="n">
        <v>66.11</v>
      </c>
      <c r="P232" s="8" t="n">
        <v>66.3</v>
      </c>
      <c r="Q232" s="8" t="n">
        <v>66.3</v>
      </c>
      <c r="R232" s="11" t="n">
        <v>52</v>
      </c>
      <c r="S232" s="11" t="n">
        <f aca="false">K232*R232</f>
        <v>3437.72</v>
      </c>
      <c r="T232" s="8" t="n">
        <v>54.47</v>
      </c>
      <c r="U232" s="8" t="n">
        <v>77.53</v>
      </c>
      <c r="V232" s="12" t="n">
        <f aca="false">IF(U232-T232=0,"",(K232-T232)/(U232-T232))</f>
        <v>0.504770164787511</v>
      </c>
      <c r="W232" s="13" t="n">
        <f aca="false">IF(U232=0,"",K232/U232-1)</f>
        <v>-0.147297820198633</v>
      </c>
      <c r="X232" s="11"/>
      <c r="Y232" s="5" t="s">
        <v>253</v>
      </c>
      <c r="Z232" s="5" t="s">
        <v>254</v>
      </c>
      <c r="AA232" s="5" t="s">
        <v>251</v>
      </c>
      <c r="AB232" s="5"/>
      <c r="AC232" s="5" t="s">
        <v>814</v>
      </c>
      <c r="AD232" s="14" t="n">
        <v>46288.771875</v>
      </c>
    </row>
    <row r="233" customFormat="false" ht="15" hidden="false" customHeight="false" outlineLevel="0" collapsed="false">
      <c r="A233" s="5" t="s">
        <v>815</v>
      </c>
      <c r="B233" s="5" t="s">
        <v>816</v>
      </c>
      <c r="C233" s="5" t="s">
        <v>248</v>
      </c>
      <c r="D233" s="5" t="s">
        <v>249</v>
      </c>
      <c r="E233" s="5" t="s">
        <v>250</v>
      </c>
      <c r="F233" s="5" t="s">
        <v>251</v>
      </c>
      <c r="G233" s="5" t="s">
        <v>59</v>
      </c>
      <c r="H233" s="5" t="s">
        <v>60</v>
      </c>
      <c r="I233" s="6" t="n">
        <v>0.0333</v>
      </c>
      <c r="J233" s="7" t="n">
        <f aca="false">IF(I233="","",1/I233)</f>
        <v>30.03003003003</v>
      </c>
      <c r="K233" s="8" t="n">
        <v>25.35</v>
      </c>
      <c r="L233" s="9" t="n">
        <v>-0.12</v>
      </c>
      <c r="M233" s="10" t="n">
        <v>-0.0047</v>
      </c>
      <c r="N233" s="8" t="n">
        <v>25.35</v>
      </c>
      <c r="O233" s="8" t="n">
        <v>25.35</v>
      </c>
      <c r="P233" s="8" t="n">
        <v>25.35</v>
      </c>
      <c r="Q233" s="8" t="n">
        <v>25.35</v>
      </c>
      <c r="R233" s="11" t="n">
        <v>40</v>
      </c>
      <c r="S233" s="11" t="n">
        <f aca="false">K233*R233</f>
        <v>1014</v>
      </c>
      <c r="T233" s="8" t="n">
        <v>16.7</v>
      </c>
      <c r="U233" s="8" t="n">
        <v>26</v>
      </c>
      <c r="V233" s="12" t="n">
        <f aca="false">IF(U233-T233=0,"",(K233-T233)/(U233-T233))</f>
        <v>0.930107526881721</v>
      </c>
      <c r="W233" s="13" t="n">
        <f aca="false">IF(U233=0,"",K233/U233-1)</f>
        <v>-0.0249999999999999</v>
      </c>
      <c r="X233" s="11"/>
      <c r="Y233" s="5" t="s">
        <v>253</v>
      </c>
      <c r="Z233" s="5" t="s">
        <v>254</v>
      </c>
      <c r="AA233" s="5" t="s">
        <v>251</v>
      </c>
      <c r="AB233" s="5"/>
      <c r="AC233" s="5" t="s">
        <v>817</v>
      </c>
      <c r="AD233" s="14" t="n">
        <v>46288.771875</v>
      </c>
    </row>
    <row r="234" customFormat="false" ht="15" hidden="false" customHeight="false" outlineLevel="0" collapsed="false">
      <c r="A234" s="5" t="s">
        <v>818</v>
      </c>
      <c r="B234" s="5" t="s">
        <v>819</v>
      </c>
      <c r="C234" s="5" t="s">
        <v>248</v>
      </c>
      <c r="D234" s="5" t="s">
        <v>249</v>
      </c>
      <c r="E234" s="5" t="s">
        <v>250</v>
      </c>
      <c r="F234" s="5" t="s">
        <v>251</v>
      </c>
      <c r="G234" s="5" t="s">
        <v>59</v>
      </c>
      <c r="H234" s="5" t="s">
        <v>60</v>
      </c>
      <c r="I234" s="6" t="n">
        <v>0.1666667</v>
      </c>
      <c r="J234" s="7" t="n">
        <f aca="false">IF(I234="","",1/I234)</f>
        <v>5.99999880000024</v>
      </c>
      <c r="K234" s="8" t="n">
        <v>83.03</v>
      </c>
      <c r="L234" s="9" t="n">
        <v>-0.25</v>
      </c>
      <c r="M234" s="10" t="n">
        <v>-0.003</v>
      </c>
      <c r="N234" s="8" t="n">
        <v>83.28</v>
      </c>
      <c r="O234" s="8" t="n">
        <v>82.58</v>
      </c>
      <c r="P234" s="8" t="n">
        <v>83.28</v>
      </c>
      <c r="Q234" s="8" t="n">
        <v>83.03</v>
      </c>
      <c r="R234" s="11" t="n">
        <v>411</v>
      </c>
      <c r="S234" s="11" t="n">
        <f aca="false">K234*R234</f>
        <v>34125.33</v>
      </c>
      <c r="T234" s="8" t="n">
        <v>72.56</v>
      </c>
      <c r="U234" s="8" t="n">
        <v>86</v>
      </c>
      <c r="V234" s="12" t="n">
        <f aca="false">IF(U234-T234=0,"",(K234-T234)/(U234-T234))</f>
        <v>0.779017857142857</v>
      </c>
      <c r="W234" s="13" t="n">
        <f aca="false">IF(U234=0,"",K234/U234-1)</f>
        <v>-0.0345348837209302</v>
      </c>
      <c r="X234" s="11"/>
      <c r="Y234" s="5" t="s">
        <v>253</v>
      </c>
      <c r="Z234" s="5" t="s">
        <v>254</v>
      </c>
      <c r="AA234" s="5" t="s">
        <v>251</v>
      </c>
      <c r="AB234" s="5"/>
      <c r="AC234" s="5" t="s">
        <v>820</v>
      </c>
      <c r="AD234" s="14" t="n">
        <v>46288.771875</v>
      </c>
    </row>
    <row r="235" customFormat="false" ht="15" hidden="false" customHeight="false" outlineLevel="0" collapsed="false">
      <c r="A235" s="5" t="s">
        <v>821</v>
      </c>
      <c r="B235" s="5" t="s">
        <v>822</v>
      </c>
      <c r="C235" s="5" t="s">
        <v>248</v>
      </c>
      <c r="D235" s="5" t="s">
        <v>249</v>
      </c>
      <c r="E235" s="5" t="s">
        <v>250</v>
      </c>
      <c r="F235" s="5" t="s">
        <v>251</v>
      </c>
      <c r="G235" s="5" t="s">
        <v>59</v>
      </c>
      <c r="H235" s="5" t="s">
        <v>60</v>
      </c>
      <c r="I235" s="6" t="n">
        <v>0.2</v>
      </c>
      <c r="J235" s="7" t="n">
        <f aca="false">IF(I235="","",1/I235)</f>
        <v>5</v>
      </c>
      <c r="K235" s="8" t="n">
        <v>98.9</v>
      </c>
      <c r="L235" s="9" t="n">
        <v>-0.8</v>
      </c>
      <c r="M235" s="10" t="n">
        <v>-0.008</v>
      </c>
      <c r="N235" s="8" t="n">
        <v>99.5</v>
      </c>
      <c r="O235" s="8" t="n">
        <v>98.5</v>
      </c>
      <c r="P235" s="8" t="n">
        <v>99.5</v>
      </c>
      <c r="Q235" s="8" t="n">
        <v>98.9</v>
      </c>
      <c r="R235" s="11" t="n">
        <v>175</v>
      </c>
      <c r="S235" s="11" t="n">
        <f aca="false">K235*R235</f>
        <v>17307.5</v>
      </c>
      <c r="T235" s="8" t="n">
        <v>93.35</v>
      </c>
      <c r="U235" s="8" t="n">
        <v>121.66</v>
      </c>
      <c r="V235" s="12" t="n">
        <f aca="false">IF(U235-T235=0,"",(K235-T235)/(U235-T235))</f>
        <v>0.196043800777111</v>
      </c>
      <c r="W235" s="13" t="n">
        <f aca="false">IF(U235=0,"",K235/U235-1)</f>
        <v>-0.187078744040769</v>
      </c>
      <c r="X235" s="11"/>
      <c r="Y235" s="5" t="s">
        <v>253</v>
      </c>
      <c r="Z235" s="5" t="s">
        <v>254</v>
      </c>
      <c r="AA235" s="5" t="s">
        <v>251</v>
      </c>
      <c r="AB235" s="5"/>
      <c r="AC235" s="5" t="s">
        <v>823</v>
      </c>
      <c r="AD235" s="14" t="n">
        <v>46288.771875</v>
      </c>
    </row>
    <row r="236" customFormat="false" ht="15" hidden="false" customHeight="false" outlineLevel="0" collapsed="false">
      <c r="A236" s="5" t="s">
        <v>824</v>
      </c>
      <c r="B236" s="5" t="s">
        <v>825</v>
      </c>
      <c r="C236" s="5" t="s">
        <v>248</v>
      </c>
      <c r="D236" s="5" t="s">
        <v>249</v>
      </c>
      <c r="E236" s="5" t="s">
        <v>250</v>
      </c>
      <c r="F236" s="5" t="s">
        <v>251</v>
      </c>
      <c r="G236" s="5" t="s">
        <v>59</v>
      </c>
      <c r="H236" s="5" t="s">
        <v>60</v>
      </c>
      <c r="I236" s="6" t="n">
        <v>0.333333333</v>
      </c>
      <c r="J236" s="7" t="n">
        <f aca="false">IF(I236="","",1/I236)</f>
        <v>3.000000003</v>
      </c>
      <c r="K236" s="8" t="n">
        <v>113.49</v>
      </c>
      <c r="L236" s="9" t="n">
        <v>2.41</v>
      </c>
      <c r="M236" s="10" t="n">
        <v>0.0217</v>
      </c>
      <c r="N236" s="8" t="n">
        <v>111.08</v>
      </c>
      <c r="O236" s="8" t="n">
        <v>111.08</v>
      </c>
      <c r="P236" s="8" t="n">
        <v>114.12</v>
      </c>
      <c r="Q236" s="8" t="n">
        <v>113.49</v>
      </c>
      <c r="R236" s="11" t="n">
        <v>947</v>
      </c>
      <c r="S236" s="11" t="n">
        <f aca="false">K236*R236</f>
        <v>107475.03</v>
      </c>
      <c r="T236" s="8" t="n">
        <v>80.76</v>
      </c>
      <c r="U236" s="8" t="n">
        <v>121</v>
      </c>
      <c r="V236" s="12" t="n">
        <f aca="false">IF(U236-T236=0,"",(K236-T236)/(U236-T236))</f>
        <v>0.813369781312127</v>
      </c>
      <c r="W236" s="13" t="n">
        <f aca="false">IF(U236=0,"",K236/U236-1)</f>
        <v>-0.0620661157024793</v>
      </c>
      <c r="X236" s="11"/>
      <c r="Y236" s="5" t="s">
        <v>253</v>
      </c>
      <c r="Z236" s="5" t="s">
        <v>254</v>
      </c>
      <c r="AA236" s="5" t="s">
        <v>251</v>
      </c>
      <c r="AB236" s="5"/>
      <c r="AC236" s="5" t="s">
        <v>826</v>
      </c>
      <c r="AD236" s="14" t="n">
        <v>46288.771875</v>
      </c>
    </row>
    <row r="237" customFormat="false" ht="15" hidden="false" customHeight="false" outlineLevel="0" collapsed="false">
      <c r="A237" s="5" t="s">
        <v>827</v>
      </c>
      <c r="B237" s="5" t="s">
        <v>828</v>
      </c>
      <c r="C237" s="5" t="s">
        <v>248</v>
      </c>
      <c r="D237" s="5" t="s">
        <v>249</v>
      </c>
      <c r="E237" s="5" t="s">
        <v>250</v>
      </c>
      <c r="F237" s="5" t="s">
        <v>251</v>
      </c>
      <c r="G237" s="5" t="s">
        <v>59</v>
      </c>
      <c r="H237" s="5" t="s">
        <v>60</v>
      </c>
      <c r="I237" s="6" t="n">
        <v>0.067</v>
      </c>
      <c r="J237" s="7" t="n">
        <f aca="false">IF(I237="","",1/I237)</f>
        <v>14.9253731343284</v>
      </c>
      <c r="K237" s="8" t="n">
        <v>44.43</v>
      </c>
      <c r="L237" s="9" t="n">
        <v>0.27</v>
      </c>
      <c r="M237" s="10" t="n">
        <v>0.0061</v>
      </c>
      <c r="N237" s="8" t="n">
        <v>47.16</v>
      </c>
      <c r="O237" s="8" t="n">
        <v>44.37</v>
      </c>
      <c r="P237" s="8" t="n">
        <v>47.16</v>
      </c>
      <c r="Q237" s="8" t="n">
        <v>44.43</v>
      </c>
      <c r="R237" s="11" t="n">
        <v>406</v>
      </c>
      <c r="S237" s="11" t="n">
        <f aca="false">K237*R237</f>
        <v>18038.58</v>
      </c>
      <c r="T237" s="8" t="n">
        <v>38.65</v>
      </c>
      <c r="U237" s="8" t="n">
        <v>50.3</v>
      </c>
      <c r="V237" s="12" t="n">
        <f aca="false">IF(U237-T237=0,"",(K237-T237)/(U237-T237))</f>
        <v>0.496137339055794</v>
      </c>
      <c r="W237" s="13" t="n">
        <f aca="false">IF(U237=0,"",K237/U237-1)</f>
        <v>-0.116699801192843</v>
      </c>
      <c r="X237" s="11"/>
      <c r="Y237" s="5" t="s">
        <v>253</v>
      </c>
      <c r="Z237" s="5" t="s">
        <v>254</v>
      </c>
      <c r="AA237" s="5" t="s">
        <v>251</v>
      </c>
      <c r="AB237" s="5"/>
      <c r="AC237" s="5" t="s">
        <v>829</v>
      </c>
      <c r="AD237" s="14" t="n">
        <v>46288.771875</v>
      </c>
    </row>
    <row r="238" customFormat="false" ht="15" hidden="false" customHeight="false" outlineLevel="0" collapsed="false">
      <c r="A238" s="5" t="s">
        <v>830</v>
      </c>
      <c r="B238" s="5" t="s">
        <v>831</v>
      </c>
      <c r="C238" s="5" t="s">
        <v>248</v>
      </c>
      <c r="D238" s="5" t="s">
        <v>249</v>
      </c>
      <c r="E238" s="5" t="s">
        <v>250</v>
      </c>
      <c r="F238" s="5" t="s">
        <v>251</v>
      </c>
      <c r="G238" s="5" t="s">
        <v>59</v>
      </c>
      <c r="H238" s="5" t="s">
        <v>60</v>
      </c>
      <c r="I238" s="6" t="n">
        <v>0.05</v>
      </c>
      <c r="J238" s="7" t="n">
        <f aca="false">IF(I238="","",1/I238)</f>
        <v>20</v>
      </c>
      <c r="K238" s="8" t="n">
        <v>24.16</v>
      </c>
      <c r="L238" s="9" t="n">
        <v>-0.06</v>
      </c>
      <c r="M238" s="10" t="n">
        <v>-0.0025</v>
      </c>
      <c r="N238" s="8" t="n">
        <v>24.16</v>
      </c>
      <c r="O238" s="8" t="n">
        <v>24.16</v>
      </c>
      <c r="P238" s="8" t="n">
        <v>24.16</v>
      </c>
      <c r="Q238" s="8" t="n">
        <v>24.16</v>
      </c>
      <c r="R238" s="11" t="n">
        <v>1</v>
      </c>
      <c r="S238" s="11" t="n">
        <f aca="false">K238*R238</f>
        <v>24.16</v>
      </c>
      <c r="T238" s="8" t="n">
        <v>21.14</v>
      </c>
      <c r="U238" s="8" t="n">
        <v>25.56</v>
      </c>
      <c r="V238" s="12" t="n">
        <f aca="false">IF(U238-T238=0,"",(K238-T238)/(U238-T238))</f>
        <v>0.683257918552036</v>
      </c>
      <c r="W238" s="13" t="n">
        <f aca="false">IF(U238=0,"",K238/U238-1)</f>
        <v>-0.0547730829420969</v>
      </c>
      <c r="X238" s="11"/>
      <c r="Y238" s="5" t="s">
        <v>253</v>
      </c>
      <c r="Z238" s="5" t="s">
        <v>254</v>
      </c>
      <c r="AA238" s="5" t="s">
        <v>251</v>
      </c>
      <c r="AB238" s="5"/>
      <c r="AC238" s="5" t="s">
        <v>832</v>
      </c>
      <c r="AD238" s="14" t="n">
        <v>46288.771875</v>
      </c>
    </row>
    <row r="239" customFormat="false" ht="15" hidden="false" customHeight="false" outlineLevel="0" collapsed="false">
      <c r="A239" s="5" t="s">
        <v>833</v>
      </c>
      <c r="B239" s="5" t="s">
        <v>834</v>
      </c>
      <c r="C239" s="5" t="s">
        <v>248</v>
      </c>
      <c r="D239" s="5" t="s">
        <v>249</v>
      </c>
      <c r="E239" s="5" t="s">
        <v>250</v>
      </c>
      <c r="F239" s="5" t="s">
        <v>251</v>
      </c>
      <c r="G239" s="5" t="s">
        <v>59</v>
      </c>
      <c r="H239" s="5" t="s">
        <v>60</v>
      </c>
      <c r="I239" s="6" t="n">
        <v>0.1</v>
      </c>
      <c r="J239" s="7" t="n">
        <f aca="false">IF(I239="","",1/I239)</f>
        <v>10</v>
      </c>
      <c r="K239" s="8" t="n">
        <v>80.4</v>
      </c>
      <c r="L239" s="9" t="n">
        <v>0.48</v>
      </c>
      <c r="M239" s="10" t="n">
        <v>0.006</v>
      </c>
      <c r="N239" s="8" t="n">
        <v>80.4</v>
      </c>
      <c r="O239" s="8" t="n">
        <v>80.4</v>
      </c>
      <c r="P239" s="8" t="n">
        <v>80.4</v>
      </c>
      <c r="Q239" s="8" t="n">
        <v>80.4</v>
      </c>
      <c r="R239" s="11" t="n">
        <v>16</v>
      </c>
      <c r="S239" s="11" t="n">
        <f aca="false">K239*R239</f>
        <v>1286.4</v>
      </c>
      <c r="T239" s="8" t="n">
        <v>77.04</v>
      </c>
      <c r="U239" s="8" t="n">
        <v>85.6</v>
      </c>
      <c r="V239" s="12" t="n">
        <f aca="false">IF(U239-T239=0,"",(K239-T239)/(U239-T239))</f>
        <v>0.392523364485982</v>
      </c>
      <c r="W239" s="13" t="n">
        <f aca="false">IF(U239=0,"",K239/U239-1)</f>
        <v>-0.0607476635514017</v>
      </c>
      <c r="X239" s="11"/>
      <c r="Y239" s="5" t="s">
        <v>253</v>
      </c>
      <c r="Z239" s="5" t="s">
        <v>254</v>
      </c>
      <c r="AA239" s="5" t="s">
        <v>251</v>
      </c>
      <c r="AB239" s="5"/>
      <c r="AC239" s="5" t="s">
        <v>835</v>
      </c>
      <c r="AD239" s="14" t="n">
        <v>46288.771875</v>
      </c>
    </row>
    <row r="240" customFormat="false" ht="15" hidden="false" customHeight="false" outlineLevel="0" collapsed="false">
      <c r="A240" s="5" t="s">
        <v>836</v>
      </c>
      <c r="B240" s="5" t="s">
        <v>837</v>
      </c>
      <c r="C240" s="5" t="s">
        <v>248</v>
      </c>
      <c r="D240" s="5" t="s">
        <v>249</v>
      </c>
      <c r="E240" s="5" t="s">
        <v>250</v>
      </c>
      <c r="F240" s="5" t="s">
        <v>251</v>
      </c>
      <c r="G240" s="5" t="s">
        <v>59</v>
      </c>
      <c r="H240" s="5" t="s">
        <v>60</v>
      </c>
      <c r="I240" s="6" t="n">
        <v>0.055555555</v>
      </c>
      <c r="J240" s="7" t="n">
        <f aca="false">IF(I240="","",1/I240)</f>
        <v>18.00000018</v>
      </c>
      <c r="K240" s="8" t="n">
        <v>20.64</v>
      </c>
      <c r="L240" s="9" t="n">
        <v>0.15</v>
      </c>
      <c r="M240" s="10" t="n">
        <v>0.0073</v>
      </c>
      <c r="N240" s="8" t="n">
        <v>20.6</v>
      </c>
      <c r="O240" s="8" t="n">
        <v>20.6</v>
      </c>
      <c r="P240" s="8" t="n">
        <v>20.64</v>
      </c>
      <c r="Q240" s="8" t="n">
        <v>20.64</v>
      </c>
      <c r="R240" s="11" t="n">
        <v>16</v>
      </c>
      <c r="S240" s="11" t="n">
        <f aca="false">K240*R240</f>
        <v>330.24</v>
      </c>
      <c r="T240" s="8" t="n">
        <v>19.22</v>
      </c>
      <c r="U240" s="8" t="n">
        <v>23.28</v>
      </c>
      <c r="V240" s="12" t="n">
        <f aca="false">IF(U240-T240=0,"",(K240-T240)/(U240-T240))</f>
        <v>0.349753694581281</v>
      </c>
      <c r="W240" s="13" t="n">
        <f aca="false">IF(U240=0,"",K240/U240-1)</f>
        <v>-0.11340206185567</v>
      </c>
      <c r="X240" s="11"/>
      <c r="Y240" s="5" t="s">
        <v>253</v>
      </c>
      <c r="Z240" s="5" t="s">
        <v>254</v>
      </c>
      <c r="AA240" s="5" t="s">
        <v>251</v>
      </c>
      <c r="AB240" s="5"/>
      <c r="AC240" s="5" t="s">
        <v>838</v>
      </c>
      <c r="AD240" s="14" t="n">
        <v>46288.771875</v>
      </c>
    </row>
    <row r="241" customFormat="false" ht="15" hidden="false" customHeight="false" outlineLevel="0" collapsed="false">
      <c r="A241" s="5" t="s">
        <v>839</v>
      </c>
      <c r="B241" s="5" t="s">
        <v>840</v>
      </c>
      <c r="C241" s="5" t="s">
        <v>248</v>
      </c>
      <c r="D241" s="5" t="s">
        <v>249</v>
      </c>
      <c r="E241" s="5" t="s">
        <v>250</v>
      </c>
      <c r="F241" s="5" t="s">
        <v>251</v>
      </c>
      <c r="G241" s="5" t="s">
        <v>59</v>
      </c>
      <c r="H241" s="5" t="s">
        <v>60</v>
      </c>
      <c r="I241" s="6" t="n">
        <v>0.083333333</v>
      </c>
      <c r="J241" s="7" t="n">
        <f aca="false">IF(I241="","",1/I241)</f>
        <v>12.000000048</v>
      </c>
      <c r="K241" s="8" t="n">
        <v>77.91</v>
      </c>
      <c r="L241" s="9" t="n">
        <v>-0.1</v>
      </c>
      <c r="M241" s="10" t="n">
        <v>-0.0013</v>
      </c>
      <c r="N241" s="8" t="n">
        <v>77.91</v>
      </c>
      <c r="O241" s="8" t="n">
        <v>77.91</v>
      </c>
      <c r="P241" s="8" t="n">
        <v>77.91</v>
      </c>
      <c r="Q241" s="8" t="n">
        <v>77.91</v>
      </c>
      <c r="R241" s="11" t="n">
        <v>3</v>
      </c>
      <c r="S241" s="11" t="n">
        <f aca="false">K241*R241</f>
        <v>233.73</v>
      </c>
      <c r="T241" s="8" t="n">
        <v>62.88</v>
      </c>
      <c r="U241" s="8" t="n">
        <v>88.88</v>
      </c>
      <c r="V241" s="12" t="n">
        <f aca="false">IF(U241-T241=0,"",(K241-T241)/(U241-T241))</f>
        <v>0.578076923076923</v>
      </c>
      <c r="W241" s="13" t="n">
        <f aca="false">IF(U241=0,"",K241/U241-1)</f>
        <v>-0.123424842484248</v>
      </c>
      <c r="X241" s="11"/>
      <c r="Y241" s="5" t="s">
        <v>253</v>
      </c>
      <c r="Z241" s="5" t="s">
        <v>254</v>
      </c>
      <c r="AA241" s="5" t="s">
        <v>251</v>
      </c>
      <c r="AB241" s="5"/>
      <c r="AC241" s="5" t="s">
        <v>841</v>
      </c>
      <c r="AD241" s="14" t="n">
        <v>46288.771875</v>
      </c>
    </row>
    <row r="242" customFormat="false" ht="15" hidden="false" customHeight="false" outlineLevel="0" collapsed="false">
      <c r="A242" s="5" t="s">
        <v>842</v>
      </c>
      <c r="B242" s="5" t="s">
        <v>843</v>
      </c>
      <c r="C242" s="5" t="s">
        <v>248</v>
      </c>
      <c r="D242" s="5" t="s">
        <v>249</v>
      </c>
      <c r="E242" s="5" t="s">
        <v>250</v>
      </c>
      <c r="F242" s="5" t="s">
        <v>251</v>
      </c>
      <c r="G242" s="5" t="s">
        <v>59</v>
      </c>
      <c r="H242" s="5" t="s">
        <v>60</v>
      </c>
      <c r="I242" s="6" t="n">
        <v>0.05</v>
      </c>
      <c r="J242" s="7" t="n">
        <f aca="false">IF(I242="","",1/I242)</f>
        <v>20</v>
      </c>
      <c r="K242" s="8" t="n">
        <v>20.76</v>
      </c>
      <c r="L242" s="9" t="n">
        <v>0.28</v>
      </c>
      <c r="M242" s="10" t="n">
        <v>0.0137</v>
      </c>
      <c r="N242" s="8" t="n">
        <v>20.49</v>
      </c>
      <c r="O242" s="8" t="n">
        <v>20.49</v>
      </c>
      <c r="P242" s="8" t="n">
        <v>20.76</v>
      </c>
      <c r="Q242" s="8" t="n">
        <v>20.76</v>
      </c>
      <c r="R242" s="11" t="n">
        <v>53</v>
      </c>
      <c r="S242" s="11" t="n">
        <f aca="false">K242*R242</f>
        <v>1100.28</v>
      </c>
      <c r="T242" s="8" t="n">
        <v>20.48</v>
      </c>
      <c r="U242" s="8" t="n">
        <v>22.4</v>
      </c>
      <c r="V242" s="12" t="n">
        <f aca="false">IF(U242-T242=0,"",(K242-T242)/(U242-T242))</f>
        <v>0.145833333333334</v>
      </c>
      <c r="W242" s="13" t="n">
        <f aca="false">IF(U242=0,"",K242/U242-1)</f>
        <v>-0.0732142857142856</v>
      </c>
      <c r="X242" s="11"/>
      <c r="Y242" s="5" t="s">
        <v>253</v>
      </c>
      <c r="Z242" s="5" t="s">
        <v>254</v>
      </c>
      <c r="AA242" s="5" t="s">
        <v>251</v>
      </c>
      <c r="AB242" s="5"/>
      <c r="AC242" s="5" t="s">
        <v>844</v>
      </c>
      <c r="AD242" s="14" t="n">
        <v>46288.771875</v>
      </c>
    </row>
    <row r="243" customFormat="false" ht="15" hidden="false" customHeight="false" outlineLevel="0" collapsed="false">
      <c r="A243" s="5" t="s">
        <v>845</v>
      </c>
      <c r="B243" s="5" t="s">
        <v>846</v>
      </c>
      <c r="C243" s="5" t="s">
        <v>248</v>
      </c>
      <c r="D243" s="5" t="s">
        <v>249</v>
      </c>
      <c r="E243" s="5" t="s">
        <v>250</v>
      </c>
      <c r="F243" s="5" t="s">
        <v>251</v>
      </c>
      <c r="G243" s="5" t="s">
        <v>59</v>
      </c>
      <c r="H243" s="5" t="s">
        <v>60</v>
      </c>
      <c r="I243" s="6" t="n">
        <v>0.1</v>
      </c>
      <c r="J243" s="7" t="n">
        <f aca="false">IF(I243="","",1/I243)</f>
        <v>10</v>
      </c>
      <c r="K243" s="8" t="n">
        <v>46.51</v>
      </c>
      <c r="L243" s="9" t="n">
        <v>-0.04</v>
      </c>
      <c r="M243" s="10" t="n">
        <v>-0.0009</v>
      </c>
      <c r="N243" s="8" t="n">
        <v>46.77</v>
      </c>
      <c r="O243" s="8" t="n">
        <v>46.51</v>
      </c>
      <c r="P243" s="8" t="n">
        <v>46.78</v>
      </c>
      <c r="Q243" s="8" t="n">
        <v>46.51</v>
      </c>
      <c r="R243" s="11" t="n">
        <v>542</v>
      </c>
      <c r="S243" s="11" t="n">
        <f aca="false">K243*R243</f>
        <v>25208.42</v>
      </c>
      <c r="T243" s="8" t="n">
        <v>46.11</v>
      </c>
      <c r="U243" s="8" t="n">
        <v>55</v>
      </c>
      <c r="V243" s="12" t="n">
        <f aca="false">IF(U243-T243=0,"",(K243-T243)/(U243-T243))</f>
        <v>0.044994375703037</v>
      </c>
      <c r="W243" s="13" t="n">
        <f aca="false">IF(U243=0,"",K243/U243-1)</f>
        <v>-0.154363636363636</v>
      </c>
      <c r="X243" s="11"/>
      <c r="Y243" s="5" t="s">
        <v>253</v>
      </c>
      <c r="Z243" s="5" t="s">
        <v>254</v>
      </c>
      <c r="AA243" s="5" t="s">
        <v>251</v>
      </c>
      <c r="AB243" s="5"/>
      <c r="AC243" s="5" t="s">
        <v>847</v>
      </c>
      <c r="AD243" s="14" t="n">
        <v>46288.771875</v>
      </c>
    </row>
    <row r="244" customFormat="false" ht="15" hidden="false" customHeight="false" outlineLevel="0" collapsed="false">
      <c r="A244" s="5" t="s">
        <v>848</v>
      </c>
      <c r="B244" s="5" t="s">
        <v>849</v>
      </c>
      <c r="C244" s="5" t="s">
        <v>248</v>
      </c>
      <c r="D244" s="5" t="s">
        <v>249</v>
      </c>
      <c r="E244" s="5" t="s">
        <v>250</v>
      </c>
      <c r="F244" s="5" t="s">
        <v>251</v>
      </c>
      <c r="G244" s="5" t="s">
        <v>59</v>
      </c>
      <c r="H244" s="5" t="s">
        <v>60</v>
      </c>
      <c r="I244" s="6" t="n">
        <v>0.02857</v>
      </c>
      <c r="J244" s="7" t="n">
        <f aca="false">IF(I244="","",1/I244)</f>
        <v>35.0017500875044</v>
      </c>
      <c r="K244" s="8" t="n">
        <v>38.93</v>
      </c>
      <c r="L244" s="9" t="n">
        <v>0.17</v>
      </c>
      <c r="M244" s="10" t="n">
        <v>0.0044</v>
      </c>
      <c r="N244" s="8" t="n">
        <v>38.95</v>
      </c>
      <c r="O244" s="8" t="n">
        <v>38.93</v>
      </c>
      <c r="P244" s="8" t="n">
        <v>38.95</v>
      </c>
      <c r="Q244" s="8" t="n">
        <v>38.95</v>
      </c>
      <c r="R244" s="11" t="n">
        <v>571</v>
      </c>
      <c r="S244" s="11" t="n">
        <f aca="false">K244*R244</f>
        <v>22229.03</v>
      </c>
      <c r="T244" s="8" t="n">
        <v>26.14</v>
      </c>
      <c r="U244" s="8" t="n">
        <v>38.95</v>
      </c>
      <c r="V244" s="12" t="n">
        <f aca="false">IF(U244-T244=0,"",(K244-T244)/(U244-T244))</f>
        <v>0.998438719750195</v>
      </c>
      <c r="W244" s="13" t="n">
        <f aca="false">IF(U244=0,"",K244/U244-1)</f>
        <v>-0.000513478818998769</v>
      </c>
      <c r="X244" s="11"/>
      <c r="Y244" s="5" t="s">
        <v>253</v>
      </c>
      <c r="Z244" s="5" t="s">
        <v>254</v>
      </c>
      <c r="AA244" s="5" t="s">
        <v>251</v>
      </c>
      <c r="AB244" s="5"/>
      <c r="AC244" s="5" t="s">
        <v>850</v>
      </c>
      <c r="AD244" s="14" t="n">
        <v>46288.771875</v>
      </c>
    </row>
    <row r="245" customFormat="false" ht="15" hidden="false" customHeight="false" outlineLevel="0" collapsed="false">
      <c r="A245" s="5" t="s">
        <v>851</v>
      </c>
      <c r="B245" s="5" t="s">
        <v>852</v>
      </c>
      <c r="C245" s="5" t="s">
        <v>248</v>
      </c>
      <c r="D245" s="5" t="s">
        <v>249</v>
      </c>
      <c r="E245" s="5" t="s">
        <v>250</v>
      </c>
      <c r="F245" s="5" t="s">
        <v>251</v>
      </c>
      <c r="G245" s="5" t="s">
        <v>59</v>
      </c>
      <c r="H245" s="5" t="s">
        <v>60</v>
      </c>
      <c r="I245" s="6" t="n">
        <v>0.33333333</v>
      </c>
      <c r="J245" s="7" t="n">
        <f aca="false">IF(I245="","",1/I245)</f>
        <v>3.00000003</v>
      </c>
      <c r="K245" s="8" t="n">
        <v>73.19</v>
      </c>
      <c r="L245" s="9" t="n">
        <v>0.11</v>
      </c>
      <c r="M245" s="10" t="n">
        <v>0.0015</v>
      </c>
      <c r="N245" s="8" t="n">
        <v>73.19</v>
      </c>
      <c r="O245" s="8" t="n">
        <v>73.19</v>
      </c>
      <c r="P245" s="8" t="n">
        <v>73.19</v>
      </c>
      <c r="Q245" s="8" t="n">
        <v>73.19</v>
      </c>
      <c r="R245" s="11" t="n">
        <v>2</v>
      </c>
      <c r="S245" s="11" t="n">
        <f aca="false">K245*R245</f>
        <v>146.38</v>
      </c>
      <c r="T245" s="8" t="n">
        <v>60.72</v>
      </c>
      <c r="U245" s="8" t="n">
        <v>73.3</v>
      </c>
      <c r="V245" s="12" t="n">
        <f aca="false">IF(U245-T245=0,"",(K245-T245)/(U245-T245))</f>
        <v>0.991255961844197</v>
      </c>
      <c r="W245" s="13" t="n">
        <f aca="false">IF(U245=0,"",K245/U245-1)</f>
        <v>-0.00150068212824006</v>
      </c>
      <c r="X245" s="11"/>
      <c r="Y245" s="5" t="s">
        <v>253</v>
      </c>
      <c r="Z245" s="5" t="s">
        <v>254</v>
      </c>
      <c r="AA245" s="5" t="s">
        <v>251</v>
      </c>
      <c r="AB245" s="5"/>
      <c r="AC245" s="5" t="s">
        <v>853</v>
      </c>
      <c r="AD245" s="14" t="n">
        <v>46288.771875</v>
      </c>
    </row>
    <row r="246" customFormat="false" ht="15" hidden="false" customHeight="false" outlineLevel="0" collapsed="false">
      <c r="A246" s="5" t="s">
        <v>854</v>
      </c>
      <c r="B246" s="5" t="s">
        <v>855</v>
      </c>
      <c r="C246" s="5" t="s">
        <v>248</v>
      </c>
      <c r="D246" s="5" t="s">
        <v>249</v>
      </c>
      <c r="E246" s="5" t="s">
        <v>250</v>
      </c>
      <c r="F246" s="5" t="s">
        <v>251</v>
      </c>
      <c r="G246" s="5" t="s">
        <v>59</v>
      </c>
      <c r="H246" s="5" t="s">
        <v>60</v>
      </c>
      <c r="I246" s="6" t="n">
        <v>0.083333</v>
      </c>
      <c r="J246" s="7" t="n">
        <f aca="false">IF(I246="","",1/I246)</f>
        <v>12.000048000192</v>
      </c>
      <c r="K246" s="8" t="n">
        <v>33.73</v>
      </c>
      <c r="L246" s="9" t="n">
        <v>-0.51</v>
      </c>
      <c r="M246" s="10" t="n">
        <v>-0.0149</v>
      </c>
      <c r="N246" s="8" t="n">
        <v>35</v>
      </c>
      <c r="O246" s="8" t="n">
        <v>33.73</v>
      </c>
      <c r="P246" s="8" t="n">
        <v>35</v>
      </c>
      <c r="Q246" s="8" t="n">
        <v>33.73</v>
      </c>
      <c r="R246" s="11" t="n">
        <v>245</v>
      </c>
      <c r="S246" s="11" t="n">
        <f aca="false">K246*R246</f>
        <v>8263.85</v>
      </c>
      <c r="T246" s="8" t="n">
        <v>4.86138908</v>
      </c>
      <c r="U246" s="8" t="n">
        <v>56.14833446</v>
      </c>
      <c r="V246" s="12" t="n">
        <f aca="false">IF(U246-T246=0,"",(K246-T246)/(U246-T246))</f>
        <v>0.562884194137592</v>
      </c>
      <c r="W246" s="13" t="n">
        <f aca="false">IF(U246=0,"",K246/U246-1)</f>
        <v>-0.399269803380736</v>
      </c>
      <c r="X246" s="11"/>
      <c r="Y246" s="5" t="s">
        <v>253</v>
      </c>
      <c r="Z246" s="5" t="s">
        <v>254</v>
      </c>
      <c r="AA246" s="5" t="s">
        <v>251</v>
      </c>
      <c r="AB246" s="5"/>
      <c r="AC246" s="5" t="s">
        <v>856</v>
      </c>
      <c r="AD246" s="14" t="n">
        <v>46288.771875</v>
      </c>
    </row>
    <row r="247" customFormat="false" ht="15" hidden="false" customHeight="false" outlineLevel="0" collapsed="false">
      <c r="A247" s="5" t="s">
        <v>857</v>
      </c>
      <c r="B247" s="5" t="s">
        <v>858</v>
      </c>
      <c r="C247" s="5" t="s">
        <v>55</v>
      </c>
      <c r="D247" s="5" t="s">
        <v>56</v>
      </c>
      <c r="E247" s="5" t="s">
        <v>182</v>
      </c>
      <c r="F247" s="5" t="s">
        <v>183</v>
      </c>
      <c r="G247" s="5" t="s">
        <v>59</v>
      </c>
      <c r="H247" s="5" t="s">
        <v>60</v>
      </c>
      <c r="I247" s="6" t="n">
        <v>0.0057143</v>
      </c>
      <c r="J247" s="7" t="n">
        <f aca="false">IF(I247="","",1/I247)</f>
        <v>174.999562501094</v>
      </c>
      <c r="K247" s="8" t="n">
        <v>4.64</v>
      </c>
      <c r="L247" s="9" t="n">
        <v>-0.09</v>
      </c>
      <c r="M247" s="10" t="n">
        <v>-0.019</v>
      </c>
      <c r="N247" s="8" t="n">
        <v>4.81</v>
      </c>
      <c r="O247" s="8" t="n">
        <v>4.57</v>
      </c>
      <c r="P247" s="8" t="n">
        <v>4.81</v>
      </c>
      <c r="Q247" s="8" t="n">
        <v>4.62</v>
      </c>
      <c r="R247" s="11" t="n">
        <v>306667</v>
      </c>
      <c r="S247" s="11" t="n">
        <f aca="false">K247*R247</f>
        <v>1422934.88</v>
      </c>
      <c r="T247" s="8" t="n">
        <v>4.35</v>
      </c>
      <c r="U247" s="8" t="n">
        <v>6.9852</v>
      </c>
      <c r="V247" s="12" t="n">
        <f aca="false">IF(U247-T247=0,"",(K247-T247)/(U247-T247))</f>
        <v>0.110048573163327</v>
      </c>
      <c r="W247" s="13" t="n">
        <f aca="false">IF(U247=0,"",K247/U247-1)</f>
        <v>-0.335738418370269</v>
      </c>
      <c r="X247" s="11" t="n">
        <v>631483</v>
      </c>
      <c r="Y247" s="5" t="s">
        <v>182</v>
      </c>
      <c r="Z247" s="5" t="s">
        <v>184</v>
      </c>
      <c r="AA247" s="5" t="s">
        <v>183</v>
      </c>
      <c r="AB247" s="5"/>
      <c r="AC247" s="5" t="s">
        <v>859</v>
      </c>
      <c r="AD247" s="14" t="n">
        <v>46288.771875</v>
      </c>
    </row>
    <row r="248" customFormat="false" ht="15" hidden="false" customHeight="false" outlineLevel="0" collapsed="false">
      <c r="A248" s="5" t="s">
        <v>860</v>
      </c>
      <c r="B248" s="5" t="s">
        <v>861</v>
      </c>
      <c r="C248" s="5" t="s">
        <v>248</v>
      </c>
      <c r="D248" s="5" t="s">
        <v>249</v>
      </c>
      <c r="E248" s="5" t="s">
        <v>250</v>
      </c>
      <c r="F248" s="5" t="s">
        <v>251</v>
      </c>
      <c r="G248" s="5" t="s">
        <v>59</v>
      </c>
      <c r="H248" s="5" t="s">
        <v>60</v>
      </c>
      <c r="I248" s="6" t="n">
        <v>0.25</v>
      </c>
      <c r="J248" s="7" t="n">
        <f aca="false">IF(I248="","",1/I248)</f>
        <v>4</v>
      </c>
      <c r="K248" s="8" t="n">
        <v>47.76</v>
      </c>
      <c r="L248" s="9" t="n">
        <v>0.31</v>
      </c>
      <c r="M248" s="10" t="n">
        <v>0.0065</v>
      </c>
      <c r="N248" s="8" t="n">
        <v>47.76</v>
      </c>
      <c r="O248" s="8" t="n">
        <v>47.76</v>
      </c>
      <c r="P248" s="8" t="n">
        <v>47.76</v>
      </c>
      <c r="Q248" s="8" t="n">
        <v>47.76</v>
      </c>
      <c r="R248" s="11" t="n">
        <v>3</v>
      </c>
      <c r="S248" s="11" t="n">
        <f aca="false">K248*R248</f>
        <v>143.28</v>
      </c>
      <c r="T248" s="8" t="n">
        <v>45.01</v>
      </c>
      <c r="U248" s="8" t="n">
        <v>55.28</v>
      </c>
      <c r="V248" s="12" t="n">
        <f aca="false">IF(U248-T248=0,"",(K248-T248)/(U248-T248))</f>
        <v>0.267770204479065</v>
      </c>
      <c r="W248" s="13" t="n">
        <f aca="false">IF(U248=0,"",K248/U248-1)</f>
        <v>-0.13603473227207</v>
      </c>
      <c r="X248" s="11"/>
      <c r="Y248" s="5" t="s">
        <v>253</v>
      </c>
      <c r="Z248" s="5" t="s">
        <v>254</v>
      </c>
      <c r="AA248" s="5" t="s">
        <v>251</v>
      </c>
      <c r="AB248" s="5"/>
      <c r="AC248" s="5" t="s">
        <v>862</v>
      </c>
      <c r="AD248" s="14" t="n">
        <v>46288.771875</v>
      </c>
    </row>
    <row r="249" customFormat="false" ht="15" hidden="false" customHeight="false" outlineLevel="0" collapsed="false">
      <c r="A249" s="5" t="s">
        <v>863</v>
      </c>
      <c r="B249" s="5" t="s">
        <v>864</v>
      </c>
      <c r="C249" s="5" t="s">
        <v>248</v>
      </c>
      <c r="D249" s="5" t="s">
        <v>249</v>
      </c>
      <c r="E249" s="5" t="s">
        <v>250</v>
      </c>
      <c r="F249" s="5" t="s">
        <v>251</v>
      </c>
      <c r="G249" s="5" t="s">
        <v>59</v>
      </c>
      <c r="H249" s="5" t="s">
        <v>60</v>
      </c>
      <c r="I249" s="6" t="n">
        <v>1</v>
      </c>
      <c r="J249" s="7" t="n">
        <f aca="false">IF(I249="","",1/I249)</f>
        <v>1</v>
      </c>
      <c r="K249" s="8" t="n">
        <v>126.88</v>
      </c>
      <c r="L249" s="9" t="n">
        <v>-1.37</v>
      </c>
      <c r="M249" s="10" t="n">
        <v>-0.0107</v>
      </c>
      <c r="N249" s="8" t="n">
        <v>126.88</v>
      </c>
      <c r="O249" s="8" t="n">
        <v>126.88</v>
      </c>
      <c r="P249" s="8" t="n">
        <v>126.88</v>
      </c>
      <c r="Q249" s="8" t="n">
        <v>126.88</v>
      </c>
      <c r="R249" s="11" t="n">
        <v>339</v>
      </c>
      <c r="S249" s="11" t="n">
        <f aca="false">K249*R249</f>
        <v>43012.32</v>
      </c>
      <c r="T249" s="8" t="n">
        <v>120</v>
      </c>
      <c r="U249" s="8" t="n">
        <v>230.22</v>
      </c>
      <c r="V249" s="12" t="n">
        <f aca="false">IF(U249-T249=0,"",(K249-T249)/(U249-T249))</f>
        <v>0.0624206133188169</v>
      </c>
      <c r="W249" s="13" t="n">
        <f aca="false">IF(U249=0,"",K249/U249-1)</f>
        <v>-0.448874989140822</v>
      </c>
      <c r="X249" s="11"/>
      <c r="Y249" s="5" t="s">
        <v>253</v>
      </c>
      <c r="Z249" s="5" t="s">
        <v>254</v>
      </c>
      <c r="AA249" s="5" t="s">
        <v>251</v>
      </c>
      <c r="AB249" s="5"/>
      <c r="AC249" s="5" t="s">
        <v>865</v>
      </c>
      <c r="AD249" s="14" t="n">
        <v>46288.771875</v>
      </c>
    </row>
    <row r="250" customFormat="false" ht="15" hidden="false" customHeight="false" outlineLevel="0" collapsed="false">
      <c r="A250" s="5" t="s">
        <v>866</v>
      </c>
      <c r="B250" s="5" t="s">
        <v>867</v>
      </c>
      <c r="C250" s="5" t="s">
        <v>248</v>
      </c>
      <c r="D250" s="5" t="s">
        <v>249</v>
      </c>
      <c r="E250" s="5" t="s">
        <v>250</v>
      </c>
      <c r="F250" s="5" t="s">
        <v>251</v>
      </c>
      <c r="G250" s="5" t="s">
        <v>59</v>
      </c>
      <c r="H250" s="5" t="s">
        <v>60</v>
      </c>
      <c r="I250" s="6" t="n">
        <v>0.2</v>
      </c>
      <c r="J250" s="7" t="n">
        <f aca="false">IF(I250="","",1/I250)</f>
        <v>5</v>
      </c>
      <c r="K250" s="8" t="n">
        <v>69.01</v>
      </c>
      <c r="L250" s="9" t="n">
        <v>-1.16</v>
      </c>
      <c r="M250" s="10" t="n">
        <v>-0.0165</v>
      </c>
      <c r="N250" s="8" t="n">
        <v>79.4</v>
      </c>
      <c r="O250" s="8" t="n">
        <v>69.01</v>
      </c>
      <c r="P250" s="8" t="n">
        <v>79.4</v>
      </c>
      <c r="Q250" s="8" t="n">
        <v>69.01</v>
      </c>
      <c r="R250" s="11" t="n">
        <v>8</v>
      </c>
      <c r="S250" s="11" t="n">
        <f aca="false">K250*R250</f>
        <v>552.08</v>
      </c>
      <c r="T250" s="8" t="n">
        <v>69.01</v>
      </c>
      <c r="U250" s="8" t="n">
        <v>79.4</v>
      </c>
      <c r="V250" s="12" t="n">
        <f aca="false">IF(U250-T250=0,"",(K250-T250)/(U250-T250))</f>
        <v>0</v>
      </c>
      <c r="W250" s="13" t="n">
        <f aca="false">IF(U250=0,"",K250/U250-1)</f>
        <v>-0.130856423173804</v>
      </c>
      <c r="X250" s="11"/>
      <c r="Y250" s="5" t="s">
        <v>253</v>
      </c>
      <c r="Z250" s="5" t="s">
        <v>254</v>
      </c>
      <c r="AA250" s="5" t="s">
        <v>251</v>
      </c>
      <c r="AB250" s="5"/>
      <c r="AC250" s="5" t="s">
        <v>868</v>
      </c>
      <c r="AD250" s="14" t="n">
        <v>46288.771875</v>
      </c>
    </row>
    <row r="251" customFormat="false" ht="15" hidden="false" customHeight="false" outlineLevel="0" collapsed="false">
      <c r="A251" s="5" t="s">
        <v>869</v>
      </c>
      <c r="B251" s="5" t="s">
        <v>870</v>
      </c>
      <c r="C251" s="5" t="s">
        <v>248</v>
      </c>
      <c r="D251" s="5" t="s">
        <v>249</v>
      </c>
      <c r="E251" s="5" t="s">
        <v>250</v>
      </c>
      <c r="F251" s="5" t="s">
        <v>251</v>
      </c>
      <c r="G251" s="5" t="s">
        <v>59</v>
      </c>
      <c r="H251" s="5" t="s">
        <v>60</v>
      </c>
      <c r="I251" s="6" t="n">
        <v>0.1</v>
      </c>
      <c r="J251" s="7" t="n">
        <f aca="false">IF(I251="","",1/I251)</f>
        <v>10</v>
      </c>
      <c r="K251" s="8" t="n">
        <v>84.74</v>
      </c>
      <c r="L251" s="9" t="n">
        <v>2.4</v>
      </c>
      <c r="M251" s="10" t="n">
        <v>0.0291</v>
      </c>
      <c r="N251" s="8" t="n">
        <v>84.74</v>
      </c>
      <c r="O251" s="8" t="n">
        <v>84.74</v>
      </c>
      <c r="P251" s="8" t="n">
        <v>84.74</v>
      </c>
      <c r="Q251" s="8" t="n">
        <v>84.74</v>
      </c>
      <c r="R251" s="11" t="n">
        <v>1</v>
      </c>
      <c r="S251" s="11" t="n">
        <f aca="false">K251*R251</f>
        <v>84.74</v>
      </c>
      <c r="T251" s="8" t="n">
        <v>55.89</v>
      </c>
      <c r="U251" s="8" t="n">
        <v>84.74</v>
      </c>
      <c r="V251" s="12" t="n">
        <f aca="false">IF(U251-T251=0,"",(K251-T251)/(U251-T251))</f>
        <v>1</v>
      </c>
      <c r="W251" s="13" t="n">
        <f aca="false">IF(U251=0,"",K251/U251-1)</f>
        <v>0</v>
      </c>
      <c r="X251" s="11"/>
      <c r="Y251" s="5" t="s">
        <v>253</v>
      </c>
      <c r="Z251" s="5" t="s">
        <v>254</v>
      </c>
      <c r="AA251" s="5" t="s">
        <v>251</v>
      </c>
      <c r="AB251" s="5"/>
      <c r="AC251" s="5" t="s">
        <v>871</v>
      </c>
      <c r="AD251" s="14" t="n">
        <v>46288.771875</v>
      </c>
    </row>
    <row r="252" customFormat="false" ht="15" hidden="false" customHeight="false" outlineLevel="0" collapsed="false">
      <c r="A252" s="5" t="s">
        <v>872</v>
      </c>
      <c r="B252" s="5" t="s">
        <v>873</v>
      </c>
      <c r="C252" s="5" t="s">
        <v>55</v>
      </c>
      <c r="D252" s="5" t="s">
        <v>56</v>
      </c>
      <c r="E252" s="5" t="s">
        <v>71</v>
      </c>
      <c r="F252" s="5" t="s">
        <v>72</v>
      </c>
      <c r="G252" s="5" t="s">
        <v>59</v>
      </c>
      <c r="H252" s="5" t="s">
        <v>60</v>
      </c>
      <c r="I252" s="6" t="n">
        <v>0.01515152</v>
      </c>
      <c r="J252" s="7" t="n">
        <f aca="false">IF(I252="","",1/I252)</f>
        <v>65.9999788800068</v>
      </c>
      <c r="K252" s="8" t="n">
        <v>83</v>
      </c>
      <c r="L252" s="9" t="n">
        <v>0.93</v>
      </c>
      <c r="M252" s="10" t="n">
        <v>0.0113</v>
      </c>
      <c r="N252" s="8" t="n">
        <v>83.2</v>
      </c>
      <c r="O252" s="8" t="n">
        <v>82</v>
      </c>
      <c r="P252" s="8" t="n">
        <v>83.85</v>
      </c>
      <c r="Q252" s="8" t="n">
        <v>83</v>
      </c>
      <c r="R252" s="11" t="n">
        <v>230</v>
      </c>
      <c r="S252" s="11" t="n">
        <f aca="false">K252*R252</f>
        <v>19090</v>
      </c>
      <c r="T252" s="8" t="n">
        <v>72.56</v>
      </c>
      <c r="U252" s="8" t="n">
        <v>100.49</v>
      </c>
      <c r="V252" s="12" t="n">
        <f aca="false">IF(U252-T252=0,"",(K252-T252)/(U252-T252))</f>
        <v>0.373791621911923</v>
      </c>
      <c r="W252" s="13" t="n">
        <f aca="false">IF(U252=0,"",K252/U252-1)</f>
        <v>-0.174047168872525</v>
      </c>
      <c r="X252" s="11" t="n">
        <v>886934</v>
      </c>
      <c r="Y252" s="5" t="s">
        <v>71</v>
      </c>
      <c r="Z252" s="5" t="s">
        <v>73</v>
      </c>
      <c r="AA252" s="5" t="s">
        <v>72</v>
      </c>
      <c r="AB252" s="5"/>
      <c r="AC252" s="5" t="s">
        <v>874</v>
      </c>
      <c r="AD252" s="14" t="n">
        <v>46288.771875</v>
      </c>
    </row>
    <row r="253" customFormat="false" ht="15" hidden="false" customHeight="false" outlineLevel="0" collapsed="false">
      <c r="A253" s="5" t="s">
        <v>875</v>
      </c>
      <c r="B253" s="5" t="s">
        <v>876</v>
      </c>
      <c r="C253" s="5" t="s">
        <v>248</v>
      </c>
      <c r="D253" s="5" t="s">
        <v>249</v>
      </c>
      <c r="E253" s="5" t="s">
        <v>250</v>
      </c>
      <c r="F253" s="5" t="s">
        <v>251</v>
      </c>
      <c r="G253" s="5" t="s">
        <v>59</v>
      </c>
      <c r="H253" s="5" t="s">
        <v>60</v>
      </c>
      <c r="I253" s="6" t="n">
        <v>0.125</v>
      </c>
      <c r="J253" s="7" t="n">
        <f aca="false">IF(I253="","",1/I253)</f>
        <v>8</v>
      </c>
      <c r="K253" s="8" t="n">
        <v>45</v>
      </c>
      <c r="L253" s="9" t="n">
        <v>-0.21</v>
      </c>
      <c r="M253" s="10" t="n">
        <v>-0.0046</v>
      </c>
      <c r="N253" s="8" t="n">
        <v>45.35</v>
      </c>
      <c r="O253" s="8" t="n">
        <v>44.86</v>
      </c>
      <c r="P253" s="8" t="n">
        <v>45.35</v>
      </c>
      <c r="Q253" s="8" t="n">
        <v>45</v>
      </c>
      <c r="R253" s="11" t="n">
        <v>156</v>
      </c>
      <c r="S253" s="11" t="n">
        <f aca="false">K253*R253</f>
        <v>7020</v>
      </c>
      <c r="T253" s="8" t="n">
        <v>37</v>
      </c>
      <c r="U253" s="8" t="n">
        <v>56.45</v>
      </c>
      <c r="V253" s="12" t="n">
        <f aca="false">IF(U253-T253=0,"",(K253-T253)/(U253-T253))</f>
        <v>0.411311053984576</v>
      </c>
      <c r="W253" s="13" t="n">
        <f aca="false">IF(U253=0,"",K253/U253-1)</f>
        <v>-0.202834366696191</v>
      </c>
      <c r="X253" s="11"/>
      <c r="Y253" s="5" t="s">
        <v>253</v>
      </c>
      <c r="Z253" s="5" t="s">
        <v>254</v>
      </c>
      <c r="AA253" s="5" t="s">
        <v>251</v>
      </c>
      <c r="AB253" s="5"/>
      <c r="AC253" s="5" t="s">
        <v>877</v>
      </c>
      <c r="AD253" s="14" t="n">
        <v>46288.771875</v>
      </c>
    </row>
    <row r="254" customFormat="false" ht="15" hidden="false" customHeight="false" outlineLevel="0" collapsed="false">
      <c r="A254" s="5" t="s">
        <v>878</v>
      </c>
      <c r="B254" s="5" t="s">
        <v>879</v>
      </c>
      <c r="C254" s="5" t="s">
        <v>248</v>
      </c>
      <c r="D254" s="5" t="s">
        <v>249</v>
      </c>
      <c r="E254" s="5" t="s">
        <v>250</v>
      </c>
      <c r="F254" s="5" t="s">
        <v>251</v>
      </c>
      <c r="G254" s="5" t="s">
        <v>59</v>
      </c>
      <c r="H254" s="5" t="s">
        <v>60</v>
      </c>
      <c r="I254" s="6" t="n">
        <v>0.125</v>
      </c>
      <c r="J254" s="7" t="n">
        <f aca="false">IF(I254="","",1/I254)</f>
        <v>8</v>
      </c>
      <c r="K254" s="8" t="n">
        <v>35.96</v>
      </c>
      <c r="L254" s="9" t="n">
        <v>-0.8</v>
      </c>
      <c r="M254" s="10" t="n">
        <v>-0.0218</v>
      </c>
      <c r="N254" s="8" t="n">
        <v>36.76</v>
      </c>
      <c r="O254" s="8" t="n">
        <v>35.9</v>
      </c>
      <c r="P254" s="8" t="n">
        <v>36.76</v>
      </c>
      <c r="Q254" s="8" t="n">
        <v>35.96</v>
      </c>
      <c r="R254" s="11" t="n">
        <v>54</v>
      </c>
      <c r="S254" s="11" t="n">
        <f aca="false">K254*R254</f>
        <v>1941.84</v>
      </c>
      <c r="T254" s="8" t="n">
        <v>31.65</v>
      </c>
      <c r="U254" s="8" t="n">
        <v>36.78</v>
      </c>
      <c r="V254" s="12" t="n">
        <f aca="false">IF(U254-T254=0,"",(K254-T254)/(U254-T254))</f>
        <v>0.840155945419103</v>
      </c>
      <c r="W254" s="13" t="n">
        <f aca="false">IF(U254=0,"",K254/U254-1)</f>
        <v>-0.022294725394236</v>
      </c>
      <c r="X254" s="11"/>
      <c r="Y254" s="5" t="s">
        <v>253</v>
      </c>
      <c r="Z254" s="5" t="s">
        <v>254</v>
      </c>
      <c r="AA254" s="5" t="s">
        <v>251</v>
      </c>
      <c r="AB254" s="5"/>
      <c r="AC254" s="5" t="s">
        <v>880</v>
      </c>
      <c r="AD254" s="14" t="n">
        <v>46288.771875</v>
      </c>
    </row>
    <row r="255" customFormat="false" ht="15" hidden="false" customHeight="false" outlineLevel="0" collapsed="false">
      <c r="A255" s="5" t="s">
        <v>881</v>
      </c>
      <c r="B255" s="5" t="s">
        <v>882</v>
      </c>
      <c r="C255" s="5" t="s">
        <v>248</v>
      </c>
      <c r="D255" s="5" t="s">
        <v>249</v>
      </c>
      <c r="E255" s="5" t="s">
        <v>250</v>
      </c>
      <c r="F255" s="5" t="s">
        <v>251</v>
      </c>
      <c r="G255" s="5" t="s">
        <v>59</v>
      </c>
      <c r="H255" s="5" t="s">
        <v>60</v>
      </c>
      <c r="I255" s="6" t="n">
        <v>0.125</v>
      </c>
      <c r="J255" s="7" t="n">
        <f aca="false">IF(I255="","",1/I255)</f>
        <v>8</v>
      </c>
      <c r="K255" s="8" t="n">
        <v>47.05</v>
      </c>
      <c r="L255" s="9" t="n">
        <v>-0.48</v>
      </c>
      <c r="M255" s="10" t="n">
        <v>-0.0101</v>
      </c>
      <c r="N255" s="8" t="n">
        <v>47.05</v>
      </c>
      <c r="O255" s="8" t="n">
        <v>47.05</v>
      </c>
      <c r="P255" s="8" t="n">
        <v>47.05</v>
      </c>
      <c r="Q255" s="8" t="n">
        <v>47.05</v>
      </c>
      <c r="R255" s="11" t="n">
        <v>16</v>
      </c>
      <c r="S255" s="11" t="n">
        <f aca="false">K255*R255</f>
        <v>752.8</v>
      </c>
      <c r="T255" s="8" t="n">
        <v>22.1075</v>
      </c>
      <c r="U255" s="8" t="n">
        <v>49.9</v>
      </c>
      <c r="V255" s="12" t="n">
        <f aca="false">IF(U255-T255=0,"",(K255-T255)/(U255-T255))</f>
        <v>0.897454349194927</v>
      </c>
      <c r="W255" s="13" t="n">
        <f aca="false">IF(U255=0,"",K255/U255-1)</f>
        <v>-0.0571142284569138</v>
      </c>
      <c r="X255" s="11"/>
      <c r="Y255" s="5" t="s">
        <v>253</v>
      </c>
      <c r="Z255" s="5" t="s">
        <v>254</v>
      </c>
      <c r="AA255" s="5" t="s">
        <v>251</v>
      </c>
      <c r="AB255" s="5"/>
      <c r="AC255" s="5" t="s">
        <v>883</v>
      </c>
      <c r="AD255" s="14" t="n">
        <v>46288.771875</v>
      </c>
    </row>
    <row r="256" customFormat="false" ht="15" hidden="false" customHeight="false" outlineLevel="0" collapsed="false">
      <c r="A256" s="5" t="s">
        <v>884</v>
      </c>
      <c r="B256" s="5" t="s">
        <v>885</v>
      </c>
      <c r="C256" s="5" t="s">
        <v>248</v>
      </c>
      <c r="D256" s="5" t="s">
        <v>249</v>
      </c>
      <c r="E256" s="5" t="s">
        <v>250</v>
      </c>
      <c r="F256" s="5" t="s">
        <v>251</v>
      </c>
      <c r="G256" s="5" t="s">
        <v>59</v>
      </c>
      <c r="H256" s="5" t="s">
        <v>60</v>
      </c>
      <c r="I256" s="6" t="n">
        <v>0.1</v>
      </c>
      <c r="J256" s="7" t="n">
        <f aca="false">IF(I256="","",1/I256)</f>
        <v>10</v>
      </c>
      <c r="K256" s="8" t="n">
        <v>53.6</v>
      </c>
      <c r="L256" s="9" t="n">
        <v>-0.05</v>
      </c>
      <c r="M256" s="10" t="n">
        <v>-0.0009</v>
      </c>
      <c r="N256" s="8" t="n">
        <v>53.61</v>
      </c>
      <c r="O256" s="8" t="n">
        <v>53.51</v>
      </c>
      <c r="P256" s="8" t="n">
        <v>53.75</v>
      </c>
      <c r="Q256" s="8" t="n">
        <v>53.6</v>
      </c>
      <c r="R256" s="11" t="n">
        <v>61</v>
      </c>
      <c r="S256" s="11" t="n">
        <f aca="false">K256*R256</f>
        <v>3269.6</v>
      </c>
      <c r="T256" s="8" t="n">
        <v>51.14</v>
      </c>
      <c r="U256" s="8" t="n">
        <v>62.78</v>
      </c>
      <c r="V256" s="12" t="n">
        <f aca="false">IF(U256-T256=0,"",(K256-T256)/(U256-T256))</f>
        <v>0.211340206185567</v>
      </c>
      <c r="W256" s="13" t="n">
        <f aca="false">IF(U256=0,"",K256/U256-1)</f>
        <v>-0.146224912392482</v>
      </c>
      <c r="X256" s="11"/>
      <c r="Y256" s="5" t="s">
        <v>253</v>
      </c>
      <c r="Z256" s="5" t="s">
        <v>254</v>
      </c>
      <c r="AA256" s="5" t="s">
        <v>251</v>
      </c>
      <c r="AB256" s="5"/>
      <c r="AC256" s="5" t="s">
        <v>886</v>
      </c>
      <c r="AD256" s="14" t="n">
        <v>46288.771875</v>
      </c>
    </row>
    <row r="257" customFormat="false" ht="15" hidden="false" customHeight="false" outlineLevel="0" collapsed="false">
      <c r="A257" s="5" t="s">
        <v>887</v>
      </c>
      <c r="B257" s="5" t="s">
        <v>888</v>
      </c>
      <c r="C257" s="5" t="s">
        <v>248</v>
      </c>
      <c r="D257" s="5" t="s">
        <v>249</v>
      </c>
      <c r="E257" s="5" t="s">
        <v>250</v>
      </c>
      <c r="F257" s="5" t="s">
        <v>251</v>
      </c>
      <c r="G257" s="5" t="s">
        <v>59</v>
      </c>
      <c r="H257" s="5" t="s">
        <v>60</v>
      </c>
      <c r="I257" s="6" t="n">
        <v>0.125</v>
      </c>
      <c r="J257" s="7" t="n">
        <f aca="false">IF(I257="","",1/I257)</f>
        <v>8</v>
      </c>
      <c r="K257" s="8" t="n">
        <v>30.15</v>
      </c>
      <c r="L257" s="9" t="n">
        <v>-0.3</v>
      </c>
      <c r="M257" s="10" t="n">
        <v>-0.0099</v>
      </c>
      <c r="N257" s="8" t="n">
        <v>30.35</v>
      </c>
      <c r="O257" s="8" t="n">
        <v>30.13</v>
      </c>
      <c r="P257" s="8" t="n">
        <v>30.35</v>
      </c>
      <c r="Q257" s="8" t="n">
        <v>30.15</v>
      </c>
      <c r="R257" s="11" t="n">
        <v>27500</v>
      </c>
      <c r="S257" s="11" t="n">
        <f aca="false">K257*R257</f>
        <v>829125</v>
      </c>
      <c r="T257" s="8" t="n">
        <v>30.13</v>
      </c>
      <c r="U257" s="8" t="n">
        <v>36.48</v>
      </c>
      <c r="V257" s="12" t="n">
        <f aca="false">IF(U257-T257=0,"",(K257-T257)/(U257-T257))</f>
        <v>0.00314960629921253</v>
      </c>
      <c r="W257" s="13" t="n">
        <f aca="false">IF(U257=0,"",K257/U257-1)</f>
        <v>-0.173519736842105</v>
      </c>
      <c r="X257" s="11"/>
      <c r="Y257" s="5" t="s">
        <v>253</v>
      </c>
      <c r="Z257" s="5" t="s">
        <v>254</v>
      </c>
      <c r="AA257" s="5" t="s">
        <v>251</v>
      </c>
      <c r="AB257" s="5"/>
      <c r="AC257" s="5" t="s">
        <v>889</v>
      </c>
      <c r="AD257" s="14" t="n">
        <v>46288.771875</v>
      </c>
    </row>
    <row r="258" customFormat="false" ht="15" hidden="false" customHeight="false" outlineLevel="0" collapsed="false">
      <c r="A258" s="5" t="s">
        <v>890</v>
      </c>
      <c r="B258" s="5" t="s">
        <v>891</v>
      </c>
      <c r="C258" s="5" t="s">
        <v>248</v>
      </c>
      <c r="D258" s="5" t="s">
        <v>249</v>
      </c>
      <c r="E258" s="5" t="s">
        <v>250</v>
      </c>
      <c r="F258" s="5" t="s">
        <v>251</v>
      </c>
      <c r="G258" s="5" t="s">
        <v>59</v>
      </c>
      <c r="H258" s="5" t="s">
        <v>60</v>
      </c>
      <c r="I258" s="6" t="n">
        <v>0.1</v>
      </c>
      <c r="J258" s="7" t="n">
        <f aca="false">IF(I258="","",1/I258)</f>
        <v>10</v>
      </c>
      <c r="K258" s="8" t="n">
        <v>46.84</v>
      </c>
      <c r="L258" s="9" t="n">
        <v>-0.11</v>
      </c>
      <c r="M258" s="10" t="n">
        <v>-0.0023</v>
      </c>
      <c r="N258" s="8" t="n">
        <v>46.88</v>
      </c>
      <c r="O258" s="8" t="n">
        <v>46.84</v>
      </c>
      <c r="P258" s="8" t="n">
        <v>46.89</v>
      </c>
      <c r="Q258" s="8" t="n">
        <v>46.84</v>
      </c>
      <c r="R258" s="11" t="n">
        <v>12</v>
      </c>
      <c r="S258" s="11" t="n">
        <f aca="false">K258*R258</f>
        <v>562.08</v>
      </c>
      <c r="T258" s="8" t="n">
        <v>41.22</v>
      </c>
      <c r="U258" s="8" t="n">
        <v>53</v>
      </c>
      <c r="V258" s="12" t="n">
        <f aca="false">IF(U258-T258=0,"",(K258-T258)/(U258-T258))</f>
        <v>0.477079796264856</v>
      </c>
      <c r="W258" s="13" t="n">
        <f aca="false">IF(U258=0,"",K258/U258-1)</f>
        <v>-0.11622641509434</v>
      </c>
      <c r="X258" s="11"/>
      <c r="Y258" s="5" t="s">
        <v>253</v>
      </c>
      <c r="Z258" s="5" t="s">
        <v>254</v>
      </c>
      <c r="AA258" s="5" t="s">
        <v>251</v>
      </c>
      <c r="AB258" s="5"/>
      <c r="AC258" s="5" t="s">
        <v>892</v>
      </c>
      <c r="AD258" s="14" t="n">
        <v>46288.771875</v>
      </c>
    </row>
    <row r="259" customFormat="false" ht="15" hidden="false" customHeight="false" outlineLevel="0" collapsed="false">
      <c r="A259" s="5" t="s">
        <v>893</v>
      </c>
      <c r="B259" s="5" t="s">
        <v>894</v>
      </c>
      <c r="C259" s="5" t="s">
        <v>248</v>
      </c>
      <c r="D259" s="5" t="s">
        <v>249</v>
      </c>
      <c r="E259" s="5" t="s">
        <v>250</v>
      </c>
      <c r="F259" s="5" t="s">
        <v>251</v>
      </c>
      <c r="G259" s="5" t="s">
        <v>59</v>
      </c>
      <c r="H259" s="5" t="s">
        <v>60</v>
      </c>
      <c r="I259" s="6" t="n">
        <v>0.25</v>
      </c>
      <c r="J259" s="7" t="n">
        <f aca="false">IF(I259="","",1/I259)</f>
        <v>4</v>
      </c>
      <c r="K259" s="8" t="n">
        <v>55.14</v>
      </c>
      <c r="L259" s="9" t="n">
        <v>-0.4</v>
      </c>
      <c r="M259" s="10" t="n">
        <v>-0.0072</v>
      </c>
      <c r="N259" s="8" t="n">
        <v>55.54</v>
      </c>
      <c r="O259" s="8" t="n">
        <v>55.14</v>
      </c>
      <c r="P259" s="8" t="n">
        <v>55.92</v>
      </c>
      <c r="Q259" s="8" t="n">
        <v>55.14</v>
      </c>
      <c r="R259" s="11" t="n">
        <v>33</v>
      </c>
      <c r="S259" s="11" t="n">
        <f aca="false">K259*R259</f>
        <v>1819.62</v>
      </c>
      <c r="T259" s="8" t="n">
        <v>50.05</v>
      </c>
      <c r="U259" s="8" t="n">
        <v>78</v>
      </c>
      <c r="V259" s="12" t="n">
        <f aca="false">IF(U259-T259=0,"",(K259-T259)/(U259-T259))</f>
        <v>0.182110912343471</v>
      </c>
      <c r="W259" s="13" t="n">
        <f aca="false">IF(U259=0,"",K259/U259-1)</f>
        <v>-0.293076923076923</v>
      </c>
      <c r="X259" s="11"/>
      <c r="Y259" s="5" t="s">
        <v>253</v>
      </c>
      <c r="Z259" s="5" t="s">
        <v>254</v>
      </c>
      <c r="AA259" s="5" t="s">
        <v>251</v>
      </c>
      <c r="AB259" s="5"/>
      <c r="AC259" s="5" t="s">
        <v>895</v>
      </c>
      <c r="AD259" s="14" t="n">
        <v>46288.771875</v>
      </c>
    </row>
    <row r="260" customFormat="false" ht="15" hidden="false" customHeight="false" outlineLevel="0" collapsed="false">
      <c r="A260" s="5" t="s">
        <v>896</v>
      </c>
      <c r="B260" s="5" t="s">
        <v>897</v>
      </c>
      <c r="C260" s="5" t="s">
        <v>248</v>
      </c>
      <c r="D260" s="5" t="s">
        <v>249</v>
      </c>
      <c r="E260" s="5" t="s">
        <v>250</v>
      </c>
      <c r="F260" s="5" t="s">
        <v>251</v>
      </c>
      <c r="G260" s="5" t="s">
        <v>59</v>
      </c>
      <c r="H260" s="5" t="s">
        <v>60</v>
      </c>
      <c r="I260" s="6" t="n">
        <v>0.5</v>
      </c>
      <c r="J260" s="7" t="n">
        <f aca="false">IF(I260="","",1/I260)</f>
        <v>2</v>
      </c>
      <c r="K260" s="8" t="n">
        <v>52.88</v>
      </c>
      <c r="L260" s="9" t="n">
        <v>-2.44</v>
      </c>
      <c r="M260" s="10" t="n">
        <v>-0.0441</v>
      </c>
      <c r="N260" s="8" t="n">
        <v>52.88</v>
      </c>
      <c r="O260" s="8" t="n">
        <v>52.88</v>
      </c>
      <c r="P260" s="8" t="n">
        <v>52.88</v>
      </c>
      <c r="Q260" s="8" t="n">
        <v>52.88</v>
      </c>
      <c r="R260" s="11" t="n">
        <v>1</v>
      </c>
      <c r="S260" s="11" t="n">
        <f aca="false">K260*R260</f>
        <v>52.88</v>
      </c>
      <c r="T260" s="8" t="n">
        <v>52.88</v>
      </c>
      <c r="U260" s="8" t="n">
        <v>62.34</v>
      </c>
      <c r="V260" s="12" t="n">
        <f aca="false">IF(U260-T260=0,"",(K260-T260)/(U260-T260))</f>
        <v>0</v>
      </c>
      <c r="W260" s="13" t="n">
        <f aca="false">IF(U260=0,"",K260/U260-1)</f>
        <v>-0.151748476098813</v>
      </c>
      <c r="X260" s="11"/>
      <c r="Y260" s="5" t="s">
        <v>253</v>
      </c>
      <c r="Z260" s="5" t="s">
        <v>254</v>
      </c>
      <c r="AA260" s="5" t="s">
        <v>251</v>
      </c>
      <c r="AB260" s="5"/>
      <c r="AC260" s="5" t="s">
        <v>898</v>
      </c>
      <c r="AD260" s="14" t="n">
        <v>46288.771875</v>
      </c>
    </row>
    <row r="261" customFormat="false" ht="15" hidden="false" customHeight="false" outlineLevel="0" collapsed="false">
      <c r="A261" s="5" t="s">
        <v>899</v>
      </c>
      <c r="B261" s="5" t="s">
        <v>900</v>
      </c>
      <c r="C261" s="5" t="s">
        <v>248</v>
      </c>
      <c r="D261" s="5" t="s">
        <v>249</v>
      </c>
      <c r="E261" s="5" t="s">
        <v>250</v>
      </c>
      <c r="F261" s="5" t="s">
        <v>251</v>
      </c>
      <c r="G261" s="5" t="s">
        <v>59</v>
      </c>
      <c r="H261" s="5" t="s">
        <v>60</v>
      </c>
      <c r="I261" s="6" t="n">
        <v>0.05</v>
      </c>
      <c r="J261" s="7" t="n">
        <f aca="false">IF(I261="","",1/I261)</f>
        <v>20</v>
      </c>
      <c r="K261" s="8" t="n">
        <v>81.66</v>
      </c>
      <c r="L261" s="9" t="n">
        <v>0.58</v>
      </c>
      <c r="M261" s="10" t="n">
        <v>0.0072</v>
      </c>
      <c r="N261" s="8" t="n">
        <v>81.67</v>
      </c>
      <c r="O261" s="8" t="n">
        <v>81.59</v>
      </c>
      <c r="P261" s="8" t="n">
        <v>81.93</v>
      </c>
      <c r="Q261" s="8" t="n">
        <v>81.93</v>
      </c>
      <c r="R261" s="11" t="n">
        <v>3998</v>
      </c>
      <c r="S261" s="11" t="n">
        <f aca="false">K261*R261</f>
        <v>326476.68</v>
      </c>
      <c r="T261" s="8" t="n">
        <v>61.48</v>
      </c>
      <c r="U261" s="8" t="n">
        <v>88.77</v>
      </c>
      <c r="V261" s="12" t="n">
        <f aca="false">IF(U261-T261=0,"",(K261-T261)/(U261-T261))</f>
        <v>0.739465005496519</v>
      </c>
      <c r="W261" s="13" t="n">
        <f aca="false">IF(U261=0,"",K261/U261-1)</f>
        <v>-0.080094626563028</v>
      </c>
      <c r="X261" s="11"/>
      <c r="Y261" s="5" t="s">
        <v>253</v>
      </c>
      <c r="Z261" s="5" t="s">
        <v>254</v>
      </c>
      <c r="AA261" s="5" t="s">
        <v>251</v>
      </c>
      <c r="AB261" s="5"/>
      <c r="AC261" s="5" t="s">
        <v>901</v>
      </c>
      <c r="AD261" s="14" t="n">
        <v>46288.771875</v>
      </c>
    </row>
    <row r="262" customFormat="false" ht="15" hidden="false" customHeight="false" outlineLevel="0" collapsed="false">
      <c r="A262" s="5" t="s">
        <v>902</v>
      </c>
      <c r="B262" s="5" t="s">
        <v>903</v>
      </c>
      <c r="C262" s="5" t="s">
        <v>55</v>
      </c>
      <c r="D262" s="5" t="s">
        <v>56</v>
      </c>
      <c r="E262" s="5" t="s">
        <v>99</v>
      </c>
      <c r="F262" s="5" t="s">
        <v>100</v>
      </c>
      <c r="G262" s="5" t="s">
        <v>59</v>
      </c>
      <c r="H262" s="5" t="s">
        <v>60</v>
      </c>
      <c r="I262" s="6" t="n">
        <v>1</v>
      </c>
      <c r="J262" s="7" t="n">
        <f aca="false">IF(I262="","",1/I262)</f>
        <v>1</v>
      </c>
      <c r="K262" s="8" t="n">
        <v>317.76</v>
      </c>
      <c r="L262" s="9" t="n">
        <v>-2.86</v>
      </c>
      <c r="M262" s="10" t="n">
        <v>-0.0089</v>
      </c>
      <c r="N262" s="8" t="n">
        <v>317.76</v>
      </c>
      <c r="O262" s="8" t="n">
        <v>317.76</v>
      </c>
      <c r="P262" s="8" t="n">
        <v>317.76</v>
      </c>
      <c r="Q262" s="8" t="n">
        <v>317.76</v>
      </c>
      <c r="R262" s="11" t="n">
        <v>1</v>
      </c>
      <c r="S262" s="11" t="n">
        <f aca="false">K262*R262</f>
        <v>317.76</v>
      </c>
      <c r="T262" s="8" t="n">
        <v>227.85</v>
      </c>
      <c r="U262" s="8" t="n">
        <v>349.41</v>
      </c>
      <c r="V262" s="12" t="n">
        <f aca="false">IF(U262-T262=0,"",(K262-T262)/(U262-T262))</f>
        <v>0.739634748272458</v>
      </c>
      <c r="W262" s="13" t="n">
        <f aca="false">IF(U262=0,"",K262/U262-1)</f>
        <v>-0.0905812655619473</v>
      </c>
      <c r="X262" s="11" t="n">
        <v>650762</v>
      </c>
      <c r="Y262" s="5" t="s">
        <v>99</v>
      </c>
      <c r="Z262" s="5" t="s">
        <v>101</v>
      </c>
      <c r="AA262" s="5" t="s">
        <v>100</v>
      </c>
      <c r="AB262" s="5"/>
      <c r="AC262" s="5" t="s">
        <v>904</v>
      </c>
      <c r="AD262" s="14" t="n">
        <v>46288.771875</v>
      </c>
    </row>
    <row r="263" customFormat="false" ht="15" hidden="false" customHeight="false" outlineLevel="0" collapsed="false">
      <c r="A263" s="5" t="s">
        <v>905</v>
      </c>
      <c r="B263" s="5" t="s">
        <v>906</v>
      </c>
      <c r="C263" s="5" t="s">
        <v>248</v>
      </c>
      <c r="D263" s="5" t="s">
        <v>249</v>
      </c>
      <c r="E263" s="5" t="s">
        <v>250</v>
      </c>
      <c r="F263" s="5" t="s">
        <v>251</v>
      </c>
      <c r="G263" s="5" t="s">
        <v>59</v>
      </c>
      <c r="H263" s="5" t="s">
        <v>60</v>
      </c>
      <c r="I263" s="6" t="n">
        <v>0.25</v>
      </c>
      <c r="J263" s="7" t="n">
        <f aca="false">IF(I263="","",1/I263)</f>
        <v>4</v>
      </c>
      <c r="K263" s="8" t="n">
        <v>61.99</v>
      </c>
      <c r="L263" s="9" t="n">
        <v>0.25</v>
      </c>
      <c r="M263" s="10" t="n">
        <v>0.004</v>
      </c>
      <c r="N263" s="8" t="n">
        <v>61.86</v>
      </c>
      <c r="O263" s="8" t="n">
        <v>61.8</v>
      </c>
      <c r="P263" s="8" t="n">
        <v>62.28</v>
      </c>
      <c r="Q263" s="8" t="n">
        <v>61.99</v>
      </c>
      <c r="R263" s="11" t="n">
        <v>214</v>
      </c>
      <c r="S263" s="11" t="n">
        <f aca="false">K263*R263</f>
        <v>13265.86</v>
      </c>
      <c r="T263" s="8" t="n">
        <v>58.03</v>
      </c>
      <c r="U263" s="8" t="n">
        <v>75.9</v>
      </c>
      <c r="V263" s="12" t="n">
        <f aca="false">IF(U263-T263=0,"",(K263-T263)/(U263-T263))</f>
        <v>0.221600447677672</v>
      </c>
      <c r="W263" s="13" t="n">
        <f aca="false">IF(U263=0,"",K263/U263-1)</f>
        <v>-0.183267457180501</v>
      </c>
      <c r="X263" s="11"/>
      <c r="Y263" s="5" t="s">
        <v>253</v>
      </c>
      <c r="Z263" s="5" t="s">
        <v>254</v>
      </c>
      <c r="AA263" s="5" t="s">
        <v>251</v>
      </c>
      <c r="AB263" s="5"/>
      <c r="AC263" s="5" t="s">
        <v>907</v>
      </c>
      <c r="AD263" s="14" t="n">
        <v>46288.771875</v>
      </c>
    </row>
    <row r="264" customFormat="false" ht="15" hidden="false" customHeight="false" outlineLevel="0" collapsed="false">
      <c r="A264" s="5" t="s">
        <v>908</v>
      </c>
      <c r="B264" s="5" t="s">
        <v>909</v>
      </c>
      <c r="C264" s="5" t="s">
        <v>55</v>
      </c>
      <c r="D264" s="5" t="s">
        <v>56</v>
      </c>
      <c r="E264" s="5" t="s">
        <v>71</v>
      </c>
      <c r="F264" s="5" t="s">
        <v>72</v>
      </c>
      <c r="G264" s="5" t="s">
        <v>59</v>
      </c>
      <c r="H264" s="5" t="s">
        <v>60</v>
      </c>
      <c r="I264" s="6" t="n">
        <v>0.25</v>
      </c>
      <c r="J264" s="7" t="n">
        <f aca="false">IF(I264="","",1/I264)</f>
        <v>4</v>
      </c>
      <c r="K264" s="8" t="n">
        <v>72.09</v>
      </c>
      <c r="L264" s="9" t="n">
        <v>0.28</v>
      </c>
      <c r="M264" s="10" t="n">
        <v>0.0039</v>
      </c>
      <c r="N264" s="8" t="n">
        <v>72.53</v>
      </c>
      <c r="O264" s="8" t="n">
        <v>71.6</v>
      </c>
      <c r="P264" s="8" t="n">
        <v>72.82</v>
      </c>
      <c r="Q264" s="8" t="n">
        <v>72.31</v>
      </c>
      <c r="R264" s="11" t="n">
        <v>13668</v>
      </c>
      <c r="S264" s="11" t="n">
        <f aca="false">K264*R264</f>
        <v>985326.12</v>
      </c>
      <c r="T264" s="8" t="n">
        <v>60.14</v>
      </c>
      <c r="U264" s="8" t="n">
        <v>84.97</v>
      </c>
      <c r="V264" s="12" t="n">
        <f aca="false">IF(U264-T264=0,"",(K264-T264)/(U264-T264))</f>
        <v>0.481272654047523</v>
      </c>
      <c r="W264" s="13" t="n">
        <f aca="false">IF(U264=0,"",K264/U264-1)</f>
        <v>-0.151582911615864</v>
      </c>
      <c r="X264" s="11" t="n">
        <v>2011220</v>
      </c>
      <c r="Y264" s="5" t="s">
        <v>71</v>
      </c>
      <c r="Z264" s="5" t="s">
        <v>73</v>
      </c>
      <c r="AA264" s="5" t="s">
        <v>72</v>
      </c>
      <c r="AB264" s="5"/>
      <c r="AC264" s="5" t="s">
        <v>910</v>
      </c>
      <c r="AD264" s="14" t="n">
        <v>46288.771875</v>
      </c>
    </row>
    <row r="265" customFormat="false" ht="15" hidden="false" customHeight="false" outlineLevel="0" collapsed="false">
      <c r="A265" s="5" t="s">
        <v>911</v>
      </c>
      <c r="B265" s="5" t="s">
        <v>912</v>
      </c>
      <c r="C265" s="5" t="s">
        <v>248</v>
      </c>
      <c r="D265" s="5" t="s">
        <v>249</v>
      </c>
      <c r="E265" s="5" t="s">
        <v>250</v>
      </c>
      <c r="F265" s="5" t="s">
        <v>251</v>
      </c>
      <c r="G265" s="5" t="s">
        <v>59</v>
      </c>
      <c r="H265" s="5" t="s">
        <v>60</v>
      </c>
      <c r="I265" s="6" t="n">
        <v>0.05</v>
      </c>
      <c r="J265" s="7" t="n">
        <f aca="false">IF(I265="","",1/I265)</f>
        <v>20</v>
      </c>
      <c r="K265" s="8" t="n">
        <v>99.3</v>
      </c>
      <c r="L265" s="9" t="n">
        <v>2.3</v>
      </c>
      <c r="M265" s="10" t="n">
        <v>0.0237</v>
      </c>
      <c r="N265" s="8" t="n">
        <v>98.31</v>
      </c>
      <c r="O265" s="8" t="n">
        <v>98.31</v>
      </c>
      <c r="P265" s="8" t="n">
        <v>99.3</v>
      </c>
      <c r="Q265" s="8" t="n">
        <v>99.3</v>
      </c>
      <c r="R265" s="11" t="n">
        <v>3</v>
      </c>
      <c r="S265" s="11" t="n">
        <f aca="false">K265*R265</f>
        <v>297.9</v>
      </c>
      <c r="T265" s="8" t="n">
        <v>84.18</v>
      </c>
      <c r="U265" s="8" t="n">
        <v>99.3</v>
      </c>
      <c r="V265" s="12" t="n">
        <f aca="false">IF(U265-T265=0,"",(K265-T265)/(U265-T265))</f>
        <v>1</v>
      </c>
      <c r="W265" s="13" t="n">
        <f aca="false">IF(U265=0,"",K265/U265-1)</f>
        <v>0</v>
      </c>
      <c r="X265" s="11"/>
      <c r="Y265" s="5" t="s">
        <v>253</v>
      </c>
      <c r="Z265" s="5" t="s">
        <v>254</v>
      </c>
      <c r="AA265" s="5" t="s">
        <v>251</v>
      </c>
      <c r="AB265" s="5"/>
      <c r="AC265" s="5" t="s">
        <v>913</v>
      </c>
      <c r="AD265" s="14" t="n">
        <v>46288.771875</v>
      </c>
    </row>
    <row r="266" customFormat="false" ht="15" hidden="false" customHeight="false" outlineLevel="0" collapsed="false">
      <c r="A266" s="5" t="s">
        <v>914</v>
      </c>
      <c r="B266" s="5" t="s">
        <v>915</v>
      </c>
      <c r="C266" s="5" t="s">
        <v>55</v>
      </c>
      <c r="D266" s="5" t="s">
        <v>56</v>
      </c>
      <c r="E266" s="5" t="s">
        <v>77</v>
      </c>
      <c r="F266" s="5" t="s">
        <v>78</v>
      </c>
      <c r="G266" s="5" t="s">
        <v>59</v>
      </c>
      <c r="H266" s="5" t="s">
        <v>60</v>
      </c>
      <c r="I266" s="6" t="n">
        <v>1</v>
      </c>
      <c r="J266" s="7" t="n">
        <f aca="false">IF(I266="","",1/I266)</f>
        <v>1</v>
      </c>
      <c r="K266" s="8" t="n">
        <v>1039.35</v>
      </c>
      <c r="L266" s="9" t="n">
        <v>29.35</v>
      </c>
      <c r="M266" s="10" t="n">
        <v>0.0291</v>
      </c>
      <c r="N266" s="8" t="n">
        <v>1020.08</v>
      </c>
      <c r="O266" s="8" t="n">
        <v>1013</v>
      </c>
      <c r="P266" s="8" t="n">
        <v>1047.79</v>
      </c>
      <c r="Q266" s="8" t="n">
        <v>1039.35</v>
      </c>
      <c r="R266" s="11" t="n">
        <v>92</v>
      </c>
      <c r="S266" s="11" t="n">
        <f aca="false">K266*R266</f>
        <v>95620.2</v>
      </c>
      <c r="T266" s="8" t="n">
        <v>959.33</v>
      </c>
      <c r="U266" s="8" t="n">
        <v>1350</v>
      </c>
      <c r="V266" s="12" t="n">
        <f aca="false">IF(U266-T266=0,"",(K266-T266)/(U266-T266))</f>
        <v>0.204827603860035</v>
      </c>
      <c r="W266" s="13" t="n">
        <f aca="false">IF(U266=0,"",K266/U266-1)</f>
        <v>-0.230111111111111</v>
      </c>
      <c r="X266" s="11" t="n">
        <v>799754</v>
      </c>
      <c r="Y266" s="5" t="s">
        <v>77</v>
      </c>
      <c r="Z266" s="5" t="s">
        <v>79</v>
      </c>
      <c r="AA266" s="5" t="s">
        <v>78</v>
      </c>
      <c r="AB266" s="5"/>
      <c r="AC266" s="5" t="s">
        <v>916</v>
      </c>
      <c r="AD266" s="14" t="n">
        <v>46288.771875</v>
      </c>
    </row>
    <row r="267" customFormat="false" ht="15" hidden="false" customHeight="false" outlineLevel="0" collapsed="false">
      <c r="A267" s="5" t="s">
        <v>917</v>
      </c>
      <c r="B267" s="5" t="s">
        <v>918</v>
      </c>
      <c r="C267" s="5" t="s">
        <v>55</v>
      </c>
      <c r="D267" s="5" t="s">
        <v>56</v>
      </c>
      <c r="E267" s="5" t="s">
        <v>71</v>
      </c>
      <c r="F267" s="5" t="s">
        <v>72</v>
      </c>
      <c r="G267" s="5" t="s">
        <v>59</v>
      </c>
      <c r="H267" s="5" t="s">
        <v>60</v>
      </c>
      <c r="I267" s="6" t="n">
        <v>1</v>
      </c>
      <c r="J267" s="7" t="n">
        <f aca="false">IF(I267="","",1/I267)</f>
        <v>1</v>
      </c>
      <c r="K267" s="8" t="n">
        <v>771.24</v>
      </c>
      <c r="L267" s="9" t="n">
        <v>-2.25</v>
      </c>
      <c r="M267" s="10" t="n">
        <v>-0.0029</v>
      </c>
      <c r="N267" s="8" t="n">
        <v>779.24</v>
      </c>
      <c r="O267" s="8" t="n">
        <v>771.24</v>
      </c>
      <c r="P267" s="8" t="n">
        <v>779.24</v>
      </c>
      <c r="Q267" s="8" t="n">
        <v>771.24</v>
      </c>
      <c r="R267" s="11" t="n">
        <v>7</v>
      </c>
      <c r="S267" s="11" t="n">
        <f aca="false">K267*R267</f>
        <v>5398.68</v>
      </c>
      <c r="T267" s="8" t="n">
        <v>564.3</v>
      </c>
      <c r="U267" s="8" t="n">
        <v>861.9</v>
      </c>
      <c r="V267" s="12" t="n">
        <f aca="false">IF(U267-T267=0,"",(K267-T267)/(U267-T267))</f>
        <v>0.695362903225807</v>
      </c>
      <c r="W267" s="13" t="n">
        <f aca="false">IF(U267=0,"",K267/U267-1)</f>
        <v>-0.105186216498434</v>
      </c>
      <c r="X267" s="11" t="n">
        <v>521448</v>
      </c>
      <c r="Y267" s="5" t="s">
        <v>71</v>
      </c>
      <c r="Z267" s="5" t="s">
        <v>73</v>
      </c>
      <c r="AA267" s="5" t="s">
        <v>72</v>
      </c>
      <c r="AB267" s="5"/>
      <c r="AC267" s="5" t="s">
        <v>919</v>
      </c>
      <c r="AD267" s="14" t="n">
        <v>46288.771875</v>
      </c>
    </row>
    <row r="268" customFormat="false" ht="15" hidden="false" customHeight="false" outlineLevel="0" collapsed="false">
      <c r="A268" s="5" t="s">
        <v>920</v>
      </c>
      <c r="B268" s="5" t="s">
        <v>921</v>
      </c>
      <c r="C268" s="5" t="s">
        <v>248</v>
      </c>
      <c r="D268" s="5" t="s">
        <v>249</v>
      </c>
      <c r="E268" s="5" t="s">
        <v>250</v>
      </c>
      <c r="F268" s="5" t="s">
        <v>251</v>
      </c>
      <c r="G268" s="5" t="s">
        <v>59</v>
      </c>
      <c r="H268" s="5" t="s">
        <v>60</v>
      </c>
      <c r="I268" s="6" t="n">
        <v>0.25</v>
      </c>
      <c r="J268" s="7" t="n">
        <f aca="false">IF(I268="","",1/I268)</f>
        <v>4</v>
      </c>
      <c r="K268" s="8" t="n">
        <v>45.58</v>
      </c>
      <c r="L268" s="9" t="n">
        <v>-0.42</v>
      </c>
      <c r="M268" s="10" t="n">
        <v>-0.0091</v>
      </c>
      <c r="N268" s="8" t="n">
        <v>46.7</v>
      </c>
      <c r="O268" s="8" t="n">
        <v>45.35</v>
      </c>
      <c r="P268" s="8" t="n">
        <v>46.7</v>
      </c>
      <c r="Q268" s="8" t="n">
        <v>45.58</v>
      </c>
      <c r="R268" s="11" t="n">
        <v>397</v>
      </c>
      <c r="S268" s="11" t="n">
        <f aca="false">K268*R268</f>
        <v>18095.26</v>
      </c>
      <c r="T268" s="8" t="n">
        <v>41.51</v>
      </c>
      <c r="U268" s="8" t="n">
        <v>55</v>
      </c>
      <c r="V268" s="12" t="n">
        <f aca="false">IF(U268-T268=0,"",(K268-T268)/(U268-T268))</f>
        <v>0.301704966641957</v>
      </c>
      <c r="W268" s="13" t="n">
        <f aca="false">IF(U268=0,"",K268/U268-1)</f>
        <v>-0.171272727272727</v>
      </c>
      <c r="X268" s="11"/>
      <c r="Y268" s="5" t="s">
        <v>253</v>
      </c>
      <c r="Z268" s="5" t="s">
        <v>254</v>
      </c>
      <c r="AA268" s="5" t="s">
        <v>251</v>
      </c>
      <c r="AB268" s="5"/>
      <c r="AC268" s="5" t="s">
        <v>922</v>
      </c>
      <c r="AD268" s="14" t="n">
        <v>46288.771875</v>
      </c>
    </row>
    <row r="269" customFormat="false" ht="15" hidden="false" customHeight="false" outlineLevel="0" collapsed="false">
      <c r="A269" s="5" t="s">
        <v>923</v>
      </c>
      <c r="B269" s="5" t="s">
        <v>924</v>
      </c>
      <c r="C269" s="5" t="s">
        <v>55</v>
      </c>
      <c r="D269" s="5" t="s">
        <v>56</v>
      </c>
      <c r="E269" s="5" t="s">
        <v>71</v>
      </c>
      <c r="F269" s="5" t="s">
        <v>72</v>
      </c>
      <c r="G269" s="5" t="s">
        <v>59</v>
      </c>
      <c r="H269" s="5" t="s">
        <v>60</v>
      </c>
      <c r="I269" s="6" t="n">
        <v>0.1</v>
      </c>
      <c r="J269" s="7" t="n">
        <f aca="false">IF(I269="","",1/I269)</f>
        <v>10</v>
      </c>
      <c r="K269" s="8" t="n">
        <v>32.22</v>
      </c>
      <c r="L269" s="9" t="n">
        <v>-0.48</v>
      </c>
      <c r="M269" s="10" t="n">
        <v>-0.0147</v>
      </c>
      <c r="N269" s="8" t="n">
        <v>32.22</v>
      </c>
      <c r="O269" s="8" t="n">
        <v>32.22</v>
      </c>
      <c r="P269" s="8" t="n">
        <v>32.22</v>
      </c>
      <c r="Q269" s="8" t="n">
        <v>32.22</v>
      </c>
      <c r="R269" s="11" t="n">
        <v>6</v>
      </c>
      <c r="S269" s="11" t="n">
        <f aca="false">K269*R269</f>
        <v>193.32</v>
      </c>
      <c r="T269" s="8" t="n">
        <v>26</v>
      </c>
      <c r="U269" s="8" t="n">
        <v>40.56</v>
      </c>
      <c r="V269" s="12" t="n">
        <f aca="false">IF(U269-T269=0,"",(K269-T269)/(U269-T269))</f>
        <v>0.427197802197802</v>
      </c>
      <c r="W269" s="13" t="n">
        <f aca="false">IF(U269=0,"",K269/U269-1)</f>
        <v>-0.205621301775148</v>
      </c>
      <c r="X269" s="11" t="n">
        <v>52548</v>
      </c>
      <c r="Y269" s="5" t="s">
        <v>71</v>
      </c>
      <c r="Z269" s="5" t="s">
        <v>73</v>
      </c>
      <c r="AA269" s="5" t="s">
        <v>72</v>
      </c>
      <c r="AB269" s="5"/>
      <c r="AC269" s="5" t="s">
        <v>925</v>
      </c>
      <c r="AD269" s="14" t="n">
        <v>46288.771875</v>
      </c>
    </row>
    <row r="270" customFormat="false" ht="15" hidden="false" customHeight="false" outlineLevel="0" collapsed="false">
      <c r="A270" s="5" t="s">
        <v>926</v>
      </c>
      <c r="B270" s="5" t="s">
        <v>927</v>
      </c>
      <c r="C270" s="5" t="s">
        <v>248</v>
      </c>
      <c r="D270" s="5" t="s">
        <v>249</v>
      </c>
      <c r="E270" s="5" t="s">
        <v>250</v>
      </c>
      <c r="F270" s="5" t="s">
        <v>251</v>
      </c>
      <c r="G270" s="5" t="s">
        <v>59</v>
      </c>
      <c r="H270" s="5" t="s">
        <v>60</v>
      </c>
      <c r="I270" s="6" t="n">
        <v>0.25</v>
      </c>
      <c r="J270" s="7" t="n">
        <f aca="false">IF(I270="","",1/I270)</f>
        <v>4</v>
      </c>
      <c r="K270" s="8" t="n">
        <v>78.72</v>
      </c>
      <c r="L270" s="9" t="n">
        <v>-0.32</v>
      </c>
      <c r="M270" s="10" t="n">
        <v>-0.004</v>
      </c>
      <c r="N270" s="8" t="n">
        <v>78.44</v>
      </c>
      <c r="O270" s="8" t="n">
        <v>78.44</v>
      </c>
      <c r="P270" s="8" t="n">
        <v>79.04</v>
      </c>
      <c r="Q270" s="8" t="n">
        <v>78.72</v>
      </c>
      <c r="R270" s="11" t="n">
        <v>54</v>
      </c>
      <c r="S270" s="11" t="n">
        <f aca="false">K270*R270</f>
        <v>4250.88</v>
      </c>
      <c r="T270" s="8" t="n">
        <v>59.32</v>
      </c>
      <c r="U270" s="8" t="n">
        <v>86.68</v>
      </c>
      <c r="V270" s="12" t="n">
        <f aca="false">IF(U270-T270=0,"",(K270-T270)/(U270-T270))</f>
        <v>0.70906432748538</v>
      </c>
      <c r="W270" s="13" t="n">
        <f aca="false">IF(U270=0,"",K270/U270-1)</f>
        <v>-0.0918320258421782</v>
      </c>
      <c r="X270" s="11"/>
      <c r="Y270" s="5" t="s">
        <v>253</v>
      </c>
      <c r="Z270" s="5" t="s">
        <v>254</v>
      </c>
      <c r="AA270" s="5" t="s">
        <v>251</v>
      </c>
      <c r="AB270" s="5"/>
      <c r="AC270" s="5" t="s">
        <v>928</v>
      </c>
      <c r="AD270" s="14" t="n">
        <v>46288.771875</v>
      </c>
    </row>
    <row r="271" customFormat="false" ht="15" hidden="false" customHeight="false" outlineLevel="0" collapsed="false">
      <c r="A271" s="5" t="s">
        <v>929</v>
      </c>
      <c r="B271" s="5" t="s">
        <v>930</v>
      </c>
      <c r="C271" s="5" t="s">
        <v>248</v>
      </c>
      <c r="D271" s="5" t="s">
        <v>249</v>
      </c>
      <c r="E271" s="5" t="s">
        <v>250</v>
      </c>
      <c r="F271" s="5" t="s">
        <v>251</v>
      </c>
      <c r="G271" s="5" t="s">
        <v>59</v>
      </c>
      <c r="H271" s="5" t="s">
        <v>60</v>
      </c>
      <c r="I271" s="6" t="n">
        <v>0.16666667</v>
      </c>
      <c r="J271" s="7" t="n">
        <f aca="false">IF(I271="","",1/I271)</f>
        <v>5.99999988</v>
      </c>
      <c r="K271" s="8" t="n">
        <v>45.94</v>
      </c>
      <c r="L271" s="9" t="n">
        <v>0.62</v>
      </c>
      <c r="M271" s="10" t="n">
        <v>0.0137</v>
      </c>
      <c r="N271" s="8" t="n">
        <v>45.94</v>
      </c>
      <c r="O271" s="8" t="n">
        <v>45.94</v>
      </c>
      <c r="P271" s="8" t="n">
        <v>45.94</v>
      </c>
      <c r="Q271" s="8" t="n">
        <v>45.94</v>
      </c>
      <c r="R271" s="11" t="n">
        <v>30</v>
      </c>
      <c r="S271" s="11" t="n">
        <f aca="false">K271*R271</f>
        <v>1378.2</v>
      </c>
      <c r="T271" s="8" t="n">
        <v>41.83</v>
      </c>
      <c r="U271" s="8" t="n">
        <v>53.16</v>
      </c>
      <c r="V271" s="12" t="n">
        <f aca="false">IF(U271-T271=0,"",(K271-T271)/(U271-T271))</f>
        <v>0.362753751103266</v>
      </c>
      <c r="W271" s="13" t="n">
        <f aca="false">IF(U271=0,"",K271/U271-1)</f>
        <v>-0.13581640331076</v>
      </c>
      <c r="X271" s="11"/>
      <c r="Y271" s="5" t="s">
        <v>253</v>
      </c>
      <c r="Z271" s="5" t="s">
        <v>254</v>
      </c>
      <c r="AA271" s="5" t="s">
        <v>251</v>
      </c>
      <c r="AB271" s="5"/>
      <c r="AC271" s="5" t="s">
        <v>931</v>
      </c>
      <c r="AD271" s="14" t="n">
        <v>46288.771875</v>
      </c>
    </row>
    <row r="272" customFormat="false" ht="15" hidden="false" customHeight="false" outlineLevel="0" collapsed="false">
      <c r="A272" s="5" t="s">
        <v>932</v>
      </c>
      <c r="B272" s="5" t="s">
        <v>933</v>
      </c>
      <c r="C272" s="5" t="s">
        <v>248</v>
      </c>
      <c r="D272" s="5" t="s">
        <v>249</v>
      </c>
      <c r="E272" s="5" t="s">
        <v>250</v>
      </c>
      <c r="F272" s="5" t="s">
        <v>251</v>
      </c>
      <c r="G272" s="5" t="s">
        <v>59</v>
      </c>
      <c r="H272" s="5" t="s">
        <v>60</v>
      </c>
      <c r="I272" s="6" t="n">
        <v>0.125</v>
      </c>
      <c r="J272" s="7" t="n">
        <f aca="false">IF(I272="","",1/I272)</f>
        <v>8</v>
      </c>
      <c r="K272" s="8" t="n">
        <v>30.88</v>
      </c>
      <c r="L272" s="9" t="n">
        <v>0.5</v>
      </c>
      <c r="M272" s="10" t="n">
        <v>0.0165</v>
      </c>
      <c r="N272" s="8" t="n">
        <v>30.88</v>
      </c>
      <c r="O272" s="8" t="n">
        <v>30.88</v>
      </c>
      <c r="P272" s="8" t="n">
        <v>30.88</v>
      </c>
      <c r="Q272" s="8" t="n">
        <v>30.88</v>
      </c>
      <c r="R272" s="11" t="n">
        <v>20</v>
      </c>
      <c r="S272" s="11" t="n">
        <f aca="false">K272*R272</f>
        <v>617.6</v>
      </c>
      <c r="T272" s="8" t="n">
        <v>30.27</v>
      </c>
      <c r="U272" s="8" t="n">
        <v>43.08</v>
      </c>
      <c r="V272" s="12" t="n">
        <f aca="false">IF(U272-T272=0,"",(K272-T272)/(U272-T272))</f>
        <v>0.0476190476190476</v>
      </c>
      <c r="W272" s="13" t="n">
        <f aca="false">IF(U272=0,"",K272/U272-1)</f>
        <v>-0.283194057567317</v>
      </c>
      <c r="X272" s="11"/>
      <c r="Y272" s="5" t="s">
        <v>253</v>
      </c>
      <c r="Z272" s="5" t="s">
        <v>254</v>
      </c>
      <c r="AA272" s="5" t="s">
        <v>251</v>
      </c>
      <c r="AB272" s="5"/>
      <c r="AC272" s="5" t="s">
        <v>934</v>
      </c>
      <c r="AD272" s="14" t="n">
        <v>46288.771875</v>
      </c>
    </row>
    <row r="273" customFormat="false" ht="15" hidden="false" customHeight="false" outlineLevel="0" collapsed="false">
      <c r="A273" s="5" t="s">
        <v>935</v>
      </c>
      <c r="B273" s="5" t="s">
        <v>936</v>
      </c>
      <c r="C273" s="5" t="s">
        <v>248</v>
      </c>
      <c r="D273" s="5" t="s">
        <v>249</v>
      </c>
      <c r="E273" s="5" t="s">
        <v>250</v>
      </c>
      <c r="F273" s="5" t="s">
        <v>251</v>
      </c>
      <c r="G273" s="5" t="s">
        <v>59</v>
      </c>
      <c r="H273" s="5"/>
      <c r="I273" s="6"/>
      <c r="J273" s="7" t="str">
        <f aca="false">IF(I273="","",1/I273)</f>
        <v/>
      </c>
      <c r="K273" s="8" t="n">
        <v>83.38</v>
      </c>
      <c r="L273" s="9" t="n">
        <v>2.58</v>
      </c>
      <c r="M273" s="10" t="n">
        <v>0.0319</v>
      </c>
      <c r="N273" s="8" t="n">
        <v>83.38</v>
      </c>
      <c r="O273" s="8" t="n">
        <v>83.38</v>
      </c>
      <c r="P273" s="8" t="n">
        <v>83.38</v>
      </c>
      <c r="Q273" s="8" t="n">
        <v>83.38</v>
      </c>
      <c r="R273" s="11" t="n">
        <v>2</v>
      </c>
      <c r="S273" s="11" t="n">
        <f aca="false">K273*R273</f>
        <v>166.76</v>
      </c>
      <c r="T273" s="8" t="n">
        <v>63.84</v>
      </c>
      <c r="U273" s="8" t="n">
        <v>84.72</v>
      </c>
      <c r="V273" s="12" t="n">
        <f aca="false">IF(U273-T273=0,"",(K273-T273)/(U273-T273))</f>
        <v>0.935823754789272</v>
      </c>
      <c r="W273" s="13" t="n">
        <f aca="false">IF(U273=0,"",K273/U273-1)</f>
        <v>-0.0158168083097262</v>
      </c>
      <c r="X273" s="11"/>
      <c r="Y273" s="5" t="s">
        <v>253</v>
      </c>
      <c r="Z273" s="5" t="s">
        <v>254</v>
      </c>
      <c r="AA273" s="5" t="s">
        <v>251</v>
      </c>
      <c r="AB273" s="5" t="s">
        <v>111</v>
      </c>
      <c r="AC273" s="5" t="s">
        <v>937</v>
      </c>
      <c r="AD273" s="14" t="n">
        <v>46288.771875</v>
      </c>
    </row>
    <row r="274" customFormat="false" ht="15" hidden="false" customHeight="false" outlineLevel="0" collapsed="false">
      <c r="A274" s="5" t="s">
        <v>938</v>
      </c>
      <c r="B274" s="5" t="s">
        <v>939</v>
      </c>
      <c r="C274" s="5" t="s">
        <v>248</v>
      </c>
      <c r="D274" s="5" t="s">
        <v>249</v>
      </c>
      <c r="E274" s="5" t="s">
        <v>250</v>
      </c>
      <c r="F274" s="5" t="s">
        <v>251</v>
      </c>
      <c r="G274" s="5" t="s">
        <v>59</v>
      </c>
      <c r="H274" s="5" t="s">
        <v>60</v>
      </c>
      <c r="I274" s="6" t="n">
        <v>0.066666667</v>
      </c>
      <c r="J274" s="7" t="n">
        <f aca="false">IF(I274="","",1/I274)</f>
        <v>14.999999925</v>
      </c>
      <c r="K274" s="8" t="n">
        <v>111.59</v>
      </c>
      <c r="L274" s="9" t="n">
        <v>0.6</v>
      </c>
      <c r="M274" s="10" t="n">
        <v>0.0054</v>
      </c>
      <c r="N274" s="8" t="n">
        <v>111.59</v>
      </c>
      <c r="O274" s="8" t="n">
        <v>111.59</v>
      </c>
      <c r="P274" s="8" t="n">
        <v>111.59</v>
      </c>
      <c r="Q274" s="8" t="n">
        <v>111.59</v>
      </c>
      <c r="R274" s="11" t="n">
        <v>1</v>
      </c>
      <c r="S274" s="11" t="n">
        <f aca="false">K274*R274</f>
        <v>111.59</v>
      </c>
      <c r="T274" s="8" t="n">
        <v>76.61</v>
      </c>
      <c r="U274" s="8" t="n">
        <v>115.39</v>
      </c>
      <c r="V274" s="12" t="n">
        <f aca="false">IF(U274-T274=0,"",(K274-T274)/(U274-T274))</f>
        <v>0.902011346054668</v>
      </c>
      <c r="W274" s="13" t="n">
        <f aca="false">IF(U274=0,"",K274/U274-1)</f>
        <v>-0.0329317965161625</v>
      </c>
      <c r="X274" s="11"/>
      <c r="Y274" s="5" t="s">
        <v>253</v>
      </c>
      <c r="Z274" s="5" t="s">
        <v>254</v>
      </c>
      <c r="AA274" s="5" t="s">
        <v>251</v>
      </c>
      <c r="AB274" s="5"/>
      <c r="AC274" s="5" t="s">
        <v>940</v>
      </c>
      <c r="AD274" s="14" t="n">
        <v>46288.771875</v>
      </c>
    </row>
    <row r="275" customFormat="false" ht="15" hidden="false" customHeight="false" outlineLevel="0" collapsed="false">
      <c r="A275" s="5" t="s">
        <v>941</v>
      </c>
      <c r="B275" s="5" t="s">
        <v>942</v>
      </c>
      <c r="C275" s="5" t="s">
        <v>248</v>
      </c>
      <c r="D275" s="5" t="s">
        <v>249</v>
      </c>
      <c r="E275" s="5" t="s">
        <v>250</v>
      </c>
      <c r="F275" s="5" t="s">
        <v>251</v>
      </c>
      <c r="G275" s="5" t="s">
        <v>59</v>
      </c>
      <c r="H275" s="5" t="s">
        <v>60</v>
      </c>
      <c r="I275" s="6" t="n">
        <v>0.0666</v>
      </c>
      <c r="J275" s="7" t="n">
        <f aca="false">IF(I275="","",1/I275)</f>
        <v>15.015015015015</v>
      </c>
      <c r="K275" s="8" t="n">
        <v>76.67</v>
      </c>
      <c r="L275" s="9" t="n">
        <v>0.85</v>
      </c>
      <c r="M275" s="10" t="n">
        <v>0.0112</v>
      </c>
      <c r="N275" s="8" t="n">
        <v>76.17</v>
      </c>
      <c r="O275" s="8" t="n">
        <v>76.17</v>
      </c>
      <c r="P275" s="8" t="n">
        <v>76.67</v>
      </c>
      <c r="Q275" s="8" t="n">
        <v>76.67</v>
      </c>
      <c r="R275" s="11" t="n">
        <v>2</v>
      </c>
      <c r="S275" s="11" t="n">
        <f aca="false">K275*R275</f>
        <v>153.34</v>
      </c>
      <c r="T275" s="8" t="n">
        <v>57</v>
      </c>
      <c r="U275" s="8" t="n">
        <v>78.23</v>
      </c>
      <c r="V275" s="12" t="n">
        <f aca="false">IF(U275-T275=0,"",(K275-T275)/(U275-T275))</f>
        <v>0.926519076778144</v>
      </c>
      <c r="W275" s="13" t="n">
        <f aca="false">IF(U275=0,"",K275/U275-1)</f>
        <v>-0.0199411990285057</v>
      </c>
      <c r="X275" s="11"/>
      <c r="Y275" s="5" t="s">
        <v>253</v>
      </c>
      <c r="Z275" s="5" t="s">
        <v>254</v>
      </c>
      <c r="AA275" s="5" t="s">
        <v>251</v>
      </c>
      <c r="AB275" s="5"/>
      <c r="AC275" s="5" t="s">
        <v>943</v>
      </c>
      <c r="AD275" s="14" t="n">
        <v>46288.771875</v>
      </c>
    </row>
    <row r="276" customFormat="false" ht="15" hidden="false" customHeight="false" outlineLevel="0" collapsed="false">
      <c r="A276" s="5" t="s">
        <v>944</v>
      </c>
      <c r="B276" s="5" t="s">
        <v>945</v>
      </c>
      <c r="C276" s="5" t="s">
        <v>248</v>
      </c>
      <c r="D276" s="5" t="s">
        <v>249</v>
      </c>
      <c r="E276" s="5" t="s">
        <v>250</v>
      </c>
      <c r="F276" s="5" t="s">
        <v>251</v>
      </c>
      <c r="G276" s="5" t="s">
        <v>59</v>
      </c>
      <c r="H276" s="5" t="s">
        <v>60</v>
      </c>
      <c r="I276" s="6" t="n">
        <v>0.33333333</v>
      </c>
      <c r="J276" s="7" t="n">
        <f aca="false">IF(I276="","",1/I276)</f>
        <v>3.00000003</v>
      </c>
      <c r="K276" s="8" t="n">
        <v>31.95</v>
      </c>
      <c r="L276" s="9" t="n">
        <v>0.36</v>
      </c>
      <c r="M276" s="10" t="n">
        <v>0.0114</v>
      </c>
      <c r="N276" s="8" t="n">
        <v>31.75</v>
      </c>
      <c r="O276" s="8" t="n">
        <v>31.75</v>
      </c>
      <c r="P276" s="8" t="n">
        <v>31.95</v>
      </c>
      <c r="Q276" s="8" t="n">
        <v>31.95</v>
      </c>
      <c r="R276" s="11" t="n">
        <v>1008</v>
      </c>
      <c r="S276" s="11" t="n">
        <f aca="false">K276*R276</f>
        <v>32205.6</v>
      </c>
      <c r="T276" s="8" t="n">
        <v>29</v>
      </c>
      <c r="U276" s="8" t="n">
        <v>35.44</v>
      </c>
      <c r="V276" s="12" t="n">
        <f aca="false">IF(U276-T276=0,"",(K276-T276)/(U276-T276))</f>
        <v>0.458074534161491</v>
      </c>
      <c r="W276" s="13" t="n">
        <f aca="false">IF(U276=0,"",K276/U276-1)</f>
        <v>-0.0984762979683973</v>
      </c>
      <c r="X276" s="11"/>
      <c r="Y276" s="5" t="s">
        <v>253</v>
      </c>
      <c r="Z276" s="5" t="s">
        <v>254</v>
      </c>
      <c r="AA276" s="5" t="s">
        <v>251</v>
      </c>
      <c r="AB276" s="5"/>
      <c r="AC276" s="5" t="s">
        <v>946</v>
      </c>
      <c r="AD276" s="14" t="n">
        <v>46288.771875</v>
      </c>
    </row>
    <row r="277" customFormat="false" ht="15" hidden="false" customHeight="false" outlineLevel="0" collapsed="false">
      <c r="A277" s="5" t="s">
        <v>947</v>
      </c>
      <c r="B277" s="5" t="s">
        <v>948</v>
      </c>
      <c r="C277" s="5" t="s">
        <v>248</v>
      </c>
      <c r="D277" s="5" t="s">
        <v>249</v>
      </c>
      <c r="E277" s="5" t="s">
        <v>250</v>
      </c>
      <c r="F277" s="5" t="s">
        <v>251</v>
      </c>
      <c r="G277" s="5" t="s">
        <v>59</v>
      </c>
      <c r="H277" s="5" t="s">
        <v>60</v>
      </c>
      <c r="I277" s="6" t="n">
        <v>0.25</v>
      </c>
      <c r="J277" s="7" t="n">
        <f aca="false">IF(I277="","",1/I277)</f>
        <v>4</v>
      </c>
      <c r="K277" s="8" t="n">
        <v>76.23</v>
      </c>
      <c r="L277" s="9" t="n">
        <v>0</v>
      </c>
      <c r="M277" s="10" t="n">
        <v>0</v>
      </c>
      <c r="N277" s="8" t="n">
        <v>76.23</v>
      </c>
      <c r="O277" s="8" t="n">
        <v>76.23</v>
      </c>
      <c r="P277" s="8" t="n">
        <v>76.23</v>
      </c>
      <c r="Q277" s="8" t="n">
        <v>76.23</v>
      </c>
      <c r="R277" s="11" t="n">
        <v>1</v>
      </c>
      <c r="S277" s="11" t="n">
        <f aca="false">K277*R277</f>
        <v>76.23</v>
      </c>
      <c r="T277" s="8" t="n">
        <v>66.66</v>
      </c>
      <c r="U277" s="8" t="n">
        <v>76.51</v>
      </c>
      <c r="V277" s="12" t="n">
        <f aca="false">IF(U277-T277=0,"",(K277-T277)/(U277-T277))</f>
        <v>0.971573604060914</v>
      </c>
      <c r="W277" s="13" t="n">
        <f aca="false">IF(U277=0,"",K277/U277-1)</f>
        <v>-0.00365965233302834</v>
      </c>
      <c r="X277" s="11"/>
      <c r="Y277" s="5" t="s">
        <v>253</v>
      </c>
      <c r="Z277" s="5" t="s">
        <v>254</v>
      </c>
      <c r="AA277" s="5" t="s">
        <v>251</v>
      </c>
      <c r="AB277" s="5"/>
      <c r="AC277" s="5" t="s">
        <v>949</v>
      </c>
      <c r="AD277" s="14" t="n">
        <v>46288.771875</v>
      </c>
    </row>
    <row r="278" customFormat="false" ht="15" hidden="false" customHeight="false" outlineLevel="0" collapsed="false">
      <c r="A278" s="5" t="s">
        <v>950</v>
      </c>
      <c r="B278" s="5" t="s">
        <v>951</v>
      </c>
      <c r="C278" s="5" t="s">
        <v>248</v>
      </c>
      <c r="D278" s="5" t="s">
        <v>249</v>
      </c>
      <c r="E278" s="5" t="s">
        <v>250</v>
      </c>
      <c r="F278" s="5" t="s">
        <v>251</v>
      </c>
      <c r="G278" s="5" t="s">
        <v>59</v>
      </c>
      <c r="H278" s="5" t="s">
        <v>60</v>
      </c>
      <c r="I278" s="6" t="n">
        <v>0.125</v>
      </c>
      <c r="J278" s="7" t="n">
        <f aca="false">IF(I278="","",1/I278)</f>
        <v>8</v>
      </c>
      <c r="K278" s="8" t="n">
        <v>54.78</v>
      </c>
      <c r="L278" s="9" t="n">
        <v>-0.57</v>
      </c>
      <c r="M278" s="10" t="n">
        <v>-0.0103</v>
      </c>
      <c r="N278" s="8" t="n">
        <v>54.78</v>
      </c>
      <c r="O278" s="8" t="n">
        <v>54.78</v>
      </c>
      <c r="P278" s="8" t="n">
        <v>54.78</v>
      </c>
      <c r="Q278" s="8" t="n">
        <v>54.78</v>
      </c>
      <c r="R278" s="11" t="n">
        <v>2</v>
      </c>
      <c r="S278" s="11" t="n">
        <f aca="false">K278*R278</f>
        <v>109.56</v>
      </c>
      <c r="T278" s="8" t="n">
        <v>50.5</v>
      </c>
      <c r="U278" s="8" t="n">
        <v>56.82</v>
      </c>
      <c r="V278" s="12" t="n">
        <f aca="false">IF(U278-T278=0,"",(K278-T278)/(U278-T278))</f>
        <v>0.677215189873418</v>
      </c>
      <c r="W278" s="13" t="n">
        <f aca="false">IF(U278=0,"",K278/U278-1)</f>
        <v>-0.0359028511087645</v>
      </c>
      <c r="X278" s="11"/>
      <c r="Y278" s="5" t="s">
        <v>253</v>
      </c>
      <c r="Z278" s="5" t="s">
        <v>254</v>
      </c>
      <c r="AA278" s="5" t="s">
        <v>251</v>
      </c>
      <c r="AB278" s="5"/>
      <c r="AC278" s="5" t="s">
        <v>952</v>
      </c>
      <c r="AD278" s="14" t="n">
        <v>46288.771875</v>
      </c>
    </row>
    <row r="279" customFormat="false" ht="15" hidden="false" customHeight="false" outlineLevel="0" collapsed="false">
      <c r="A279" s="5" t="s">
        <v>953</v>
      </c>
      <c r="B279" s="5" t="s">
        <v>954</v>
      </c>
      <c r="C279" s="5" t="s">
        <v>248</v>
      </c>
      <c r="D279" s="5" t="s">
        <v>249</v>
      </c>
      <c r="E279" s="5" t="s">
        <v>250</v>
      </c>
      <c r="F279" s="5" t="s">
        <v>251</v>
      </c>
      <c r="G279" s="5" t="s">
        <v>59</v>
      </c>
      <c r="H279" s="5" t="s">
        <v>60</v>
      </c>
      <c r="I279" s="6" t="n">
        <v>0.5</v>
      </c>
      <c r="J279" s="7" t="n">
        <f aca="false">IF(I279="","",1/I279)</f>
        <v>2</v>
      </c>
      <c r="K279" s="8" t="n">
        <v>61.74</v>
      </c>
      <c r="L279" s="9" t="n">
        <v>-0.36</v>
      </c>
      <c r="M279" s="10" t="n">
        <v>-0.0058</v>
      </c>
      <c r="N279" s="8" t="n">
        <v>62.1</v>
      </c>
      <c r="O279" s="8" t="n">
        <v>61.65</v>
      </c>
      <c r="P279" s="8" t="n">
        <v>62.1</v>
      </c>
      <c r="Q279" s="8" t="n">
        <v>61.74</v>
      </c>
      <c r="R279" s="11" t="n">
        <v>80</v>
      </c>
      <c r="S279" s="11" t="n">
        <f aca="false">K279*R279</f>
        <v>4939.2</v>
      </c>
      <c r="T279" s="8" t="n">
        <v>61.65</v>
      </c>
      <c r="U279" s="8" t="n">
        <v>72.5</v>
      </c>
      <c r="V279" s="12" t="n">
        <f aca="false">IF(U279-T279=0,"",(K279-T279)/(U279-T279))</f>
        <v>0.00829493087557635</v>
      </c>
      <c r="W279" s="13" t="n">
        <f aca="false">IF(U279=0,"",K279/U279-1)</f>
        <v>-0.148413793103448</v>
      </c>
      <c r="X279" s="11"/>
      <c r="Y279" s="5" t="s">
        <v>253</v>
      </c>
      <c r="Z279" s="5" t="s">
        <v>254</v>
      </c>
      <c r="AA279" s="5" t="s">
        <v>251</v>
      </c>
      <c r="AB279" s="5"/>
      <c r="AC279" s="5" t="s">
        <v>955</v>
      </c>
      <c r="AD279" s="14" t="n">
        <v>46288.771875</v>
      </c>
    </row>
    <row r="280" customFormat="false" ht="15" hidden="false" customHeight="false" outlineLevel="0" collapsed="false">
      <c r="A280" s="5" t="s">
        <v>956</v>
      </c>
      <c r="B280" s="5" t="s">
        <v>957</v>
      </c>
      <c r="C280" s="5" t="s">
        <v>248</v>
      </c>
      <c r="D280" s="5" t="s">
        <v>249</v>
      </c>
      <c r="E280" s="5" t="s">
        <v>250</v>
      </c>
      <c r="F280" s="5" t="s">
        <v>251</v>
      </c>
      <c r="G280" s="5" t="s">
        <v>59</v>
      </c>
      <c r="H280" s="5" t="s">
        <v>60</v>
      </c>
      <c r="I280" s="6" t="n">
        <v>0.1</v>
      </c>
      <c r="J280" s="7" t="n">
        <f aca="false">IF(I280="","",1/I280)</f>
        <v>10</v>
      </c>
      <c r="K280" s="8" t="n">
        <v>56.83</v>
      </c>
      <c r="L280" s="9" t="n">
        <v>0.55</v>
      </c>
      <c r="M280" s="10" t="n">
        <v>0.0098</v>
      </c>
      <c r="N280" s="8" t="n">
        <v>56.4</v>
      </c>
      <c r="O280" s="8" t="n">
        <v>56.4</v>
      </c>
      <c r="P280" s="8" t="n">
        <v>57.12</v>
      </c>
      <c r="Q280" s="8" t="n">
        <v>56.83</v>
      </c>
      <c r="R280" s="11" t="n">
        <v>759</v>
      </c>
      <c r="S280" s="11" t="n">
        <f aca="false">K280*R280</f>
        <v>43133.97</v>
      </c>
      <c r="T280" s="8" t="n">
        <v>53.8</v>
      </c>
      <c r="U280" s="8" t="n">
        <v>61.84</v>
      </c>
      <c r="V280" s="12" t="n">
        <f aca="false">IF(U280-T280=0,"",(K280-T280)/(U280-T280))</f>
        <v>0.376865671641791</v>
      </c>
      <c r="W280" s="13" t="n">
        <f aca="false">IF(U280=0,"",K280/U280-1)</f>
        <v>-0.0810155239327297</v>
      </c>
      <c r="X280" s="11"/>
      <c r="Y280" s="5" t="s">
        <v>253</v>
      </c>
      <c r="Z280" s="5" t="s">
        <v>254</v>
      </c>
      <c r="AA280" s="5" t="s">
        <v>251</v>
      </c>
      <c r="AB280" s="5"/>
      <c r="AC280" s="5" t="s">
        <v>958</v>
      </c>
      <c r="AD280" s="14" t="n">
        <v>46288.771875</v>
      </c>
    </row>
    <row r="281" customFormat="false" ht="15" hidden="false" customHeight="false" outlineLevel="0" collapsed="false">
      <c r="A281" s="5" t="s">
        <v>959</v>
      </c>
      <c r="B281" s="5" t="s">
        <v>960</v>
      </c>
      <c r="C281" s="5" t="s">
        <v>248</v>
      </c>
      <c r="D281" s="5" t="s">
        <v>249</v>
      </c>
      <c r="E281" s="5" t="s">
        <v>250</v>
      </c>
      <c r="F281" s="5" t="s">
        <v>251</v>
      </c>
      <c r="G281" s="5" t="s">
        <v>59</v>
      </c>
      <c r="H281" s="5" t="s">
        <v>60</v>
      </c>
      <c r="I281" s="6" t="n">
        <v>0.125</v>
      </c>
      <c r="J281" s="7" t="n">
        <f aca="false">IF(I281="","",1/I281)</f>
        <v>8</v>
      </c>
      <c r="K281" s="8" t="n">
        <v>52.55</v>
      </c>
      <c r="L281" s="9" t="n">
        <v>0.49</v>
      </c>
      <c r="M281" s="10" t="n">
        <v>0.0094</v>
      </c>
      <c r="N281" s="8" t="n">
        <v>52.45</v>
      </c>
      <c r="O281" s="8" t="n">
        <v>52.45</v>
      </c>
      <c r="P281" s="8" t="n">
        <v>52.55</v>
      </c>
      <c r="Q281" s="8" t="n">
        <v>52.55</v>
      </c>
      <c r="R281" s="11" t="n">
        <v>20</v>
      </c>
      <c r="S281" s="11" t="n">
        <f aca="false">K281*R281</f>
        <v>1051</v>
      </c>
      <c r="T281" s="8" t="n">
        <v>50.09</v>
      </c>
      <c r="U281" s="8" t="n">
        <v>57.9</v>
      </c>
      <c r="V281" s="12" t="n">
        <f aca="false">IF(U281-T281=0,"",(K281-T281)/(U281-T281))</f>
        <v>0.314980793854033</v>
      </c>
      <c r="W281" s="13" t="n">
        <f aca="false">IF(U281=0,"",K281/U281-1)</f>
        <v>-0.0924006908462868</v>
      </c>
      <c r="X281" s="11"/>
      <c r="Y281" s="5" t="s">
        <v>253</v>
      </c>
      <c r="Z281" s="5" t="s">
        <v>254</v>
      </c>
      <c r="AA281" s="5" t="s">
        <v>251</v>
      </c>
      <c r="AB281" s="5"/>
      <c r="AC281" s="5" t="s">
        <v>961</v>
      </c>
      <c r="AD281" s="14" t="n">
        <v>46288.771875</v>
      </c>
    </row>
    <row r="282" customFormat="false" ht="15" hidden="false" customHeight="false" outlineLevel="0" collapsed="false">
      <c r="A282" s="5" t="s">
        <v>962</v>
      </c>
      <c r="B282" s="5" t="s">
        <v>963</v>
      </c>
      <c r="C282" s="5" t="s">
        <v>248</v>
      </c>
      <c r="D282" s="5" t="s">
        <v>249</v>
      </c>
      <c r="E282" s="5" t="s">
        <v>250</v>
      </c>
      <c r="F282" s="5" t="s">
        <v>251</v>
      </c>
      <c r="G282" s="5" t="s">
        <v>59</v>
      </c>
      <c r="H282" s="5" t="s">
        <v>60</v>
      </c>
      <c r="I282" s="6" t="n">
        <v>0.1</v>
      </c>
      <c r="J282" s="7" t="n">
        <f aca="false">IF(I282="","",1/I282)</f>
        <v>10</v>
      </c>
      <c r="K282" s="8" t="n">
        <v>47.39</v>
      </c>
      <c r="L282" s="9" t="n">
        <v>-2.6</v>
      </c>
      <c r="M282" s="10" t="n">
        <v>-0.052</v>
      </c>
      <c r="N282" s="8" t="n">
        <v>48.6</v>
      </c>
      <c r="O282" s="8" t="n">
        <v>47.21</v>
      </c>
      <c r="P282" s="8" t="n">
        <v>48.6</v>
      </c>
      <c r="Q282" s="8" t="n">
        <v>47.62</v>
      </c>
      <c r="R282" s="11" t="n">
        <v>47292</v>
      </c>
      <c r="S282" s="11" t="n">
        <f aca="false">K282*R282</f>
        <v>2241167.88</v>
      </c>
      <c r="T282" s="8" t="n">
        <v>22.5025</v>
      </c>
      <c r="U282" s="8" t="n">
        <v>63.22</v>
      </c>
      <c r="V282" s="12" t="n">
        <f aca="false">IF(U282-T282=0,"",(K282-T282)/(U282-T282))</f>
        <v>0.611223675323878</v>
      </c>
      <c r="W282" s="13" t="n">
        <f aca="false">IF(U282=0,"",K282/U282-1)</f>
        <v>-0.250395444479595</v>
      </c>
      <c r="X282" s="11"/>
      <c r="Y282" s="5" t="s">
        <v>253</v>
      </c>
      <c r="Z282" s="5" t="s">
        <v>254</v>
      </c>
      <c r="AA282" s="5" t="s">
        <v>251</v>
      </c>
      <c r="AB282" s="5"/>
      <c r="AC282" s="5" t="s">
        <v>964</v>
      </c>
      <c r="AD282" s="14" t="n">
        <v>46288.771875</v>
      </c>
    </row>
    <row r="283" customFormat="false" ht="15" hidden="false" customHeight="false" outlineLevel="0" collapsed="false">
      <c r="A283" s="5" t="s">
        <v>965</v>
      </c>
      <c r="B283" s="5" t="s">
        <v>966</v>
      </c>
      <c r="C283" s="5" t="s">
        <v>248</v>
      </c>
      <c r="D283" s="5" t="s">
        <v>249</v>
      </c>
      <c r="E283" s="5" t="s">
        <v>250</v>
      </c>
      <c r="F283" s="5" t="s">
        <v>251</v>
      </c>
      <c r="G283" s="5" t="s">
        <v>59</v>
      </c>
      <c r="H283" s="5" t="s">
        <v>60</v>
      </c>
      <c r="I283" s="6" t="n">
        <v>0.0666667</v>
      </c>
      <c r="J283" s="7" t="n">
        <f aca="false">IF(I283="","",1/I283)</f>
        <v>14.9999925000038</v>
      </c>
      <c r="K283" s="8" t="n">
        <v>60.78</v>
      </c>
      <c r="L283" s="9" t="n">
        <v>-0.17</v>
      </c>
      <c r="M283" s="10" t="n">
        <v>-0.0028</v>
      </c>
      <c r="N283" s="8" t="n">
        <v>59.65</v>
      </c>
      <c r="O283" s="8" t="n">
        <v>59.65</v>
      </c>
      <c r="P283" s="8" t="n">
        <v>60.78</v>
      </c>
      <c r="Q283" s="8" t="n">
        <v>60.78</v>
      </c>
      <c r="R283" s="11" t="n">
        <v>12</v>
      </c>
      <c r="S283" s="11" t="n">
        <f aca="false">K283*R283</f>
        <v>729.36</v>
      </c>
      <c r="T283" s="8" t="n">
        <v>54.1</v>
      </c>
      <c r="U283" s="8" t="n">
        <v>64.38</v>
      </c>
      <c r="V283" s="12" t="n">
        <f aca="false">IF(U283-T283=0,"",(K283-T283)/(U283-T283))</f>
        <v>0.649805447470818</v>
      </c>
      <c r="W283" s="13" t="n">
        <f aca="false">IF(U283=0,"",K283/U283-1)</f>
        <v>-0.0559179869524696</v>
      </c>
      <c r="X283" s="11"/>
      <c r="Y283" s="5" t="s">
        <v>253</v>
      </c>
      <c r="Z283" s="5" t="s">
        <v>254</v>
      </c>
      <c r="AA283" s="5" t="s">
        <v>251</v>
      </c>
      <c r="AB283" s="5"/>
      <c r="AC283" s="5" t="s">
        <v>967</v>
      </c>
      <c r="AD283" s="14" t="n">
        <v>46288.771875</v>
      </c>
    </row>
    <row r="284" customFormat="false" ht="15" hidden="false" customHeight="false" outlineLevel="0" collapsed="false">
      <c r="A284" s="5" t="s">
        <v>968</v>
      </c>
      <c r="B284" s="5" t="s">
        <v>969</v>
      </c>
      <c r="C284" s="5" t="s">
        <v>248</v>
      </c>
      <c r="D284" s="5" t="s">
        <v>249</v>
      </c>
      <c r="E284" s="5" t="s">
        <v>250</v>
      </c>
      <c r="F284" s="5" t="s">
        <v>251</v>
      </c>
      <c r="G284" s="5" t="s">
        <v>59</v>
      </c>
      <c r="H284" s="5" t="s">
        <v>60</v>
      </c>
      <c r="I284" s="6" t="n">
        <v>0.33333</v>
      </c>
      <c r="J284" s="7" t="n">
        <f aca="false">IF(I284="","",1/I284)</f>
        <v>3.0000300003</v>
      </c>
      <c r="K284" s="8" t="n">
        <v>100.45</v>
      </c>
      <c r="L284" s="9" t="n">
        <v>-3.1</v>
      </c>
      <c r="M284" s="10" t="n">
        <v>-0.0299</v>
      </c>
      <c r="N284" s="8" t="n">
        <v>101</v>
      </c>
      <c r="O284" s="8" t="n">
        <v>99.65</v>
      </c>
      <c r="P284" s="8" t="n">
        <v>101.01</v>
      </c>
      <c r="Q284" s="8" t="n">
        <v>99.93</v>
      </c>
      <c r="R284" s="11" t="n">
        <v>49541</v>
      </c>
      <c r="S284" s="11" t="n">
        <f aca="false">K284*R284</f>
        <v>4976393.45</v>
      </c>
      <c r="T284" s="8" t="n">
        <v>71.4</v>
      </c>
      <c r="U284" s="8" t="n">
        <v>190.5</v>
      </c>
      <c r="V284" s="12" t="n">
        <f aca="false">IF(U284-T284=0,"",(K284-T284)/(U284-T284))</f>
        <v>0.243912678421495</v>
      </c>
      <c r="W284" s="13" t="n">
        <f aca="false">IF(U284=0,"",K284/U284-1)</f>
        <v>-0.472703412073491</v>
      </c>
      <c r="X284" s="11"/>
      <c r="Y284" s="5" t="s">
        <v>253</v>
      </c>
      <c r="Z284" s="5" t="s">
        <v>254</v>
      </c>
      <c r="AA284" s="5" t="s">
        <v>251</v>
      </c>
      <c r="AB284" s="5"/>
      <c r="AC284" s="5" t="s">
        <v>970</v>
      </c>
      <c r="AD284" s="14" t="n">
        <v>46288.771875</v>
      </c>
    </row>
    <row r="285" customFormat="false" ht="15" hidden="false" customHeight="false" outlineLevel="0" collapsed="false">
      <c r="A285" s="5" t="s">
        <v>971</v>
      </c>
      <c r="B285" s="5" t="s">
        <v>972</v>
      </c>
      <c r="C285" s="5" t="s">
        <v>248</v>
      </c>
      <c r="D285" s="5" t="s">
        <v>249</v>
      </c>
      <c r="E285" s="5" t="s">
        <v>250</v>
      </c>
      <c r="F285" s="5" t="s">
        <v>251</v>
      </c>
      <c r="G285" s="5" t="s">
        <v>59</v>
      </c>
      <c r="H285" s="5" t="s">
        <v>60</v>
      </c>
      <c r="I285" s="6" t="n">
        <v>0.25</v>
      </c>
      <c r="J285" s="7" t="n">
        <f aca="false">IF(I285="","",1/I285)</f>
        <v>4</v>
      </c>
      <c r="K285" s="8" t="n">
        <v>60</v>
      </c>
      <c r="L285" s="9" t="n">
        <v>-0.48</v>
      </c>
      <c r="M285" s="10" t="n">
        <v>-0.0079</v>
      </c>
      <c r="N285" s="8" t="n">
        <v>60.15</v>
      </c>
      <c r="O285" s="8" t="n">
        <v>60</v>
      </c>
      <c r="P285" s="8" t="n">
        <v>60.63</v>
      </c>
      <c r="Q285" s="8" t="n">
        <v>60</v>
      </c>
      <c r="R285" s="11" t="n">
        <v>2035</v>
      </c>
      <c r="S285" s="11" t="n">
        <f aca="false">K285*R285</f>
        <v>122100</v>
      </c>
      <c r="T285" s="8" t="n">
        <v>48.88</v>
      </c>
      <c r="U285" s="8" t="n">
        <v>66.36</v>
      </c>
      <c r="V285" s="12" t="n">
        <f aca="false">IF(U285-T285=0,"",(K285-T285)/(U285-T285))</f>
        <v>0.636155606407323</v>
      </c>
      <c r="W285" s="13" t="n">
        <f aca="false">IF(U285=0,"",K285/U285-1)</f>
        <v>-0.0958408679927667</v>
      </c>
      <c r="X285" s="11"/>
      <c r="Y285" s="5" t="s">
        <v>253</v>
      </c>
      <c r="Z285" s="5" t="s">
        <v>254</v>
      </c>
      <c r="AA285" s="5" t="s">
        <v>251</v>
      </c>
      <c r="AB285" s="5"/>
      <c r="AC285" s="5" t="s">
        <v>973</v>
      </c>
      <c r="AD285" s="14" t="n">
        <v>46288.771875</v>
      </c>
    </row>
    <row r="286" customFormat="false" ht="15" hidden="false" customHeight="false" outlineLevel="0" collapsed="false">
      <c r="A286" s="5" t="s">
        <v>974</v>
      </c>
      <c r="B286" s="5" t="s">
        <v>975</v>
      </c>
      <c r="C286" s="5" t="s">
        <v>248</v>
      </c>
      <c r="D286" s="5" t="s">
        <v>249</v>
      </c>
      <c r="E286" s="5" t="s">
        <v>250</v>
      </c>
      <c r="F286" s="5" t="s">
        <v>251</v>
      </c>
      <c r="G286" s="5" t="s">
        <v>59</v>
      </c>
      <c r="H286" s="5" t="s">
        <v>60</v>
      </c>
      <c r="I286" s="6" t="n">
        <v>0.025</v>
      </c>
      <c r="J286" s="7" t="n">
        <f aca="false">IF(I286="","",1/I286)</f>
        <v>40</v>
      </c>
      <c r="K286" s="8" t="n">
        <v>73.03</v>
      </c>
      <c r="L286" s="9" t="n">
        <v>-0.18</v>
      </c>
      <c r="M286" s="10" t="n">
        <v>-0.0025</v>
      </c>
      <c r="N286" s="8" t="n">
        <v>73.95</v>
      </c>
      <c r="O286" s="8" t="n">
        <v>72.06</v>
      </c>
      <c r="P286" s="8" t="n">
        <v>73.95</v>
      </c>
      <c r="Q286" s="8" t="n">
        <v>73.03</v>
      </c>
      <c r="R286" s="11" t="n">
        <v>5915</v>
      </c>
      <c r="S286" s="11" t="n">
        <f aca="false">K286*R286</f>
        <v>431972.45</v>
      </c>
      <c r="T286" s="8" t="n">
        <v>35</v>
      </c>
      <c r="U286" s="8" t="n">
        <v>86.51</v>
      </c>
      <c r="V286" s="12" t="n">
        <f aca="false">IF(U286-T286=0,"",(K286-T286)/(U286-T286))</f>
        <v>0.738303242088915</v>
      </c>
      <c r="W286" s="13" t="n">
        <f aca="false">IF(U286=0,"",K286/U286-1)</f>
        <v>-0.155820136400416</v>
      </c>
      <c r="X286" s="11"/>
      <c r="Y286" s="5" t="s">
        <v>253</v>
      </c>
      <c r="Z286" s="5" t="s">
        <v>254</v>
      </c>
      <c r="AA286" s="5" t="s">
        <v>251</v>
      </c>
      <c r="AB286" s="5"/>
      <c r="AC286" s="5" t="s">
        <v>976</v>
      </c>
      <c r="AD286" s="14" t="n">
        <v>46288.771875</v>
      </c>
    </row>
    <row r="287" customFormat="false" ht="15" hidden="false" customHeight="false" outlineLevel="0" collapsed="false">
      <c r="A287" s="5" t="s">
        <v>977</v>
      </c>
      <c r="B287" s="5" t="s">
        <v>978</v>
      </c>
      <c r="C287" s="5" t="s">
        <v>248</v>
      </c>
      <c r="D287" s="5" t="s">
        <v>249</v>
      </c>
      <c r="E287" s="5" t="s">
        <v>250</v>
      </c>
      <c r="F287" s="5" t="s">
        <v>251</v>
      </c>
      <c r="G287" s="5" t="s">
        <v>59</v>
      </c>
      <c r="H287" s="5" t="s">
        <v>60</v>
      </c>
      <c r="I287" s="6" t="n">
        <v>0.3333333</v>
      </c>
      <c r="J287" s="7" t="n">
        <f aca="false">IF(I287="","",1/I287)</f>
        <v>3.00000030000003</v>
      </c>
      <c r="K287" s="8" t="n">
        <v>35.35</v>
      </c>
      <c r="L287" s="9" t="n">
        <v>-0.3</v>
      </c>
      <c r="M287" s="10" t="n">
        <v>-0.0084</v>
      </c>
      <c r="N287" s="8" t="n">
        <v>35.65</v>
      </c>
      <c r="O287" s="8" t="n">
        <v>35.35</v>
      </c>
      <c r="P287" s="8" t="n">
        <v>35.67</v>
      </c>
      <c r="Q287" s="8" t="n">
        <v>35.35</v>
      </c>
      <c r="R287" s="11" t="n">
        <v>27</v>
      </c>
      <c r="S287" s="11" t="n">
        <f aca="false">K287*R287</f>
        <v>954.45</v>
      </c>
      <c r="T287" s="8" t="n">
        <v>35.01</v>
      </c>
      <c r="U287" s="8" t="n">
        <v>43.4233329</v>
      </c>
      <c r="V287" s="12" t="n">
        <f aca="false">IF(U287-T287=0,"",(K287-T287)/(U287-T287))</f>
        <v>0.0404120464554545</v>
      </c>
      <c r="W287" s="13" t="n">
        <f aca="false">IF(U287=0,"",K287/U287-1)</f>
        <v>-0.185921539431166</v>
      </c>
      <c r="X287" s="11"/>
      <c r="Y287" s="5" t="s">
        <v>253</v>
      </c>
      <c r="Z287" s="5" t="s">
        <v>254</v>
      </c>
      <c r="AA287" s="5" t="s">
        <v>251</v>
      </c>
      <c r="AB287" s="5"/>
      <c r="AC287" s="5" t="s">
        <v>979</v>
      </c>
      <c r="AD287" s="14" t="n">
        <v>46288.771875</v>
      </c>
    </row>
    <row r="288" customFormat="false" ht="15" hidden="false" customHeight="false" outlineLevel="0" collapsed="false">
      <c r="A288" s="5" t="s">
        <v>980</v>
      </c>
      <c r="B288" s="5" t="s">
        <v>981</v>
      </c>
      <c r="C288" s="5" t="s">
        <v>248</v>
      </c>
      <c r="D288" s="5" t="s">
        <v>249</v>
      </c>
      <c r="E288" s="5" t="s">
        <v>250</v>
      </c>
      <c r="F288" s="5" t="s">
        <v>251</v>
      </c>
      <c r="G288" s="5" t="s">
        <v>59</v>
      </c>
      <c r="H288" s="5" t="s">
        <v>60</v>
      </c>
      <c r="I288" s="6" t="n">
        <v>0.1</v>
      </c>
      <c r="J288" s="7" t="n">
        <f aca="false">IF(I288="","",1/I288)</f>
        <v>10</v>
      </c>
      <c r="K288" s="8" t="n">
        <v>51.2</v>
      </c>
      <c r="L288" s="9" t="n">
        <v>-0.4</v>
      </c>
      <c r="M288" s="10" t="n">
        <v>-0.0078</v>
      </c>
      <c r="N288" s="8" t="n">
        <v>51.16</v>
      </c>
      <c r="O288" s="8" t="n">
        <v>51.01</v>
      </c>
      <c r="P288" s="8" t="n">
        <v>51.2</v>
      </c>
      <c r="Q288" s="8" t="n">
        <v>51.2</v>
      </c>
      <c r="R288" s="11" t="n">
        <v>188</v>
      </c>
      <c r="S288" s="11" t="n">
        <f aca="false">K288*R288</f>
        <v>9625.6</v>
      </c>
      <c r="T288" s="8" t="n">
        <v>50.88</v>
      </c>
      <c r="U288" s="8" t="n">
        <v>58.84</v>
      </c>
      <c r="V288" s="12" t="n">
        <f aca="false">IF(U288-T288=0,"",(K288-T288)/(U288-T288))</f>
        <v>0.0402010050251257</v>
      </c>
      <c r="W288" s="13" t="n">
        <f aca="false">IF(U288=0,"",K288/U288-1)</f>
        <v>-0.129843643779742</v>
      </c>
      <c r="X288" s="11"/>
      <c r="Y288" s="5" t="s">
        <v>253</v>
      </c>
      <c r="Z288" s="5" t="s">
        <v>254</v>
      </c>
      <c r="AA288" s="5" t="s">
        <v>251</v>
      </c>
      <c r="AB288" s="5"/>
      <c r="AC288" s="5" t="s">
        <v>982</v>
      </c>
      <c r="AD288" s="14" t="n">
        <v>46288.771875</v>
      </c>
    </row>
    <row r="289" customFormat="false" ht="15" hidden="false" customHeight="false" outlineLevel="0" collapsed="false">
      <c r="A289" s="5" t="s">
        <v>983</v>
      </c>
      <c r="B289" s="5" t="s">
        <v>984</v>
      </c>
      <c r="C289" s="5" t="s">
        <v>248</v>
      </c>
      <c r="D289" s="5" t="s">
        <v>249</v>
      </c>
      <c r="E289" s="5" t="s">
        <v>250</v>
      </c>
      <c r="F289" s="5" t="s">
        <v>251</v>
      </c>
      <c r="G289" s="5" t="s">
        <v>59</v>
      </c>
      <c r="H289" s="5" t="s">
        <v>60</v>
      </c>
      <c r="I289" s="6" t="n">
        <v>0.125</v>
      </c>
      <c r="J289" s="7" t="n">
        <f aca="false">IF(I289="","",1/I289)</f>
        <v>8</v>
      </c>
      <c r="K289" s="8" t="n">
        <v>86.09</v>
      </c>
      <c r="L289" s="9" t="n">
        <v>-0.31</v>
      </c>
      <c r="M289" s="10" t="n">
        <v>-0.0036</v>
      </c>
      <c r="N289" s="8" t="n">
        <v>86.09</v>
      </c>
      <c r="O289" s="8" t="n">
        <v>86.09</v>
      </c>
      <c r="P289" s="8" t="n">
        <v>86.09</v>
      </c>
      <c r="Q289" s="8" t="n">
        <v>86.09</v>
      </c>
      <c r="R289" s="11" t="n">
        <v>3</v>
      </c>
      <c r="S289" s="11" t="n">
        <f aca="false">K289*R289</f>
        <v>258.27</v>
      </c>
      <c r="T289" s="8" t="n">
        <v>76.67</v>
      </c>
      <c r="U289" s="8" t="n">
        <v>88.32</v>
      </c>
      <c r="V289" s="12" t="n">
        <f aca="false">IF(U289-T289=0,"",(K289-T289)/(U289-T289))</f>
        <v>0.808583690987125</v>
      </c>
      <c r="W289" s="13" t="n">
        <f aca="false">IF(U289=0,"",K289/U289-1)</f>
        <v>-0.0252490942028984</v>
      </c>
      <c r="X289" s="11"/>
      <c r="Y289" s="5" t="s">
        <v>253</v>
      </c>
      <c r="Z289" s="5" t="s">
        <v>254</v>
      </c>
      <c r="AA289" s="5" t="s">
        <v>251</v>
      </c>
      <c r="AB289" s="5"/>
      <c r="AC289" s="5" t="s">
        <v>985</v>
      </c>
      <c r="AD289" s="14" t="n">
        <v>46288.771875</v>
      </c>
    </row>
    <row r="290" customFormat="false" ht="15" hidden="false" customHeight="false" outlineLevel="0" collapsed="false">
      <c r="A290" s="5" t="s">
        <v>986</v>
      </c>
      <c r="B290" s="5" t="s">
        <v>987</v>
      </c>
      <c r="C290" s="5" t="s">
        <v>248</v>
      </c>
      <c r="D290" s="5" t="s">
        <v>249</v>
      </c>
      <c r="E290" s="5" t="s">
        <v>988</v>
      </c>
      <c r="F290" s="5" t="s">
        <v>989</v>
      </c>
      <c r="G290" s="5" t="s">
        <v>59</v>
      </c>
      <c r="H290" s="5"/>
      <c r="I290" s="6"/>
      <c r="J290" s="7" t="str">
        <f aca="false">IF(I290="","",1/I290)</f>
        <v/>
      </c>
      <c r="K290" s="8" t="n">
        <v>44.08</v>
      </c>
      <c r="L290" s="9" t="n">
        <v>2.76</v>
      </c>
      <c r="M290" s="10" t="n">
        <v>0.0668</v>
      </c>
      <c r="N290" s="8" t="n">
        <v>44.08</v>
      </c>
      <c r="O290" s="8" t="n">
        <v>44.08</v>
      </c>
      <c r="P290" s="8" t="n">
        <v>44.08</v>
      </c>
      <c r="Q290" s="8" t="n">
        <v>44.08</v>
      </c>
      <c r="R290" s="11" t="n">
        <v>100</v>
      </c>
      <c r="S290" s="11" t="n">
        <f aca="false">K290*R290</f>
        <v>4408</v>
      </c>
      <c r="T290" s="8" t="n">
        <v>39.4</v>
      </c>
      <c r="U290" s="8" t="n">
        <v>48</v>
      </c>
      <c r="V290" s="12" t="n">
        <f aca="false">IF(U290-T290=0,"",(K290-T290)/(U290-T290))</f>
        <v>0.544186046511628</v>
      </c>
      <c r="W290" s="13" t="n">
        <f aca="false">IF(U290=0,"",K290/U290-1)</f>
        <v>-0.0816666666666667</v>
      </c>
      <c r="X290" s="11"/>
      <c r="Y290" s="5" t="s">
        <v>253</v>
      </c>
      <c r="Z290" s="5" t="s">
        <v>254</v>
      </c>
      <c r="AA290" s="5" t="s">
        <v>988</v>
      </c>
      <c r="AB290" s="5" t="s">
        <v>990</v>
      </c>
      <c r="AC290" s="5" t="s">
        <v>991</v>
      </c>
      <c r="AD290" s="14" t="n">
        <v>46288.771875</v>
      </c>
    </row>
    <row r="291" customFormat="false" ht="15" hidden="false" customHeight="false" outlineLevel="0" collapsed="false">
      <c r="A291" s="5" t="s">
        <v>992</v>
      </c>
      <c r="B291" s="5" t="s">
        <v>993</v>
      </c>
      <c r="C291" s="5" t="s">
        <v>248</v>
      </c>
      <c r="D291" s="5" t="s">
        <v>249</v>
      </c>
      <c r="E291" s="5" t="s">
        <v>250</v>
      </c>
      <c r="F291" s="5" t="s">
        <v>251</v>
      </c>
      <c r="G291" s="5" t="s">
        <v>59</v>
      </c>
      <c r="H291" s="5" t="s">
        <v>60</v>
      </c>
      <c r="I291" s="6" t="n">
        <v>0.2</v>
      </c>
      <c r="J291" s="7" t="n">
        <f aca="false">IF(I291="","",1/I291)</f>
        <v>5</v>
      </c>
      <c r="K291" s="8" t="n">
        <v>52.43</v>
      </c>
      <c r="L291" s="9" t="n">
        <v>0.63</v>
      </c>
      <c r="M291" s="10" t="n">
        <v>0.0122</v>
      </c>
      <c r="N291" s="8" t="n">
        <v>52.19</v>
      </c>
      <c r="O291" s="8" t="n">
        <v>52.19</v>
      </c>
      <c r="P291" s="8" t="n">
        <v>52.43</v>
      </c>
      <c r="Q291" s="8" t="n">
        <v>52.43</v>
      </c>
      <c r="R291" s="11" t="n">
        <v>59</v>
      </c>
      <c r="S291" s="11" t="n">
        <f aca="false">K291*R291</f>
        <v>3093.37</v>
      </c>
      <c r="T291" s="8" t="n">
        <v>49.4</v>
      </c>
      <c r="U291" s="8" t="n">
        <v>56.46</v>
      </c>
      <c r="V291" s="12" t="n">
        <f aca="false">IF(U291-T291=0,"",(K291-T291)/(U291-T291))</f>
        <v>0.429178470254958</v>
      </c>
      <c r="W291" s="13" t="n">
        <f aca="false">IF(U291=0,"",K291/U291-1)</f>
        <v>-0.07137796670209</v>
      </c>
      <c r="X291" s="11"/>
      <c r="Y291" s="5" t="s">
        <v>253</v>
      </c>
      <c r="Z291" s="5" t="s">
        <v>254</v>
      </c>
      <c r="AA291" s="5" t="s">
        <v>251</v>
      </c>
      <c r="AB291" s="5"/>
      <c r="AC291" s="5" t="s">
        <v>994</v>
      </c>
      <c r="AD291" s="14" t="n">
        <v>46288.771875</v>
      </c>
    </row>
    <row r="292" customFormat="false" ht="15" hidden="false" customHeight="false" outlineLevel="0" collapsed="false">
      <c r="A292" s="5" t="s">
        <v>995</v>
      </c>
      <c r="B292" s="5" t="s">
        <v>996</v>
      </c>
      <c r="C292" s="5" t="s">
        <v>248</v>
      </c>
      <c r="D292" s="5" t="s">
        <v>249</v>
      </c>
      <c r="E292" s="5" t="s">
        <v>250</v>
      </c>
      <c r="F292" s="5" t="s">
        <v>251</v>
      </c>
      <c r="G292" s="5" t="s">
        <v>59</v>
      </c>
      <c r="H292" s="5" t="s">
        <v>60</v>
      </c>
      <c r="I292" s="6" t="n">
        <v>0.1</v>
      </c>
      <c r="J292" s="7" t="n">
        <f aca="false">IF(I292="","",1/I292)</f>
        <v>10</v>
      </c>
      <c r="K292" s="8" t="n">
        <v>53.81</v>
      </c>
      <c r="L292" s="9" t="n">
        <v>-0.19</v>
      </c>
      <c r="M292" s="10" t="n">
        <v>-0.0035</v>
      </c>
      <c r="N292" s="8" t="n">
        <v>54.04</v>
      </c>
      <c r="O292" s="8" t="n">
        <v>53.81</v>
      </c>
      <c r="P292" s="8" t="n">
        <v>54.04</v>
      </c>
      <c r="Q292" s="8" t="n">
        <v>53.81</v>
      </c>
      <c r="R292" s="11" t="n">
        <v>3311</v>
      </c>
      <c r="S292" s="11" t="n">
        <f aca="false">K292*R292</f>
        <v>178164.91</v>
      </c>
      <c r="T292" s="8" t="n">
        <v>52.98</v>
      </c>
      <c r="U292" s="8" t="n">
        <v>63.49</v>
      </c>
      <c r="V292" s="12" t="n">
        <f aca="false">IF(U292-T292=0,"",(K292-T292)/(U292-T292))</f>
        <v>0.0789724072312089</v>
      </c>
      <c r="W292" s="13" t="n">
        <f aca="false">IF(U292=0,"",K292/U292-1)</f>
        <v>-0.152464955111041</v>
      </c>
      <c r="X292" s="11"/>
      <c r="Y292" s="5" t="s">
        <v>253</v>
      </c>
      <c r="Z292" s="5" t="s">
        <v>254</v>
      </c>
      <c r="AA292" s="5" t="s">
        <v>251</v>
      </c>
      <c r="AB292" s="5"/>
      <c r="AC292" s="5" t="s">
        <v>997</v>
      </c>
      <c r="AD292" s="14" t="n">
        <v>46288.771875</v>
      </c>
    </row>
    <row r="293" customFormat="false" ht="15" hidden="false" customHeight="false" outlineLevel="0" collapsed="false">
      <c r="A293" s="5" t="s">
        <v>998</v>
      </c>
      <c r="B293" s="5" t="s">
        <v>999</v>
      </c>
      <c r="C293" s="5" t="s">
        <v>248</v>
      </c>
      <c r="D293" s="5" t="s">
        <v>249</v>
      </c>
      <c r="E293" s="5" t="s">
        <v>250</v>
      </c>
      <c r="F293" s="5" t="s">
        <v>251</v>
      </c>
      <c r="G293" s="5" t="s">
        <v>59</v>
      </c>
      <c r="H293" s="5" t="s">
        <v>60</v>
      </c>
      <c r="I293" s="6" t="n">
        <v>0.1</v>
      </c>
      <c r="J293" s="7" t="n">
        <f aca="false">IF(I293="","",1/I293)</f>
        <v>10</v>
      </c>
      <c r="K293" s="8" t="n">
        <v>48.95</v>
      </c>
      <c r="L293" s="9" t="n">
        <v>0.05</v>
      </c>
      <c r="M293" s="10" t="n">
        <v>0.001</v>
      </c>
      <c r="N293" s="8" t="n">
        <v>48.95</v>
      </c>
      <c r="O293" s="8" t="n">
        <v>48.95</v>
      </c>
      <c r="P293" s="8" t="n">
        <v>48.95</v>
      </c>
      <c r="Q293" s="8" t="n">
        <v>48.95</v>
      </c>
      <c r="R293" s="11" t="n">
        <v>50</v>
      </c>
      <c r="S293" s="11" t="n">
        <f aca="false">K293*R293</f>
        <v>2447.5</v>
      </c>
      <c r="T293" s="8" t="n">
        <v>48.51</v>
      </c>
      <c r="U293" s="8" t="n">
        <v>56.76</v>
      </c>
      <c r="V293" s="12" t="n">
        <f aca="false">IF(U293-T293=0,"",(K293-T293)/(U293-T293))</f>
        <v>0.0533333333333339</v>
      </c>
      <c r="W293" s="13" t="n">
        <f aca="false">IF(U293=0,"",K293/U293-1)</f>
        <v>-0.137596899224806</v>
      </c>
      <c r="X293" s="11"/>
      <c r="Y293" s="5" t="s">
        <v>253</v>
      </c>
      <c r="Z293" s="5" t="s">
        <v>254</v>
      </c>
      <c r="AA293" s="5" t="s">
        <v>251</v>
      </c>
      <c r="AB293" s="5"/>
      <c r="AC293" s="5" t="s">
        <v>1000</v>
      </c>
      <c r="AD293" s="14" t="n">
        <v>46288.771875</v>
      </c>
    </row>
    <row r="294" customFormat="false" ht="15" hidden="false" customHeight="false" outlineLevel="0" collapsed="false">
      <c r="A294" s="5" t="s">
        <v>1001</v>
      </c>
      <c r="B294" s="5" t="s">
        <v>1002</v>
      </c>
      <c r="C294" s="5" t="s">
        <v>248</v>
      </c>
      <c r="D294" s="5" t="s">
        <v>249</v>
      </c>
      <c r="E294" s="5" t="s">
        <v>250</v>
      </c>
      <c r="F294" s="5" t="s">
        <v>251</v>
      </c>
      <c r="G294" s="5" t="s">
        <v>59</v>
      </c>
      <c r="H294" s="5" t="s">
        <v>60</v>
      </c>
      <c r="I294" s="6" t="n">
        <v>0.066666</v>
      </c>
      <c r="J294" s="7" t="n">
        <f aca="false">IF(I294="","",1/I294)</f>
        <v>15.0001500015</v>
      </c>
      <c r="K294" s="8" t="n">
        <v>27.75</v>
      </c>
      <c r="L294" s="9" t="n">
        <v>-0.62</v>
      </c>
      <c r="M294" s="10" t="n">
        <v>-0.0219</v>
      </c>
      <c r="N294" s="8" t="n">
        <v>28.42</v>
      </c>
      <c r="O294" s="8" t="n">
        <v>27.66</v>
      </c>
      <c r="P294" s="8" t="n">
        <v>28.42</v>
      </c>
      <c r="Q294" s="8" t="n">
        <v>27.75</v>
      </c>
      <c r="R294" s="11" t="n">
        <v>21613</v>
      </c>
      <c r="S294" s="11" t="n">
        <f aca="false">K294*R294</f>
        <v>599760.75</v>
      </c>
      <c r="T294" s="8" t="n">
        <v>27.44</v>
      </c>
      <c r="U294" s="8" t="n">
        <v>34.35</v>
      </c>
      <c r="V294" s="12" t="n">
        <f aca="false">IF(U294-T294=0,"",(K294-T294)/(U294-T294))</f>
        <v>0.0448625180897249</v>
      </c>
      <c r="W294" s="13" t="n">
        <f aca="false">IF(U294=0,"",K294/U294-1)</f>
        <v>-0.192139737991266</v>
      </c>
      <c r="X294" s="11"/>
      <c r="Y294" s="5" t="s">
        <v>253</v>
      </c>
      <c r="Z294" s="5" t="s">
        <v>254</v>
      </c>
      <c r="AA294" s="5" t="s">
        <v>251</v>
      </c>
      <c r="AB294" s="5"/>
      <c r="AC294" s="5" t="s">
        <v>1003</v>
      </c>
      <c r="AD294" s="14" t="n">
        <v>46288.771875</v>
      </c>
    </row>
    <row r="295" customFormat="false" ht="15" hidden="false" customHeight="false" outlineLevel="0" collapsed="false">
      <c r="A295" s="5" t="s">
        <v>1004</v>
      </c>
      <c r="B295" s="5" t="s">
        <v>1005</v>
      </c>
      <c r="C295" s="5" t="s">
        <v>248</v>
      </c>
      <c r="D295" s="5" t="s">
        <v>249</v>
      </c>
      <c r="E295" s="5" t="s">
        <v>250</v>
      </c>
      <c r="F295" s="5" t="s">
        <v>251</v>
      </c>
      <c r="G295" s="5" t="s">
        <v>59</v>
      </c>
      <c r="H295" s="5" t="s">
        <v>60</v>
      </c>
      <c r="I295" s="6" t="n">
        <v>0.16666667</v>
      </c>
      <c r="J295" s="7" t="n">
        <f aca="false">IF(I295="","",1/I295)</f>
        <v>5.99999988</v>
      </c>
      <c r="K295" s="8" t="n">
        <v>36.18</v>
      </c>
      <c r="L295" s="9" t="n">
        <v>-0.49</v>
      </c>
      <c r="M295" s="10" t="n">
        <v>-0.0134</v>
      </c>
      <c r="N295" s="8" t="n">
        <v>37.57</v>
      </c>
      <c r="O295" s="8" t="n">
        <v>36.05</v>
      </c>
      <c r="P295" s="8" t="n">
        <v>37.57</v>
      </c>
      <c r="Q295" s="8" t="n">
        <v>36.18</v>
      </c>
      <c r="R295" s="11" t="n">
        <v>28030</v>
      </c>
      <c r="S295" s="11" t="n">
        <f aca="false">K295*R295</f>
        <v>1014125.4</v>
      </c>
      <c r="T295" s="8" t="n">
        <v>31.83</v>
      </c>
      <c r="U295" s="8" t="n">
        <v>55</v>
      </c>
      <c r="V295" s="12" t="n">
        <f aca="false">IF(U295-T295=0,"",(K295-T295)/(U295-T295))</f>
        <v>0.187742770824342</v>
      </c>
      <c r="W295" s="13" t="n">
        <f aca="false">IF(U295=0,"",K295/U295-1)</f>
        <v>-0.342181818181818</v>
      </c>
      <c r="X295" s="11"/>
      <c r="Y295" s="5" t="s">
        <v>253</v>
      </c>
      <c r="Z295" s="5" t="s">
        <v>254</v>
      </c>
      <c r="AA295" s="5" t="s">
        <v>251</v>
      </c>
      <c r="AB295" s="5"/>
      <c r="AC295" s="5" t="s">
        <v>1006</v>
      </c>
      <c r="AD295" s="14" t="n">
        <v>46288.771875</v>
      </c>
    </row>
    <row r="296" customFormat="false" ht="15" hidden="false" customHeight="false" outlineLevel="0" collapsed="false">
      <c r="A296" s="5" t="s">
        <v>1007</v>
      </c>
      <c r="B296" s="5" t="s">
        <v>1008</v>
      </c>
      <c r="C296" s="5" t="s">
        <v>248</v>
      </c>
      <c r="D296" s="5" t="s">
        <v>249</v>
      </c>
      <c r="E296" s="5" t="s">
        <v>250</v>
      </c>
      <c r="F296" s="5" t="s">
        <v>251</v>
      </c>
      <c r="G296" s="5" t="s">
        <v>59</v>
      </c>
      <c r="H296" s="5" t="s">
        <v>60</v>
      </c>
      <c r="I296" s="6" t="n">
        <v>0.066666667</v>
      </c>
      <c r="J296" s="7" t="n">
        <f aca="false">IF(I296="","",1/I296)</f>
        <v>14.999999925</v>
      </c>
      <c r="K296" s="8" t="n">
        <v>71.4</v>
      </c>
      <c r="L296" s="9" t="n">
        <v>0.36</v>
      </c>
      <c r="M296" s="10" t="n">
        <v>0.0051</v>
      </c>
      <c r="N296" s="8" t="n">
        <v>71.47</v>
      </c>
      <c r="O296" s="8" t="n">
        <v>71.4</v>
      </c>
      <c r="P296" s="8" t="n">
        <v>71.81</v>
      </c>
      <c r="Q296" s="8" t="n">
        <v>71.4</v>
      </c>
      <c r="R296" s="11" t="n">
        <v>8125</v>
      </c>
      <c r="S296" s="11" t="n">
        <f aca="false">K296*R296</f>
        <v>580125</v>
      </c>
      <c r="T296" s="8" t="n">
        <v>61.09</v>
      </c>
      <c r="U296" s="8" t="n">
        <v>75</v>
      </c>
      <c r="V296" s="12" t="n">
        <f aca="false">IF(U296-T296=0,"",(K296-T296)/(U296-T296))</f>
        <v>0.7411933860532</v>
      </c>
      <c r="W296" s="13" t="n">
        <f aca="false">IF(U296=0,"",K296/U296-1)</f>
        <v>-0.0479999999999999</v>
      </c>
      <c r="X296" s="11"/>
      <c r="Y296" s="5" t="s">
        <v>253</v>
      </c>
      <c r="Z296" s="5" t="s">
        <v>254</v>
      </c>
      <c r="AA296" s="5" t="s">
        <v>251</v>
      </c>
      <c r="AB296" s="5"/>
      <c r="AC296" s="5" t="s">
        <v>1009</v>
      </c>
      <c r="AD296" s="14" t="n">
        <v>46288.771875</v>
      </c>
    </row>
    <row r="297" customFormat="false" ht="15" hidden="false" customHeight="false" outlineLevel="0" collapsed="false">
      <c r="A297" s="5" t="s">
        <v>1010</v>
      </c>
      <c r="B297" s="5" t="s">
        <v>1011</v>
      </c>
      <c r="C297" s="5" t="s">
        <v>248</v>
      </c>
      <c r="D297" s="5" t="s">
        <v>249</v>
      </c>
      <c r="E297" s="5" t="s">
        <v>250</v>
      </c>
      <c r="F297" s="5" t="s">
        <v>251</v>
      </c>
      <c r="G297" s="5" t="s">
        <v>59</v>
      </c>
      <c r="H297" s="5" t="s">
        <v>60</v>
      </c>
      <c r="I297" s="6" t="n">
        <v>0.125</v>
      </c>
      <c r="J297" s="7" t="n">
        <f aca="false">IF(I297="","",1/I297)</f>
        <v>8</v>
      </c>
      <c r="K297" s="8" t="n">
        <v>63.06</v>
      </c>
      <c r="L297" s="9" t="n">
        <v>-0.16</v>
      </c>
      <c r="M297" s="10" t="n">
        <v>-0.0025</v>
      </c>
      <c r="N297" s="8" t="n">
        <v>63.06</v>
      </c>
      <c r="O297" s="8" t="n">
        <v>63.06</v>
      </c>
      <c r="P297" s="8" t="n">
        <v>63.06</v>
      </c>
      <c r="Q297" s="8" t="n">
        <v>63.36</v>
      </c>
      <c r="R297" s="11" t="n">
        <v>205000</v>
      </c>
      <c r="S297" s="11" t="n">
        <f aca="false">K297*R297</f>
        <v>12927300</v>
      </c>
      <c r="T297" s="8" t="n">
        <v>57.84</v>
      </c>
      <c r="U297" s="8" t="n">
        <v>66.5</v>
      </c>
      <c r="V297" s="12" t="n">
        <f aca="false">IF(U297-T297=0,"",(K297-T297)/(U297-T297))</f>
        <v>0.602771362586605</v>
      </c>
      <c r="W297" s="13" t="n">
        <f aca="false">IF(U297=0,"",K297/U297-1)</f>
        <v>-0.0517293233082706</v>
      </c>
      <c r="X297" s="11"/>
      <c r="Y297" s="5" t="s">
        <v>253</v>
      </c>
      <c r="Z297" s="5" t="s">
        <v>254</v>
      </c>
      <c r="AA297" s="5" t="s">
        <v>251</v>
      </c>
      <c r="AB297" s="5"/>
      <c r="AC297" s="5" t="s">
        <v>1012</v>
      </c>
      <c r="AD297" s="14" t="n">
        <v>46288.771875</v>
      </c>
    </row>
    <row r="298" customFormat="false" ht="15" hidden="false" customHeight="false" outlineLevel="0" collapsed="false">
      <c r="A298" s="5" t="s">
        <v>1013</v>
      </c>
      <c r="B298" s="5" t="s">
        <v>1014</v>
      </c>
      <c r="C298" s="5" t="s">
        <v>248</v>
      </c>
      <c r="D298" s="5" t="s">
        <v>249</v>
      </c>
      <c r="E298" s="5" t="s">
        <v>250</v>
      </c>
      <c r="F298" s="5" t="s">
        <v>251</v>
      </c>
      <c r="G298" s="5" t="s">
        <v>59</v>
      </c>
      <c r="H298" s="5" t="s">
        <v>60</v>
      </c>
      <c r="I298" s="6" t="n">
        <v>0.166666667</v>
      </c>
      <c r="J298" s="7" t="n">
        <f aca="false">IF(I298="","",1/I298)</f>
        <v>5.999999988</v>
      </c>
      <c r="K298" s="8" t="n">
        <v>54.2</v>
      </c>
      <c r="L298" s="9" t="n">
        <v>0</v>
      </c>
      <c r="M298" s="10" t="n">
        <v>0</v>
      </c>
      <c r="N298" s="8" t="n">
        <v>54.25</v>
      </c>
      <c r="O298" s="8" t="n">
        <v>54.2</v>
      </c>
      <c r="P298" s="8" t="n">
        <v>54.25</v>
      </c>
      <c r="Q298" s="8" t="n">
        <v>54.2</v>
      </c>
      <c r="R298" s="11" t="n">
        <v>38</v>
      </c>
      <c r="S298" s="11" t="n">
        <f aca="false">K298*R298</f>
        <v>2059.6</v>
      </c>
      <c r="T298" s="8" t="n">
        <v>49.25</v>
      </c>
      <c r="U298" s="8" t="n">
        <v>59.16</v>
      </c>
      <c r="V298" s="12" t="n">
        <f aca="false">IF(U298-T298=0,"",(K298-T298)/(U298-T298))</f>
        <v>0.49949545913219</v>
      </c>
      <c r="W298" s="13" t="n">
        <f aca="false">IF(U298=0,"",K298/U298-1)</f>
        <v>-0.083840432724814</v>
      </c>
      <c r="X298" s="11"/>
      <c r="Y298" s="5" t="s">
        <v>253</v>
      </c>
      <c r="Z298" s="5" t="s">
        <v>254</v>
      </c>
      <c r="AA298" s="5" t="s">
        <v>251</v>
      </c>
      <c r="AB298" s="5"/>
      <c r="AC298" s="5" t="s">
        <v>1015</v>
      </c>
      <c r="AD298" s="14" t="n">
        <v>46288.771875</v>
      </c>
    </row>
    <row r="299" customFormat="false" ht="15" hidden="false" customHeight="false" outlineLevel="0" collapsed="false">
      <c r="A299" s="5" t="s">
        <v>1016</v>
      </c>
      <c r="B299" s="5" t="s">
        <v>1017</v>
      </c>
      <c r="C299" s="5" t="s">
        <v>248</v>
      </c>
      <c r="D299" s="5" t="s">
        <v>249</v>
      </c>
      <c r="E299" s="5" t="s">
        <v>250</v>
      </c>
      <c r="F299" s="5" t="s">
        <v>251</v>
      </c>
      <c r="G299" s="5" t="s">
        <v>59</v>
      </c>
      <c r="H299" s="5" t="s">
        <v>60</v>
      </c>
      <c r="I299" s="6" t="n">
        <v>0.125</v>
      </c>
      <c r="J299" s="7" t="n">
        <f aca="false">IF(I299="","",1/I299)</f>
        <v>8</v>
      </c>
      <c r="K299" s="8" t="n">
        <v>66.08</v>
      </c>
      <c r="L299" s="9" t="n">
        <v>-0.49</v>
      </c>
      <c r="M299" s="10" t="n">
        <v>-0.0074</v>
      </c>
      <c r="N299" s="8" t="n">
        <v>65.8</v>
      </c>
      <c r="O299" s="8" t="n">
        <v>65.8</v>
      </c>
      <c r="P299" s="8" t="n">
        <v>66.08</v>
      </c>
      <c r="Q299" s="8" t="n">
        <v>66.08</v>
      </c>
      <c r="R299" s="11" t="n">
        <v>41</v>
      </c>
      <c r="S299" s="11" t="n">
        <f aca="false">K299*R299</f>
        <v>2709.28</v>
      </c>
      <c r="T299" s="8" t="n">
        <v>65.8</v>
      </c>
      <c r="U299" s="8" t="n">
        <v>82.64</v>
      </c>
      <c r="V299" s="12" t="n">
        <f aca="false">IF(U299-T299=0,"",(K299-T299)/(U299-T299))</f>
        <v>0.0166270783847982</v>
      </c>
      <c r="W299" s="13" t="n">
        <f aca="false">IF(U299=0,"",K299/U299-1)</f>
        <v>-0.200387221684414</v>
      </c>
      <c r="X299" s="11"/>
      <c r="Y299" s="5" t="s">
        <v>253</v>
      </c>
      <c r="Z299" s="5" t="s">
        <v>254</v>
      </c>
      <c r="AA299" s="5" t="s">
        <v>251</v>
      </c>
      <c r="AB299" s="5"/>
      <c r="AC299" s="5" t="s">
        <v>1018</v>
      </c>
      <c r="AD299" s="14" t="n">
        <v>46288.771875</v>
      </c>
    </row>
    <row r="300" customFormat="false" ht="15" hidden="false" customHeight="false" outlineLevel="0" collapsed="false">
      <c r="A300" s="5" t="s">
        <v>1019</v>
      </c>
      <c r="B300" s="5" t="s">
        <v>1020</v>
      </c>
      <c r="C300" s="5" t="s">
        <v>248</v>
      </c>
      <c r="D300" s="5" t="s">
        <v>249</v>
      </c>
      <c r="E300" s="5" t="s">
        <v>250</v>
      </c>
      <c r="F300" s="5" t="s">
        <v>251</v>
      </c>
      <c r="G300" s="5" t="s">
        <v>59</v>
      </c>
      <c r="H300" s="5" t="s">
        <v>60</v>
      </c>
      <c r="I300" s="6" t="n">
        <v>0.333333</v>
      </c>
      <c r="J300" s="7" t="n">
        <f aca="false">IF(I300="","",1/I300)</f>
        <v>3.000003000003</v>
      </c>
      <c r="K300" s="8" t="n">
        <v>67.95</v>
      </c>
      <c r="L300" s="9" t="n">
        <v>33.39</v>
      </c>
      <c r="M300" s="10" t="n">
        <v>0.9661</v>
      </c>
      <c r="N300" s="8" t="n">
        <v>68.1</v>
      </c>
      <c r="O300" s="8" t="n">
        <v>67.95</v>
      </c>
      <c r="P300" s="8" t="n">
        <v>68.4</v>
      </c>
      <c r="Q300" s="8" t="n">
        <v>67.95</v>
      </c>
      <c r="R300" s="11" t="n">
        <v>1202</v>
      </c>
      <c r="S300" s="11" t="n">
        <f aca="false">K300*R300</f>
        <v>81675.9</v>
      </c>
      <c r="T300" s="8" t="n">
        <v>67.95</v>
      </c>
      <c r="U300" s="8" t="n">
        <v>68.4</v>
      </c>
      <c r="V300" s="12" t="n">
        <f aca="false">IF(U300-T300=0,"",(K300-T300)/(U300-T300))</f>
        <v>0</v>
      </c>
      <c r="W300" s="13" t="n">
        <f aca="false">IF(U300=0,"",K300/U300-1)</f>
        <v>-0.00657894736842113</v>
      </c>
      <c r="X300" s="11"/>
      <c r="Y300" s="5" t="s">
        <v>253</v>
      </c>
      <c r="Z300" s="5" t="s">
        <v>254</v>
      </c>
      <c r="AA300" s="5" t="s">
        <v>251</v>
      </c>
      <c r="AB300" s="5" t="s">
        <v>1021</v>
      </c>
      <c r="AC300" s="5" t="s">
        <v>1022</v>
      </c>
      <c r="AD300" s="14" t="n">
        <v>46288.771875</v>
      </c>
    </row>
    <row r="301" customFormat="false" ht="15" hidden="false" customHeight="false" outlineLevel="0" collapsed="false">
      <c r="A301" s="5" t="s">
        <v>1023</v>
      </c>
      <c r="B301" s="5" t="s">
        <v>1024</v>
      </c>
      <c r="C301" s="5" t="s">
        <v>248</v>
      </c>
      <c r="D301" s="5" t="s">
        <v>249</v>
      </c>
      <c r="E301" s="5" t="s">
        <v>250</v>
      </c>
      <c r="F301" s="5" t="s">
        <v>251</v>
      </c>
      <c r="G301" s="5" t="s">
        <v>59</v>
      </c>
      <c r="H301" s="5" t="s">
        <v>60</v>
      </c>
      <c r="I301" s="6" t="n">
        <v>0.25</v>
      </c>
      <c r="J301" s="7" t="n">
        <f aca="false">IF(I301="","",1/I301)</f>
        <v>4</v>
      </c>
      <c r="K301" s="8" t="n">
        <v>61.38</v>
      </c>
      <c r="L301" s="9" t="n">
        <v>3.28</v>
      </c>
      <c r="M301" s="10" t="n">
        <v>0.0565</v>
      </c>
      <c r="N301" s="8" t="n">
        <v>61.08</v>
      </c>
      <c r="O301" s="8" t="n">
        <v>61.08</v>
      </c>
      <c r="P301" s="8" t="n">
        <v>61.38</v>
      </c>
      <c r="Q301" s="8" t="n">
        <v>61.38</v>
      </c>
      <c r="R301" s="11" t="n">
        <v>86</v>
      </c>
      <c r="S301" s="11" t="n">
        <f aca="false">K301*R301</f>
        <v>5278.68</v>
      </c>
      <c r="T301" s="8" t="n">
        <v>54.24</v>
      </c>
      <c r="U301" s="8" t="n">
        <v>61.58</v>
      </c>
      <c r="V301" s="12" t="n">
        <f aca="false">IF(U301-T301=0,"",(K301-T301)/(U301-T301))</f>
        <v>0.972752043596731</v>
      </c>
      <c r="W301" s="13" t="n">
        <f aca="false">IF(U301=0,"",K301/U301-1)</f>
        <v>-0.00324780772978228</v>
      </c>
      <c r="X301" s="11"/>
      <c r="Y301" s="5" t="s">
        <v>253</v>
      </c>
      <c r="Z301" s="5" t="s">
        <v>254</v>
      </c>
      <c r="AA301" s="5" t="s">
        <v>251</v>
      </c>
      <c r="AB301" s="5"/>
      <c r="AC301" s="5" t="s">
        <v>1025</v>
      </c>
      <c r="AD301" s="14" t="n">
        <v>46288.771875</v>
      </c>
    </row>
    <row r="302" customFormat="false" ht="15" hidden="false" customHeight="false" outlineLevel="0" collapsed="false">
      <c r="A302" s="5" t="s">
        <v>1026</v>
      </c>
      <c r="B302" s="5" t="s">
        <v>1027</v>
      </c>
      <c r="C302" s="5" t="s">
        <v>248</v>
      </c>
      <c r="D302" s="5" t="s">
        <v>249</v>
      </c>
      <c r="E302" s="5" t="s">
        <v>250</v>
      </c>
      <c r="F302" s="5" t="s">
        <v>251</v>
      </c>
      <c r="G302" s="5" t="s">
        <v>59</v>
      </c>
      <c r="H302" s="5" t="s">
        <v>60</v>
      </c>
      <c r="I302" s="6" t="n">
        <v>0.1</v>
      </c>
      <c r="J302" s="7" t="n">
        <f aca="false">IF(I302="","",1/I302)</f>
        <v>10</v>
      </c>
      <c r="K302" s="8" t="n">
        <v>103.81</v>
      </c>
      <c r="L302" s="9" t="n">
        <v>0.23</v>
      </c>
      <c r="M302" s="10" t="n">
        <v>0.0022</v>
      </c>
      <c r="N302" s="8" t="n">
        <v>103.7</v>
      </c>
      <c r="O302" s="8" t="n">
        <v>103.7</v>
      </c>
      <c r="P302" s="8" t="n">
        <v>103.81</v>
      </c>
      <c r="Q302" s="8" t="n">
        <v>103.81</v>
      </c>
      <c r="R302" s="11" t="n">
        <v>207</v>
      </c>
      <c r="S302" s="11" t="n">
        <f aca="false">K302*R302</f>
        <v>21488.67</v>
      </c>
      <c r="T302" s="8" t="n">
        <v>68</v>
      </c>
      <c r="U302" s="8" t="n">
        <v>106.69</v>
      </c>
      <c r="V302" s="12" t="n">
        <f aca="false">IF(U302-T302=0,"",(K302-T302)/(U302-T302))</f>
        <v>0.925562160765056</v>
      </c>
      <c r="W302" s="13" t="n">
        <f aca="false">IF(U302=0,"",K302/U302-1)</f>
        <v>-0.0269940950417096</v>
      </c>
      <c r="X302" s="11"/>
      <c r="Y302" s="5" t="s">
        <v>253</v>
      </c>
      <c r="Z302" s="5" t="s">
        <v>254</v>
      </c>
      <c r="AA302" s="5" t="s">
        <v>251</v>
      </c>
      <c r="AB302" s="5"/>
      <c r="AC302" s="5" t="s">
        <v>1028</v>
      </c>
      <c r="AD302" s="14" t="n">
        <v>46288.771875</v>
      </c>
    </row>
    <row r="303" customFormat="false" ht="15" hidden="false" customHeight="false" outlineLevel="0" collapsed="false">
      <c r="A303" s="5" t="s">
        <v>1029</v>
      </c>
      <c r="B303" s="5" t="s">
        <v>1030</v>
      </c>
      <c r="C303" s="5" t="s">
        <v>248</v>
      </c>
      <c r="D303" s="5" t="s">
        <v>249</v>
      </c>
      <c r="E303" s="5" t="s">
        <v>250</v>
      </c>
      <c r="F303" s="5" t="s">
        <v>251</v>
      </c>
      <c r="G303" s="5" t="s">
        <v>59</v>
      </c>
      <c r="H303" s="5" t="s">
        <v>60</v>
      </c>
      <c r="I303" s="6" t="n">
        <v>0.166666667</v>
      </c>
      <c r="J303" s="7" t="n">
        <f aca="false">IF(I303="","",1/I303)</f>
        <v>5.999999988</v>
      </c>
      <c r="K303" s="8" t="n">
        <v>72.03</v>
      </c>
      <c r="L303" s="9" t="n">
        <v>0.07</v>
      </c>
      <c r="M303" s="10" t="n">
        <v>0.001</v>
      </c>
      <c r="N303" s="8" t="n">
        <v>71.96</v>
      </c>
      <c r="O303" s="8" t="n">
        <v>71.96</v>
      </c>
      <c r="P303" s="8" t="n">
        <v>72.03</v>
      </c>
      <c r="Q303" s="8" t="n">
        <v>72.03</v>
      </c>
      <c r="R303" s="11" t="n">
        <v>2</v>
      </c>
      <c r="S303" s="11" t="n">
        <f aca="false">K303*R303</f>
        <v>144.06</v>
      </c>
      <c r="T303" s="8" t="n">
        <v>57.6</v>
      </c>
      <c r="U303" s="8" t="n">
        <v>72.45</v>
      </c>
      <c r="V303" s="12" t="n">
        <f aca="false">IF(U303-T303=0,"",(K303-T303)/(U303-T303))</f>
        <v>0.971717171717172</v>
      </c>
      <c r="W303" s="13" t="n">
        <f aca="false">IF(U303=0,"",K303/U303-1)</f>
        <v>-0.00579710144927537</v>
      </c>
      <c r="X303" s="11"/>
      <c r="Y303" s="5" t="s">
        <v>253</v>
      </c>
      <c r="Z303" s="5" t="s">
        <v>254</v>
      </c>
      <c r="AA303" s="5" t="s">
        <v>251</v>
      </c>
      <c r="AB303" s="5"/>
      <c r="AC303" s="5" t="s">
        <v>1031</v>
      </c>
      <c r="AD303" s="14" t="n">
        <v>46288.771875</v>
      </c>
    </row>
    <row r="304" customFormat="false" ht="15" hidden="false" customHeight="false" outlineLevel="0" collapsed="false">
      <c r="A304" s="5" t="s">
        <v>1032</v>
      </c>
      <c r="B304" s="5" t="s">
        <v>1033</v>
      </c>
      <c r="C304" s="5" t="s">
        <v>55</v>
      </c>
      <c r="D304" s="5" t="s">
        <v>56</v>
      </c>
      <c r="E304" s="5" t="s">
        <v>182</v>
      </c>
      <c r="F304" s="5" t="s">
        <v>183</v>
      </c>
      <c r="G304" s="5" t="s">
        <v>59</v>
      </c>
      <c r="H304" s="5" t="s">
        <v>60</v>
      </c>
      <c r="I304" s="6" t="n">
        <v>0.005</v>
      </c>
      <c r="J304" s="7" t="n">
        <f aca="false">IF(I304="","",1/I304)</f>
        <v>200</v>
      </c>
      <c r="K304" s="8" t="n">
        <v>0.43</v>
      </c>
      <c r="L304" s="9" t="n">
        <v>-0.01</v>
      </c>
      <c r="M304" s="10" t="n">
        <v>-0.0227</v>
      </c>
      <c r="N304" s="8" t="n">
        <v>0.45</v>
      </c>
      <c r="O304" s="8" t="n">
        <v>0.42</v>
      </c>
      <c r="P304" s="8" t="n">
        <v>0.48</v>
      </c>
      <c r="Q304" s="8" t="n">
        <v>0.43</v>
      </c>
      <c r="R304" s="11" t="n">
        <v>6411</v>
      </c>
      <c r="S304" s="11" t="n">
        <f aca="false">K304*R304</f>
        <v>2756.73</v>
      </c>
      <c r="T304" s="8" t="n">
        <v>0.42</v>
      </c>
      <c r="U304" s="8" t="n">
        <v>4.75</v>
      </c>
      <c r="V304" s="12" t="n">
        <f aca="false">IF(U304-T304=0,"",(K304-T304)/(U304-T304))</f>
        <v>0.0023094688221709</v>
      </c>
      <c r="W304" s="13" t="n">
        <f aca="false">IF(U304=0,"",K304/U304-1)</f>
        <v>-0.909473684210526</v>
      </c>
      <c r="X304" s="11" t="n">
        <v>495</v>
      </c>
      <c r="Y304" s="5" t="s">
        <v>182</v>
      </c>
      <c r="Z304" s="5" t="s">
        <v>184</v>
      </c>
      <c r="AA304" s="5" t="s">
        <v>183</v>
      </c>
      <c r="AB304" s="5"/>
      <c r="AC304" s="5" t="s">
        <v>1034</v>
      </c>
      <c r="AD304" s="14" t="n">
        <v>46288.771875</v>
      </c>
    </row>
    <row r="305" customFormat="false" ht="15" hidden="false" customHeight="false" outlineLevel="0" collapsed="false">
      <c r="A305" s="5" t="s">
        <v>1035</v>
      </c>
      <c r="B305" s="5" t="s">
        <v>1036</v>
      </c>
      <c r="C305" s="5" t="s">
        <v>55</v>
      </c>
      <c r="D305" s="5" t="s">
        <v>56</v>
      </c>
      <c r="E305" s="5" t="s">
        <v>273</v>
      </c>
      <c r="F305" s="5" t="s">
        <v>274</v>
      </c>
      <c r="G305" s="5" t="s">
        <v>59</v>
      </c>
      <c r="H305" s="5" t="s">
        <v>60</v>
      </c>
      <c r="I305" s="6" t="n">
        <v>1</v>
      </c>
      <c r="J305" s="7" t="n">
        <f aca="false">IF(I305="","",1/I305)</f>
        <v>1</v>
      </c>
      <c r="K305" s="8" t="n">
        <v>75.67</v>
      </c>
      <c r="L305" s="9" t="n">
        <v>0</v>
      </c>
      <c r="M305" s="10" t="n">
        <v>0</v>
      </c>
      <c r="N305" s="8" t="n">
        <v>75.67</v>
      </c>
      <c r="O305" s="8" t="n">
        <v>75.67</v>
      </c>
      <c r="P305" s="8" t="n">
        <v>75.67</v>
      </c>
      <c r="Q305" s="8" t="n">
        <v>75.67</v>
      </c>
      <c r="R305" s="11" t="n">
        <v>1</v>
      </c>
      <c r="S305" s="11" t="n">
        <f aca="false">K305*R305</f>
        <v>75.67</v>
      </c>
      <c r="T305" s="8" t="n">
        <v>64</v>
      </c>
      <c r="U305" s="8" t="n">
        <v>104.31</v>
      </c>
      <c r="V305" s="12" t="n">
        <f aca="false">IF(U305-T305=0,"",(K305-T305)/(U305-T305))</f>
        <v>0.289506325973704</v>
      </c>
      <c r="W305" s="13" t="n">
        <f aca="false">IF(U305=0,"",K305/U305-1)</f>
        <v>-0.274566196913048</v>
      </c>
      <c r="X305" s="11" t="n">
        <v>36199</v>
      </c>
      <c r="Y305" s="5" t="s">
        <v>273</v>
      </c>
      <c r="Z305" s="5" t="s">
        <v>275</v>
      </c>
      <c r="AA305" s="5" t="s">
        <v>274</v>
      </c>
      <c r="AB305" s="5"/>
      <c r="AC305" s="5" t="s">
        <v>1037</v>
      </c>
      <c r="AD305" s="14" t="n">
        <v>46288.771875</v>
      </c>
    </row>
    <row r="306" customFormat="false" ht="15" hidden="false" customHeight="false" outlineLevel="0" collapsed="false">
      <c r="A306" s="5" t="s">
        <v>1038</v>
      </c>
      <c r="B306" s="5" t="s">
        <v>1039</v>
      </c>
      <c r="C306" s="5" t="s">
        <v>55</v>
      </c>
      <c r="D306" s="5" t="s">
        <v>56</v>
      </c>
      <c r="E306" s="5" t="s">
        <v>230</v>
      </c>
      <c r="F306" s="5" t="s">
        <v>231</v>
      </c>
      <c r="G306" s="5" t="s">
        <v>59</v>
      </c>
      <c r="H306" s="5" t="s">
        <v>60</v>
      </c>
      <c r="I306" s="6" t="n">
        <v>1</v>
      </c>
      <c r="J306" s="7" t="n">
        <f aca="false">IF(I306="","",1/I306)</f>
        <v>1</v>
      </c>
      <c r="K306" s="8" t="n">
        <v>1148.08</v>
      </c>
      <c r="L306" s="9" t="n">
        <v>-11.92</v>
      </c>
      <c r="M306" s="10" t="n">
        <v>-0.0103</v>
      </c>
      <c r="N306" s="8" t="n">
        <v>1161.64</v>
      </c>
      <c r="O306" s="8" t="n">
        <v>1144.69</v>
      </c>
      <c r="P306" s="8" t="n">
        <v>1165.03</v>
      </c>
      <c r="Q306" s="8" t="n">
        <v>1148.08</v>
      </c>
      <c r="R306" s="11" t="n">
        <v>37</v>
      </c>
      <c r="S306" s="11" t="n">
        <f aca="false">K306*R306</f>
        <v>42478.96</v>
      </c>
      <c r="T306" s="8" t="n">
        <v>904</v>
      </c>
      <c r="U306" s="8" t="n">
        <v>1276.35</v>
      </c>
      <c r="V306" s="12" t="n">
        <f aca="false">IF(U306-T306=0,"",(K306-T306)/(U306-T306))</f>
        <v>0.65551228682691</v>
      </c>
      <c r="W306" s="13" t="n">
        <f aca="false">IF(U306=0,"",K306/U306-1)</f>
        <v>-0.100497512437811</v>
      </c>
      <c r="X306" s="11" t="n">
        <v>264284</v>
      </c>
      <c r="Y306" s="5" t="s">
        <v>230</v>
      </c>
      <c r="Z306" s="5" t="s">
        <v>232</v>
      </c>
      <c r="AA306" s="5" t="s">
        <v>231</v>
      </c>
      <c r="AB306" s="5"/>
      <c r="AC306" s="5" t="s">
        <v>1040</v>
      </c>
      <c r="AD306" s="14" t="n">
        <v>46288.771875</v>
      </c>
    </row>
    <row r="307" customFormat="false" ht="15" hidden="false" customHeight="false" outlineLevel="0" collapsed="false">
      <c r="A307" s="5" t="s">
        <v>1041</v>
      </c>
      <c r="B307" s="5" t="s">
        <v>1042</v>
      </c>
      <c r="C307" s="5" t="s">
        <v>55</v>
      </c>
      <c r="D307" s="5" t="s">
        <v>56</v>
      </c>
      <c r="E307" s="5" t="s">
        <v>71</v>
      </c>
      <c r="F307" s="5" t="s">
        <v>72</v>
      </c>
      <c r="G307" s="5" t="s">
        <v>59</v>
      </c>
      <c r="H307" s="5" t="s">
        <v>60</v>
      </c>
      <c r="I307" s="6" t="n">
        <v>0.041667</v>
      </c>
      <c r="J307" s="7" t="n">
        <f aca="false">IF(I307="","",1/I307)</f>
        <v>23.999808001536</v>
      </c>
      <c r="K307" s="8" t="n">
        <v>71.96</v>
      </c>
      <c r="L307" s="9" t="n">
        <v>-0.09</v>
      </c>
      <c r="M307" s="10" t="n">
        <v>-0.0012</v>
      </c>
      <c r="N307" s="8" t="n">
        <v>71.82</v>
      </c>
      <c r="O307" s="8" t="n">
        <v>71.19</v>
      </c>
      <c r="P307" s="8" t="n">
        <v>72.73</v>
      </c>
      <c r="Q307" s="8" t="n">
        <v>71.96</v>
      </c>
      <c r="R307" s="11" t="n">
        <v>1735</v>
      </c>
      <c r="S307" s="11" t="n">
        <f aca="false">K307*R307</f>
        <v>124850.6</v>
      </c>
      <c r="T307" s="8" t="n">
        <v>60.42000121</v>
      </c>
      <c r="U307" s="8" t="n">
        <v>78.5683349</v>
      </c>
      <c r="V307" s="12" t="n">
        <f aca="false">IF(U307-T307=0,"",(K307-T307)/(U307-T307))</f>
        <v>0.635870983370705</v>
      </c>
      <c r="W307" s="13" t="n">
        <f aca="false">IF(U307=0,"",K307/U307-1)</f>
        <v>-0.0841093922686658</v>
      </c>
      <c r="X307" s="11" t="n">
        <v>662948</v>
      </c>
      <c r="Y307" s="5" t="s">
        <v>71</v>
      </c>
      <c r="Z307" s="5" t="s">
        <v>73</v>
      </c>
      <c r="AA307" s="5" t="s">
        <v>72</v>
      </c>
      <c r="AB307" s="5"/>
      <c r="AC307" s="5" t="s">
        <v>1043</v>
      </c>
      <c r="AD307" s="14" t="n">
        <v>46288.771875</v>
      </c>
    </row>
    <row r="308" customFormat="false" ht="15" hidden="false" customHeight="false" outlineLevel="0" collapsed="false">
      <c r="A308" s="5" t="s">
        <v>1044</v>
      </c>
      <c r="B308" s="5" t="s">
        <v>1045</v>
      </c>
      <c r="C308" s="5" t="s">
        <v>55</v>
      </c>
      <c r="D308" s="5" t="s">
        <v>56</v>
      </c>
      <c r="E308" s="5" t="s">
        <v>71</v>
      </c>
      <c r="F308" s="5" t="s">
        <v>72</v>
      </c>
      <c r="G308" s="5" t="s">
        <v>59</v>
      </c>
      <c r="H308" s="5" t="s">
        <v>60</v>
      </c>
      <c r="I308" s="6" t="n">
        <v>0.5</v>
      </c>
      <c r="J308" s="7" t="n">
        <f aca="false">IF(I308="","",1/I308)</f>
        <v>2</v>
      </c>
      <c r="K308" s="8" t="n">
        <v>681.8</v>
      </c>
      <c r="L308" s="9" t="n">
        <v>-56.2</v>
      </c>
      <c r="M308" s="10" t="n">
        <v>-0.0762</v>
      </c>
      <c r="N308" s="8" t="n">
        <v>681.8</v>
      </c>
      <c r="O308" s="8" t="n">
        <v>681.8</v>
      </c>
      <c r="P308" s="8" t="n">
        <v>681.8</v>
      </c>
      <c r="Q308" s="8" t="n">
        <v>681.8</v>
      </c>
      <c r="R308" s="11" t="n">
        <v>94</v>
      </c>
      <c r="S308" s="11" t="n">
        <f aca="false">K308*R308</f>
        <v>64089.2</v>
      </c>
      <c r="T308" s="8" t="n">
        <v>602.28</v>
      </c>
      <c r="U308" s="8" t="n">
        <v>922.76</v>
      </c>
      <c r="V308" s="12" t="n">
        <f aca="false">IF(U308-T308=0,"",(K308-T308)/(U308-T308))</f>
        <v>0.248127808287569</v>
      </c>
      <c r="W308" s="13" t="n">
        <f aca="false">IF(U308=0,"",K308/U308-1)</f>
        <v>-0.261129654514717</v>
      </c>
      <c r="X308" s="11" t="n">
        <v>142607</v>
      </c>
      <c r="Y308" s="5" t="s">
        <v>71</v>
      </c>
      <c r="Z308" s="5" t="s">
        <v>73</v>
      </c>
      <c r="AA308" s="5" t="s">
        <v>72</v>
      </c>
      <c r="AB308" s="5"/>
      <c r="AC308" s="5" t="s">
        <v>1046</v>
      </c>
      <c r="AD308" s="14" t="n">
        <v>46288.771875</v>
      </c>
    </row>
    <row r="309" customFormat="false" ht="15" hidden="false" customHeight="false" outlineLevel="0" collapsed="false">
      <c r="A309" s="5" t="s">
        <v>1047</v>
      </c>
      <c r="B309" s="5" t="s">
        <v>1048</v>
      </c>
      <c r="C309" s="5" t="s">
        <v>55</v>
      </c>
      <c r="D309" s="5" t="s">
        <v>56</v>
      </c>
      <c r="E309" s="5" t="s">
        <v>71</v>
      </c>
      <c r="F309" s="5" t="s">
        <v>72</v>
      </c>
      <c r="G309" s="5" t="s">
        <v>59</v>
      </c>
      <c r="H309" s="5" t="s">
        <v>60</v>
      </c>
      <c r="I309" s="6" t="n">
        <v>1</v>
      </c>
      <c r="J309" s="7" t="n">
        <f aca="false">IF(I309="","",1/I309)</f>
        <v>1</v>
      </c>
      <c r="K309" s="8" t="n">
        <v>714.97</v>
      </c>
      <c r="L309" s="9" t="n">
        <v>-14.63</v>
      </c>
      <c r="M309" s="10" t="n">
        <v>-0.0201</v>
      </c>
      <c r="N309" s="8" t="n">
        <v>714.97</v>
      </c>
      <c r="O309" s="8" t="n">
        <v>714.97</v>
      </c>
      <c r="P309" s="8" t="n">
        <v>714.97</v>
      </c>
      <c r="Q309" s="8" t="n">
        <v>714.97</v>
      </c>
      <c r="R309" s="11" t="n">
        <v>3</v>
      </c>
      <c r="S309" s="11" t="n">
        <f aca="false">K309*R309</f>
        <v>2144.91</v>
      </c>
      <c r="T309" s="8" t="n">
        <v>635.02</v>
      </c>
      <c r="U309" s="8" t="n">
        <v>915.4</v>
      </c>
      <c r="V309" s="12" t="n">
        <f aca="false">IF(U309-T309=0,"",(K309-T309)/(U309-T309))</f>
        <v>0.285148726728012</v>
      </c>
      <c r="W309" s="13" t="n">
        <f aca="false">IF(U309=0,"",K309/U309-1)</f>
        <v>-0.218953462967009</v>
      </c>
      <c r="X309" s="11" t="n">
        <v>209031</v>
      </c>
      <c r="Y309" s="5" t="s">
        <v>71</v>
      </c>
      <c r="Z309" s="5" t="s">
        <v>73</v>
      </c>
      <c r="AA309" s="5" t="s">
        <v>72</v>
      </c>
      <c r="AB309" s="5"/>
      <c r="AC309" s="5" t="s">
        <v>1049</v>
      </c>
      <c r="AD309" s="14" t="n">
        <v>46288.771875</v>
      </c>
    </row>
    <row r="310" customFormat="false" ht="15" hidden="false" customHeight="false" outlineLevel="0" collapsed="false">
      <c r="A310" s="5" t="s">
        <v>1050</v>
      </c>
      <c r="B310" s="5" t="s">
        <v>1051</v>
      </c>
      <c r="C310" s="5" t="s">
        <v>55</v>
      </c>
      <c r="D310" s="5" t="s">
        <v>56</v>
      </c>
      <c r="E310" s="5" t="s">
        <v>71</v>
      </c>
      <c r="F310" s="5" t="s">
        <v>72</v>
      </c>
      <c r="G310" s="5" t="s">
        <v>59</v>
      </c>
      <c r="H310" s="5"/>
      <c r="I310" s="6"/>
      <c r="J310" s="7" t="str">
        <f aca="false">IF(I310="","",1/I310)</f>
        <v/>
      </c>
      <c r="K310" s="8" t="n">
        <v>91</v>
      </c>
      <c r="L310" s="9" t="n">
        <v>-1.79</v>
      </c>
      <c r="M310" s="10" t="n">
        <v>-0.0193</v>
      </c>
      <c r="N310" s="8" t="n">
        <v>92.34</v>
      </c>
      <c r="O310" s="8" t="n">
        <v>91</v>
      </c>
      <c r="P310" s="8" t="n">
        <v>92.34</v>
      </c>
      <c r="Q310" s="8" t="n">
        <v>91</v>
      </c>
      <c r="R310" s="11" t="n">
        <v>11</v>
      </c>
      <c r="S310" s="11" t="n">
        <f aca="false">K310*R310</f>
        <v>1001</v>
      </c>
      <c r="T310" s="8" t="n">
        <v>88.58</v>
      </c>
      <c r="U310" s="8" t="n">
        <v>134.16</v>
      </c>
      <c r="V310" s="12" t="n">
        <f aca="false">IF(U310-T310=0,"",(K310-T310)/(U310-T310))</f>
        <v>0.0530934620447565</v>
      </c>
      <c r="W310" s="13" t="n">
        <f aca="false">IF(U310=0,"",K310/U310-1)</f>
        <v>-0.321705426356589</v>
      </c>
      <c r="X310" s="11" t="n">
        <v>157575</v>
      </c>
      <c r="Y310" s="5" t="s">
        <v>71</v>
      </c>
      <c r="Z310" s="5" t="s">
        <v>73</v>
      </c>
      <c r="AA310" s="5" t="s">
        <v>72</v>
      </c>
      <c r="AB310" s="5" t="s">
        <v>111</v>
      </c>
      <c r="AC310" s="5" t="s">
        <v>1052</v>
      </c>
      <c r="AD310" s="14" t="n">
        <v>46288.771875</v>
      </c>
    </row>
    <row r="311" customFormat="false" ht="15" hidden="false" customHeight="false" outlineLevel="0" collapsed="false">
      <c r="A311" s="5" t="s">
        <v>1053</v>
      </c>
      <c r="B311" s="5" t="s">
        <v>1054</v>
      </c>
      <c r="C311" s="5" t="s">
        <v>55</v>
      </c>
      <c r="D311" s="5" t="s">
        <v>56</v>
      </c>
      <c r="E311" s="5" t="s">
        <v>312</v>
      </c>
      <c r="F311" s="5" t="s">
        <v>313</v>
      </c>
      <c r="G311" s="5" t="s">
        <v>59</v>
      </c>
      <c r="H311" s="5" t="s">
        <v>60</v>
      </c>
      <c r="I311" s="6" t="n">
        <v>0.2</v>
      </c>
      <c r="J311" s="7" t="n">
        <f aca="false">IF(I311="","",1/I311)</f>
        <v>5</v>
      </c>
      <c r="K311" s="8" t="n">
        <v>94.6</v>
      </c>
      <c r="L311" s="9" t="n">
        <v>-1.6</v>
      </c>
      <c r="M311" s="10" t="n">
        <v>-0.0166</v>
      </c>
      <c r="N311" s="8" t="n">
        <v>94.6</v>
      </c>
      <c r="O311" s="8" t="n">
        <v>94.6</v>
      </c>
      <c r="P311" s="8" t="n">
        <v>94.6</v>
      </c>
      <c r="Q311" s="8" t="n">
        <v>94.6</v>
      </c>
      <c r="R311" s="11" t="n">
        <v>1</v>
      </c>
      <c r="S311" s="11" t="n">
        <f aca="false">K311*R311</f>
        <v>94.6</v>
      </c>
      <c r="T311" s="8" t="n">
        <v>86.34</v>
      </c>
      <c r="U311" s="8" t="n">
        <v>142.66</v>
      </c>
      <c r="V311" s="12" t="n">
        <f aca="false">IF(U311-T311=0,"",(K311-T311)/(U311-T311))</f>
        <v>0.146661931818182</v>
      </c>
      <c r="W311" s="13" t="n">
        <f aca="false">IF(U311=0,"",K311/U311-1)</f>
        <v>-0.336884901163606</v>
      </c>
      <c r="X311" s="11" t="n">
        <v>211173</v>
      </c>
      <c r="Y311" s="5" t="s">
        <v>312</v>
      </c>
      <c r="Z311" s="5" t="s">
        <v>314</v>
      </c>
      <c r="AA311" s="5" t="s">
        <v>313</v>
      </c>
      <c r="AB311" s="5"/>
      <c r="AC311" s="5" t="s">
        <v>1055</v>
      </c>
      <c r="AD311" s="14" t="n">
        <v>46288.771875</v>
      </c>
    </row>
    <row r="312" customFormat="false" ht="15" hidden="false" customHeight="false" outlineLevel="0" collapsed="false">
      <c r="A312" s="5" t="s">
        <v>1056</v>
      </c>
      <c r="B312" s="5" t="s">
        <v>1057</v>
      </c>
      <c r="C312" s="5" t="s">
        <v>55</v>
      </c>
      <c r="D312" s="5" t="s">
        <v>56</v>
      </c>
      <c r="E312" s="5" t="s">
        <v>182</v>
      </c>
      <c r="F312" s="5" t="s">
        <v>183</v>
      </c>
      <c r="G312" s="5" t="s">
        <v>59</v>
      </c>
      <c r="H312" s="5" t="s">
        <v>60</v>
      </c>
      <c r="I312" s="6" t="n">
        <v>1</v>
      </c>
      <c r="J312" s="7" t="n">
        <f aca="false">IF(I312="","",1/I312)</f>
        <v>1</v>
      </c>
      <c r="K312" s="8" t="n">
        <v>113.32</v>
      </c>
      <c r="L312" s="9" t="n">
        <v>-1.08</v>
      </c>
      <c r="M312" s="10" t="n">
        <v>-0.0094</v>
      </c>
      <c r="N312" s="8" t="n">
        <v>113.03</v>
      </c>
      <c r="O312" s="8" t="n">
        <v>110.91</v>
      </c>
      <c r="P312" s="8" t="n">
        <v>113.55</v>
      </c>
      <c r="Q312" s="8" t="n">
        <v>113.32</v>
      </c>
      <c r="R312" s="11" t="n">
        <v>2127</v>
      </c>
      <c r="S312" s="11" t="n">
        <f aca="false">K312*R312</f>
        <v>241031.64</v>
      </c>
      <c r="T312" s="8" t="n">
        <v>110.91</v>
      </c>
      <c r="U312" s="8" t="n">
        <v>190</v>
      </c>
      <c r="V312" s="12" t="n">
        <f aca="false">IF(U312-T312=0,"",(K312-T312)/(U312-T312))</f>
        <v>0.0304716146162599</v>
      </c>
      <c r="W312" s="13" t="n">
        <f aca="false">IF(U312=0,"",K312/U312-1)</f>
        <v>-0.403578947368421</v>
      </c>
      <c r="X312" s="11" t="n">
        <v>156171</v>
      </c>
      <c r="Y312" s="5" t="s">
        <v>182</v>
      </c>
      <c r="Z312" s="5" t="s">
        <v>184</v>
      </c>
      <c r="AA312" s="5" t="s">
        <v>183</v>
      </c>
      <c r="AB312" s="5"/>
      <c r="AC312" s="5" t="s">
        <v>1058</v>
      </c>
      <c r="AD312" s="14" t="n">
        <v>46288.771875</v>
      </c>
    </row>
    <row r="313" customFormat="false" ht="15" hidden="false" customHeight="false" outlineLevel="0" collapsed="false">
      <c r="A313" s="5" t="s">
        <v>1059</v>
      </c>
      <c r="B313" s="5" t="s">
        <v>1060</v>
      </c>
      <c r="C313" s="5" t="s">
        <v>55</v>
      </c>
      <c r="D313" s="5" t="s">
        <v>56</v>
      </c>
      <c r="E313" s="5" t="s">
        <v>230</v>
      </c>
      <c r="F313" s="5" t="s">
        <v>231</v>
      </c>
      <c r="G313" s="5" t="s">
        <v>59</v>
      </c>
      <c r="H313" s="5" t="s">
        <v>60</v>
      </c>
      <c r="I313" s="6" t="n">
        <v>0.5</v>
      </c>
      <c r="J313" s="7" t="n">
        <f aca="false">IF(I313="","",1/I313)</f>
        <v>2</v>
      </c>
      <c r="K313" s="8" t="n">
        <v>818.4</v>
      </c>
      <c r="L313" s="9" t="n">
        <v>25.4</v>
      </c>
      <c r="M313" s="10" t="n">
        <v>0.032</v>
      </c>
      <c r="N313" s="8" t="n">
        <v>818.4</v>
      </c>
      <c r="O313" s="8" t="n">
        <v>818.4</v>
      </c>
      <c r="P313" s="8" t="n">
        <v>818.4</v>
      </c>
      <c r="Q313" s="8" t="n">
        <v>818.4</v>
      </c>
      <c r="R313" s="11" t="n">
        <v>3</v>
      </c>
      <c r="S313" s="11" t="n">
        <f aca="false">K313*R313</f>
        <v>2455.2</v>
      </c>
      <c r="T313" s="8" t="n">
        <v>665.32</v>
      </c>
      <c r="U313" s="8" t="n">
        <v>960</v>
      </c>
      <c r="V313" s="12" t="n">
        <f aca="false">IF(U313-T313=0,"",(K313-T313)/(U313-T313))</f>
        <v>0.519478756617347</v>
      </c>
      <c r="W313" s="13" t="n">
        <f aca="false">IF(U313=0,"",K313/U313-1)</f>
        <v>-0.1475</v>
      </c>
      <c r="X313" s="11" t="n">
        <v>307072</v>
      </c>
      <c r="Y313" s="5" t="s">
        <v>230</v>
      </c>
      <c r="Z313" s="5" t="s">
        <v>232</v>
      </c>
      <c r="AA313" s="5" t="s">
        <v>231</v>
      </c>
      <c r="AB313" s="5"/>
      <c r="AC313" s="5" t="s">
        <v>1061</v>
      </c>
      <c r="AD313" s="14" t="n">
        <v>46288.771875</v>
      </c>
    </row>
    <row r="314" customFormat="false" ht="15" hidden="false" customHeight="false" outlineLevel="0" collapsed="false">
      <c r="A314" s="5" t="s">
        <v>1062</v>
      </c>
      <c r="B314" s="5" t="s">
        <v>1063</v>
      </c>
      <c r="C314" s="5" t="s">
        <v>55</v>
      </c>
      <c r="D314" s="5" t="s">
        <v>56</v>
      </c>
      <c r="E314" s="5" t="s">
        <v>115</v>
      </c>
      <c r="F314" s="5" t="s">
        <v>116</v>
      </c>
      <c r="G314" s="5" t="s">
        <v>59</v>
      </c>
      <c r="H314" s="5" t="s">
        <v>60</v>
      </c>
      <c r="I314" s="6" t="n">
        <v>0.029412</v>
      </c>
      <c r="J314" s="7" t="n">
        <f aca="false">IF(I314="","",1/I314)</f>
        <v>33.999728002176</v>
      </c>
      <c r="K314" s="8" t="n">
        <v>47.05</v>
      </c>
      <c r="L314" s="9" t="n">
        <v>1.78</v>
      </c>
      <c r="M314" s="10" t="n">
        <v>0.0393</v>
      </c>
      <c r="N314" s="8" t="n">
        <v>45.85</v>
      </c>
      <c r="O314" s="8" t="n">
        <v>45.85</v>
      </c>
      <c r="P314" s="8" t="n">
        <v>47.3</v>
      </c>
      <c r="Q314" s="8" t="n">
        <v>47.05</v>
      </c>
      <c r="R314" s="11" t="n">
        <v>820</v>
      </c>
      <c r="S314" s="11" t="n">
        <f aca="false">K314*R314</f>
        <v>38581</v>
      </c>
      <c r="T314" s="8" t="n">
        <v>39.10406506</v>
      </c>
      <c r="U314" s="8" t="n">
        <v>60.74180852</v>
      </c>
      <c r="V314" s="12" t="n">
        <f aca="false">IF(U314-T314=0,"",(K314-T314)/(U314-T314))</f>
        <v>0.367225674649902</v>
      </c>
      <c r="W314" s="13" t="n">
        <f aca="false">IF(U314=0,"",K314/U314-1)</f>
        <v>-0.225409958208469</v>
      </c>
      <c r="X314" s="11" t="n">
        <v>426972</v>
      </c>
      <c r="Y314" s="5" t="s">
        <v>115</v>
      </c>
      <c r="Z314" s="5" t="s">
        <v>117</v>
      </c>
      <c r="AA314" s="5" t="s">
        <v>116</v>
      </c>
      <c r="AB314" s="5"/>
      <c r="AC314" s="5" t="s">
        <v>1064</v>
      </c>
      <c r="AD314" s="14" t="n">
        <v>46288.771875</v>
      </c>
    </row>
    <row r="315" customFormat="false" ht="15" hidden="false" customHeight="false" outlineLevel="0" collapsed="false">
      <c r="A315" s="5" t="s">
        <v>1065</v>
      </c>
      <c r="B315" s="5" t="s">
        <v>1066</v>
      </c>
      <c r="C315" s="5" t="s">
        <v>55</v>
      </c>
      <c r="D315" s="5" t="s">
        <v>56</v>
      </c>
      <c r="E315" s="5" t="s">
        <v>115</v>
      </c>
      <c r="F315" s="5" t="s">
        <v>116</v>
      </c>
      <c r="G315" s="5" t="s">
        <v>59</v>
      </c>
      <c r="H315" s="5" t="s">
        <v>60</v>
      </c>
      <c r="I315" s="6" t="n">
        <v>0.05</v>
      </c>
      <c r="J315" s="7" t="n">
        <f aca="false">IF(I315="","",1/I315)</f>
        <v>20</v>
      </c>
      <c r="K315" s="8" t="n">
        <v>37.6</v>
      </c>
      <c r="L315" s="9" t="n">
        <v>-1.4</v>
      </c>
      <c r="M315" s="10" t="n">
        <v>-0.0359</v>
      </c>
      <c r="N315" s="8" t="n">
        <v>37.6</v>
      </c>
      <c r="O315" s="8" t="n">
        <v>37.6</v>
      </c>
      <c r="P315" s="8" t="n">
        <v>37.6</v>
      </c>
      <c r="Q315" s="8" t="n">
        <v>37.6</v>
      </c>
      <c r="R315" s="11" t="n">
        <v>1</v>
      </c>
      <c r="S315" s="11" t="n">
        <f aca="false">K315*R315</f>
        <v>37.6</v>
      </c>
      <c r="T315" s="8" t="n">
        <v>24.24</v>
      </c>
      <c r="U315" s="8" t="n">
        <v>44.27</v>
      </c>
      <c r="V315" s="12" t="n">
        <f aca="false">IF(U315-T315=0,"",(K315-T315)/(U315-T315))</f>
        <v>0.666999500748877</v>
      </c>
      <c r="W315" s="13" t="n">
        <f aca="false">IF(U315=0,"",K315/U315-1)</f>
        <v>-0.150666365484527</v>
      </c>
      <c r="X315" s="11" t="n">
        <v>94326</v>
      </c>
      <c r="Y315" s="5" t="s">
        <v>115</v>
      </c>
      <c r="Z315" s="5" t="s">
        <v>117</v>
      </c>
      <c r="AA315" s="5" t="s">
        <v>116</v>
      </c>
      <c r="AB315" s="5"/>
      <c r="AC315" s="5" t="s">
        <v>1067</v>
      </c>
      <c r="AD315" s="14" t="n">
        <v>46288.771875</v>
      </c>
    </row>
    <row r="316" customFormat="false" ht="15" hidden="false" customHeight="false" outlineLevel="0" collapsed="false">
      <c r="A316" s="5" t="s">
        <v>1068</v>
      </c>
      <c r="B316" s="5" t="s">
        <v>1069</v>
      </c>
      <c r="C316" s="5" t="s">
        <v>55</v>
      </c>
      <c r="D316" s="5" t="s">
        <v>56</v>
      </c>
      <c r="E316" s="5" t="s">
        <v>71</v>
      </c>
      <c r="F316" s="5" t="s">
        <v>72</v>
      </c>
      <c r="G316" s="5" t="s">
        <v>59</v>
      </c>
      <c r="H316" s="5" t="s">
        <v>60</v>
      </c>
      <c r="I316" s="6" t="n">
        <v>1</v>
      </c>
      <c r="J316" s="7" t="n">
        <f aca="false">IF(I316="","",1/I316)</f>
        <v>1</v>
      </c>
      <c r="K316" s="8" t="n">
        <v>361.8</v>
      </c>
      <c r="L316" s="9" t="n">
        <v>3.4</v>
      </c>
      <c r="M316" s="10" t="n">
        <v>0.0095</v>
      </c>
      <c r="N316" s="8" t="n">
        <v>361.8</v>
      </c>
      <c r="O316" s="8" t="n">
        <v>361.8</v>
      </c>
      <c r="P316" s="8" t="n">
        <v>361.8</v>
      </c>
      <c r="Q316" s="8" t="n">
        <v>361.8</v>
      </c>
      <c r="R316" s="11" t="n">
        <v>12</v>
      </c>
      <c r="S316" s="11" t="n">
        <f aca="false">K316*R316</f>
        <v>4341.6</v>
      </c>
      <c r="T316" s="8" t="n">
        <v>262.3</v>
      </c>
      <c r="U316" s="8" t="n">
        <v>392.73</v>
      </c>
      <c r="V316" s="12" t="n">
        <f aca="false">IF(U316-T316=0,"",(K316-T316)/(U316-T316))</f>
        <v>0.762861304914514</v>
      </c>
      <c r="W316" s="13" t="n">
        <f aca="false">IF(U316=0,"",K316/U316-1)</f>
        <v>-0.0787563975250172</v>
      </c>
      <c r="X316" s="11" t="n">
        <v>141161</v>
      </c>
      <c r="Y316" s="5" t="s">
        <v>71</v>
      </c>
      <c r="Z316" s="5" t="s">
        <v>73</v>
      </c>
      <c r="AA316" s="5" t="s">
        <v>72</v>
      </c>
      <c r="AB316" s="5"/>
      <c r="AC316" s="5" t="s">
        <v>1070</v>
      </c>
      <c r="AD316" s="14" t="n">
        <v>46288.771875</v>
      </c>
    </row>
    <row r="317" customFormat="false" ht="15" hidden="false" customHeight="false" outlineLevel="0" collapsed="false">
      <c r="A317" s="5" t="s">
        <v>1071</v>
      </c>
      <c r="B317" s="5" t="s">
        <v>1072</v>
      </c>
      <c r="C317" s="5" t="s">
        <v>55</v>
      </c>
      <c r="D317" s="5" t="s">
        <v>56</v>
      </c>
      <c r="E317" s="5" t="s">
        <v>65</v>
      </c>
      <c r="F317" s="5" t="s">
        <v>66</v>
      </c>
      <c r="G317" s="5" t="s">
        <v>59</v>
      </c>
      <c r="H317" s="5" t="s">
        <v>60</v>
      </c>
      <c r="I317" s="6" t="n">
        <v>1</v>
      </c>
      <c r="J317" s="7" t="n">
        <f aca="false">IF(I317="","",1/I317)</f>
        <v>1</v>
      </c>
      <c r="K317" s="8" t="n">
        <v>629.3</v>
      </c>
      <c r="L317" s="9" t="n">
        <v>11.3</v>
      </c>
      <c r="M317" s="10" t="n">
        <v>0.0183</v>
      </c>
      <c r="N317" s="8" t="n">
        <v>630</v>
      </c>
      <c r="O317" s="8" t="n">
        <v>629.3</v>
      </c>
      <c r="P317" s="8" t="n">
        <v>630</v>
      </c>
      <c r="Q317" s="8" t="n">
        <v>629.3</v>
      </c>
      <c r="R317" s="11" t="n">
        <v>2</v>
      </c>
      <c r="S317" s="11" t="n">
        <f aca="false">K317*R317</f>
        <v>1258.6</v>
      </c>
      <c r="T317" s="8" t="n">
        <v>420.6</v>
      </c>
      <c r="U317" s="8" t="n">
        <v>736.57</v>
      </c>
      <c r="V317" s="12" t="n">
        <f aca="false">IF(U317-T317=0,"",(K317-T317)/(U317-T317))</f>
        <v>0.660505744216223</v>
      </c>
      <c r="W317" s="13" t="n">
        <f aca="false">IF(U317=0,"",K317/U317-1)</f>
        <v>-0.145634495024234</v>
      </c>
      <c r="X317" s="11" t="n">
        <v>93397</v>
      </c>
      <c r="Y317" s="5" t="s">
        <v>65</v>
      </c>
      <c r="Z317" s="5" t="s">
        <v>67</v>
      </c>
      <c r="AA317" s="5" t="s">
        <v>66</v>
      </c>
      <c r="AB317" s="5"/>
      <c r="AC317" s="5" t="s">
        <v>1073</v>
      </c>
      <c r="AD317" s="14" t="n">
        <v>46288.771875</v>
      </c>
    </row>
    <row r="318" customFormat="false" ht="15" hidden="false" customHeight="false" outlineLevel="0" collapsed="false">
      <c r="A318" s="5" t="s">
        <v>1074</v>
      </c>
      <c r="B318" s="5" t="s">
        <v>1075</v>
      </c>
      <c r="C318" s="5" t="s">
        <v>55</v>
      </c>
      <c r="D318" s="5" t="s">
        <v>56</v>
      </c>
      <c r="E318" s="5" t="s">
        <v>115</v>
      </c>
      <c r="F318" s="5" t="s">
        <v>116</v>
      </c>
      <c r="G318" s="5" t="s">
        <v>59</v>
      </c>
      <c r="H318" s="5" t="s">
        <v>60</v>
      </c>
      <c r="I318" s="6" t="n">
        <v>0.01</v>
      </c>
      <c r="J318" s="7" t="n">
        <f aca="false">IF(I318="","",1/I318)</f>
        <v>100</v>
      </c>
      <c r="K318" s="8" t="n">
        <v>1.46</v>
      </c>
      <c r="L318" s="9" t="n">
        <v>-0.02</v>
      </c>
      <c r="M318" s="10" t="n">
        <v>-0.0135</v>
      </c>
      <c r="N318" s="8" t="n">
        <v>1.45</v>
      </c>
      <c r="O318" s="8" t="n">
        <v>1.45</v>
      </c>
      <c r="P318" s="8" t="n">
        <v>1.47</v>
      </c>
      <c r="Q318" s="8" t="n">
        <v>1.46</v>
      </c>
      <c r="R318" s="11" t="n">
        <v>46</v>
      </c>
      <c r="S318" s="11" t="n">
        <f aca="false">K318*R318</f>
        <v>67.16</v>
      </c>
      <c r="T318" s="8" t="n">
        <v>1.36</v>
      </c>
      <c r="U318" s="8" t="n">
        <v>4.51</v>
      </c>
      <c r="V318" s="12" t="n">
        <f aca="false">IF(U318-T318=0,"",(K318-T318)/(U318-T318))</f>
        <v>0.0317460317460317</v>
      </c>
      <c r="W318" s="13" t="n">
        <f aca="false">IF(U318=0,"",K318/U318-1)</f>
        <v>-0.676274944567628</v>
      </c>
      <c r="X318" s="11" t="n">
        <v>59660</v>
      </c>
      <c r="Y318" s="5" t="s">
        <v>115</v>
      </c>
      <c r="Z318" s="5" t="s">
        <v>117</v>
      </c>
      <c r="AA318" s="5" t="s">
        <v>116</v>
      </c>
      <c r="AB318" s="5"/>
      <c r="AC318" s="5" t="s">
        <v>1076</v>
      </c>
      <c r="AD318" s="14" t="n">
        <v>46288.771875</v>
      </c>
    </row>
    <row r="319" customFormat="false" ht="15" hidden="false" customHeight="false" outlineLevel="0" collapsed="false">
      <c r="A319" s="5" t="s">
        <v>1077</v>
      </c>
      <c r="B319" s="5" t="s">
        <v>1078</v>
      </c>
      <c r="C319" s="5" t="s">
        <v>55</v>
      </c>
      <c r="D319" s="5" t="s">
        <v>56</v>
      </c>
      <c r="E319" s="5" t="s">
        <v>115</v>
      </c>
      <c r="F319" s="5" t="s">
        <v>116</v>
      </c>
      <c r="G319" s="5" t="s">
        <v>59</v>
      </c>
      <c r="H319" s="5" t="s">
        <v>60</v>
      </c>
      <c r="I319" s="6" t="n">
        <v>0.083333</v>
      </c>
      <c r="J319" s="7" t="n">
        <f aca="false">IF(I319="","",1/I319)</f>
        <v>12.000048000192</v>
      </c>
      <c r="K319" s="8" t="n">
        <v>61.07</v>
      </c>
      <c r="L319" s="9" t="n">
        <v>2.34</v>
      </c>
      <c r="M319" s="10" t="n">
        <v>0.0398</v>
      </c>
      <c r="N319" s="8" t="n">
        <v>61.07</v>
      </c>
      <c r="O319" s="8" t="n">
        <v>61.07</v>
      </c>
      <c r="P319" s="8" t="n">
        <v>61.07</v>
      </c>
      <c r="Q319" s="8" t="n">
        <v>61.07</v>
      </c>
      <c r="R319" s="11" t="n">
        <v>18613</v>
      </c>
      <c r="S319" s="11" t="n">
        <f aca="false">K319*R319</f>
        <v>1136695.91</v>
      </c>
      <c r="T319" s="8" t="n">
        <v>46.7816676</v>
      </c>
      <c r="U319" s="8" t="n">
        <v>86.50000173</v>
      </c>
      <c r="V319" s="12" t="n">
        <f aca="false">IF(U319-T319=0,"",(K319-T319)/(U319-T319))</f>
        <v>0.359741482440669</v>
      </c>
      <c r="W319" s="13" t="n">
        <f aca="false">IF(U319=0,"",K319/U319-1)</f>
        <v>-0.293988453426589</v>
      </c>
      <c r="X319" s="11" t="n">
        <v>71653</v>
      </c>
      <c r="Y319" s="5" t="s">
        <v>115</v>
      </c>
      <c r="Z319" s="5" t="s">
        <v>117</v>
      </c>
      <c r="AA319" s="5" t="s">
        <v>116</v>
      </c>
      <c r="AB319" s="5"/>
      <c r="AC319" s="5" t="s">
        <v>1079</v>
      </c>
      <c r="AD319" s="14" t="n">
        <v>46288.771875</v>
      </c>
    </row>
    <row r="320" customFormat="false" ht="15" hidden="false" customHeight="false" outlineLevel="0" collapsed="false">
      <c r="A320" s="5" t="s">
        <v>1080</v>
      </c>
      <c r="B320" s="5" t="s">
        <v>1081</v>
      </c>
      <c r="C320" s="5" t="s">
        <v>55</v>
      </c>
      <c r="D320" s="5" t="s">
        <v>56</v>
      </c>
      <c r="E320" s="5" t="s">
        <v>127</v>
      </c>
      <c r="F320" s="5" t="s">
        <v>128</v>
      </c>
      <c r="G320" s="5" t="s">
        <v>59</v>
      </c>
      <c r="H320" s="5" t="s">
        <v>60</v>
      </c>
      <c r="I320" s="6" t="n">
        <v>0.05</v>
      </c>
      <c r="J320" s="7" t="n">
        <f aca="false">IF(I320="","",1/I320)</f>
        <v>20</v>
      </c>
      <c r="K320" s="8" t="n">
        <v>38.2</v>
      </c>
      <c r="L320" s="9" t="n">
        <v>0.08</v>
      </c>
      <c r="M320" s="10" t="n">
        <v>0.0021</v>
      </c>
      <c r="N320" s="8" t="n">
        <v>38.2</v>
      </c>
      <c r="O320" s="8" t="n">
        <v>38.2</v>
      </c>
      <c r="P320" s="8" t="n">
        <v>38.2</v>
      </c>
      <c r="Q320" s="8" t="n">
        <v>38.2</v>
      </c>
      <c r="R320" s="11" t="n">
        <v>2</v>
      </c>
      <c r="S320" s="11" t="n">
        <f aca="false">K320*R320</f>
        <v>76.4</v>
      </c>
      <c r="T320" s="8" t="n">
        <v>34.24</v>
      </c>
      <c r="U320" s="8" t="n">
        <v>53.2</v>
      </c>
      <c r="V320" s="12" t="n">
        <f aca="false">IF(U320-T320=0,"",(K320-T320)/(U320-T320))</f>
        <v>0.208860759493671</v>
      </c>
      <c r="W320" s="13" t="n">
        <f aca="false">IF(U320=0,"",K320/U320-1)</f>
        <v>-0.281954887218045</v>
      </c>
      <c r="X320" s="11" t="n">
        <v>89438</v>
      </c>
      <c r="Y320" s="5" t="s">
        <v>127</v>
      </c>
      <c r="Z320" s="5" t="s">
        <v>129</v>
      </c>
      <c r="AA320" s="5" t="s">
        <v>128</v>
      </c>
      <c r="AB320" s="5"/>
      <c r="AC320" s="5" t="s">
        <v>1082</v>
      </c>
      <c r="AD320" s="14" t="n">
        <v>46288.771875</v>
      </c>
    </row>
    <row r="321" customFormat="false" ht="15" hidden="false" customHeight="false" outlineLevel="0" collapsed="false">
      <c r="A321" s="5" t="s">
        <v>1083</v>
      </c>
      <c r="B321" s="5" t="s">
        <v>1084</v>
      </c>
      <c r="C321" s="5" t="s">
        <v>55</v>
      </c>
      <c r="D321" s="5" t="s">
        <v>56</v>
      </c>
      <c r="E321" s="5" t="s">
        <v>324</v>
      </c>
      <c r="F321" s="5" t="s">
        <v>325</v>
      </c>
      <c r="G321" s="5" t="s">
        <v>59</v>
      </c>
      <c r="H321" s="5" t="s">
        <v>86</v>
      </c>
      <c r="I321" s="6" t="n">
        <v>0.25</v>
      </c>
      <c r="J321" s="7" t="n">
        <f aca="false">IF(I321="","",1/I321)</f>
        <v>4</v>
      </c>
      <c r="K321" s="8" t="n">
        <v>59.22</v>
      </c>
      <c r="L321" s="9" t="n">
        <v>0.36</v>
      </c>
      <c r="M321" s="10" t="n">
        <v>0.0061</v>
      </c>
      <c r="N321" s="8" t="n">
        <v>59.22</v>
      </c>
      <c r="O321" s="8" t="n">
        <v>59.22</v>
      </c>
      <c r="P321" s="8" t="n">
        <v>59.22</v>
      </c>
      <c r="Q321" s="8" t="n">
        <v>59.22</v>
      </c>
      <c r="R321" s="11" t="n">
        <v>10</v>
      </c>
      <c r="S321" s="11" t="n">
        <f aca="false">K321*R321</f>
        <v>592.2</v>
      </c>
      <c r="T321" s="8" t="n">
        <v>51.96</v>
      </c>
      <c r="U321" s="8" t="n">
        <v>59.22</v>
      </c>
      <c r="V321" s="12" t="n">
        <f aca="false">IF(U321-T321=0,"",(K321-T321)/(U321-T321))</f>
        <v>1</v>
      </c>
      <c r="W321" s="13" t="n">
        <f aca="false">IF(U321=0,"",K321/U321-1)</f>
        <v>0</v>
      </c>
      <c r="X321" s="11" t="n">
        <v>181492</v>
      </c>
      <c r="Y321" s="5" t="s">
        <v>324</v>
      </c>
      <c r="Z321" s="5" t="s">
        <v>326</v>
      </c>
      <c r="AA321" s="5" t="s">
        <v>325</v>
      </c>
      <c r="AB321" s="5"/>
      <c r="AC321" s="5" t="s">
        <v>1085</v>
      </c>
      <c r="AD321" s="14" t="n">
        <v>46288.771875</v>
      </c>
    </row>
    <row r="322" customFormat="false" ht="15" hidden="false" customHeight="false" outlineLevel="0" collapsed="false">
      <c r="A322" s="5" t="s">
        <v>1086</v>
      </c>
      <c r="B322" s="5" t="s">
        <v>1087</v>
      </c>
      <c r="C322" s="5" t="s">
        <v>55</v>
      </c>
      <c r="D322" s="5" t="s">
        <v>56</v>
      </c>
      <c r="E322" s="5" t="s">
        <v>242</v>
      </c>
      <c r="F322" s="5" t="s">
        <v>243</v>
      </c>
      <c r="G322" s="5" t="s">
        <v>59</v>
      </c>
      <c r="H322" s="5" t="s">
        <v>60</v>
      </c>
      <c r="I322" s="6" t="n">
        <v>0.041667</v>
      </c>
      <c r="J322" s="7" t="n">
        <f aca="false">IF(I322="","",1/I322)</f>
        <v>23.999808001536</v>
      </c>
      <c r="K322" s="8" t="n">
        <v>58.43</v>
      </c>
      <c r="L322" s="9" t="n">
        <v>-0.96</v>
      </c>
      <c r="M322" s="10" t="n">
        <v>-0.0162</v>
      </c>
      <c r="N322" s="8" t="n">
        <v>58.61</v>
      </c>
      <c r="O322" s="8" t="n">
        <v>58.43</v>
      </c>
      <c r="P322" s="8" t="n">
        <v>58.61</v>
      </c>
      <c r="Q322" s="8" t="n">
        <v>58.43</v>
      </c>
      <c r="R322" s="11" t="n">
        <v>147</v>
      </c>
      <c r="S322" s="11" t="n">
        <f aca="false">K322*R322</f>
        <v>8589.21</v>
      </c>
      <c r="T322" s="8" t="n">
        <v>53.3333344</v>
      </c>
      <c r="U322" s="8" t="n">
        <v>68.90166804</v>
      </c>
      <c r="V322" s="12" t="n">
        <f aca="false">IF(U322-T322=0,"",(K322-T322)/(U322-T322))</f>
        <v>0.32737386786888</v>
      </c>
      <c r="W322" s="13" t="n">
        <f aca="false">IF(U322=0,"",K322/U322-1)</f>
        <v>-0.151979891603216</v>
      </c>
      <c r="X322" s="11" t="n">
        <v>370180</v>
      </c>
      <c r="Y322" s="5" t="s">
        <v>242</v>
      </c>
      <c r="Z322" s="5" t="s">
        <v>244</v>
      </c>
      <c r="AA322" s="5" t="s">
        <v>243</v>
      </c>
      <c r="AB322" s="5"/>
      <c r="AC322" s="5" t="s">
        <v>1088</v>
      </c>
      <c r="AD322" s="14" t="n">
        <v>46288.771875</v>
      </c>
    </row>
    <row r="323" customFormat="false" ht="15" hidden="false" customHeight="false" outlineLevel="0" collapsed="false">
      <c r="A323" s="5" t="s">
        <v>1089</v>
      </c>
      <c r="B323" s="5" t="s">
        <v>1090</v>
      </c>
      <c r="C323" s="5" t="s">
        <v>55</v>
      </c>
      <c r="D323" s="5" t="s">
        <v>56</v>
      </c>
      <c r="E323" s="5" t="s">
        <v>182</v>
      </c>
      <c r="F323" s="5" t="s">
        <v>183</v>
      </c>
      <c r="G323" s="5" t="s">
        <v>59</v>
      </c>
      <c r="H323" s="5" t="s">
        <v>60</v>
      </c>
      <c r="I323" s="6" t="n">
        <v>0.05</v>
      </c>
      <c r="J323" s="7" t="n">
        <f aca="false">IF(I323="","",1/I323)</f>
        <v>20</v>
      </c>
      <c r="K323" s="8" t="n">
        <v>8.48</v>
      </c>
      <c r="L323" s="9" t="n">
        <v>0.08</v>
      </c>
      <c r="M323" s="10" t="n">
        <v>0.0095</v>
      </c>
      <c r="N323" s="8" t="n">
        <v>8.23</v>
      </c>
      <c r="O323" s="8" t="n">
        <v>8.23</v>
      </c>
      <c r="P323" s="8" t="n">
        <v>8.48</v>
      </c>
      <c r="Q323" s="8" t="n">
        <v>8.48</v>
      </c>
      <c r="R323" s="11" t="n">
        <v>725</v>
      </c>
      <c r="S323" s="11" t="n">
        <f aca="false">K323*R323</f>
        <v>6148</v>
      </c>
      <c r="T323" s="8" t="n">
        <v>7.14</v>
      </c>
      <c r="U323" s="8" t="n">
        <v>11.7</v>
      </c>
      <c r="V323" s="12" t="n">
        <f aca="false">IF(U323-T323=0,"",(K323-T323)/(U323-T323))</f>
        <v>0.293859649122807</v>
      </c>
      <c r="W323" s="13" t="n">
        <f aca="false">IF(U323=0,"",K323/U323-1)</f>
        <v>-0.275213675213675</v>
      </c>
      <c r="X323" s="11" t="n">
        <v>211313</v>
      </c>
      <c r="Y323" s="5" t="s">
        <v>182</v>
      </c>
      <c r="Z323" s="5" t="s">
        <v>184</v>
      </c>
      <c r="AA323" s="5" t="s">
        <v>183</v>
      </c>
      <c r="AB323" s="5"/>
      <c r="AC323" s="5" t="s">
        <v>1091</v>
      </c>
      <c r="AD323" s="14" t="n">
        <v>46288.771875</v>
      </c>
    </row>
    <row r="324" customFormat="false" ht="15" hidden="false" customHeight="false" outlineLevel="0" collapsed="false">
      <c r="A324" s="5" t="s">
        <v>1092</v>
      </c>
      <c r="B324" s="5" t="s">
        <v>1093</v>
      </c>
      <c r="C324" s="5" t="s">
        <v>55</v>
      </c>
      <c r="D324" s="5" t="s">
        <v>56</v>
      </c>
      <c r="E324" s="5" t="s">
        <v>142</v>
      </c>
      <c r="F324" s="5" t="s">
        <v>143</v>
      </c>
      <c r="G324" s="5" t="s">
        <v>59</v>
      </c>
      <c r="H324" s="5" t="s">
        <v>60</v>
      </c>
      <c r="I324" s="6" t="n">
        <v>0.017857</v>
      </c>
      <c r="J324" s="7" t="n">
        <f aca="false">IF(I324="","",1/I324)</f>
        <v>56.000448003584</v>
      </c>
      <c r="K324" s="8" t="n">
        <v>47.57</v>
      </c>
      <c r="L324" s="9" t="n">
        <v>-0.33</v>
      </c>
      <c r="M324" s="10" t="n">
        <v>-0.0069</v>
      </c>
      <c r="N324" s="8" t="n">
        <v>47.92</v>
      </c>
      <c r="O324" s="8" t="n">
        <v>47.57</v>
      </c>
      <c r="P324" s="8" t="n">
        <v>47.92</v>
      </c>
      <c r="Q324" s="8" t="n">
        <v>47.57</v>
      </c>
      <c r="R324" s="11" t="n">
        <v>56</v>
      </c>
      <c r="S324" s="11" t="n">
        <f aca="false">K324*R324</f>
        <v>2663.92</v>
      </c>
      <c r="T324" s="8" t="n">
        <v>39.68285635</v>
      </c>
      <c r="U324" s="8" t="n">
        <v>66.96714152</v>
      </c>
      <c r="V324" s="12" t="n">
        <f aca="false">IF(U324-T324=0,"",(K324-T324)/(U324-T324))</f>
        <v>0.289072761146485</v>
      </c>
      <c r="W324" s="13" t="n">
        <f aca="false">IF(U324=0,"",K324/U324-1)</f>
        <v>-0.28965162734633</v>
      </c>
      <c r="X324" s="11" t="n">
        <v>370673</v>
      </c>
      <c r="Y324" s="5" t="s">
        <v>142</v>
      </c>
      <c r="Z324" s="5" t="s">
        <v>144</v>
      </c>
      <c r="AA324" s="5" t="s">
        <v>143</v>
      </c>
      <c r="AB324" s="5"/>
      <c r="AC324" s="5" t="s">
        <v>1094</v>
      </c>
      <c r="AD324" s="14" t="n">
        <v>46288.771875</v>
      </c>
    </row>
    <row r="325" customFormat="false" ht="15" hidden="false" customHeight="false" outlineLevel="0" collapsed="false">
      <c r="A325" s="5" t="s">
        <v>1095</v>
      </c>
      <c r="B325" s="5" t="s">
        <v>1096</v>
      </c>
      <c r="C325" s="5" t="s">
        <v>55</v>
      </c>
      <c r="D325" s="5" t="s">
        <v>56</v>
      </c>
      <c r="E325" s="5" t="s">
        <v>90</v>
      </c>
      <c r="F325" s="5" t="s">
        <v>91</v>
      </c>
      <c r="G325" s="5" t="s">
        <v>59</v>
      </c>
      <c r="H325" s="5" t="s">
        <v>60</v>
      </c>
      <c r="I325" s="6" t="n">
        <v>0.5</v>
      </c>
      <c r="J325" s="7" t="n">
        <f aca="false">IF(I325="","",1/I325)</f>
        <v>2</v>
      </c>
      <c r="K325" s="8" t="n">
        <v>170.33</v>
      </c>
      <c r="L325" s="9" t="n">
        <v>-7.86</v>
      </c>
      <c r="M325" s="10" t="n">
        <v>-0.0441</v>
      </c>
      <c r="N325" s="8" t="n">
        <v>170.33</v>
      </c>
      <c r="O325" s="8" t="n">
        <v>170.33</v>
      </c>
      <c r="P325" s="8" t="n">
        <v>170.33</v>
      </c>
      <c r="Q325" s="8" t="n">
        <v>170.33</v>
      </c>
      <c r="R325" s="11" t="n">
        <v>5</v>
      </c>
      <c r="S325" s="11" t="n">
        <f aca="false">K325*R325</f>
        <v>851.65</v>
      </c>
      <c r="T325" s="8" t="n">
        <v>170.33</v>
      </c>
      <c r="U325" s="8" t="n">
        <v>206.78</v>
      </c>
      <c r="V325" s="12" t="n">
        <f aca="false">IF(U325-T325=0,"",(K325-T325)/(U325-T325))</f>
        <v>0</v>
      </c>
      <c r="W325" s="13" t="n">
        <f aca="false">IF(U325=0,"",K325/U325-1)</f>
        <v>-0.17627430118967</v>
      </c>
      <c r="X325" s="11" t="n">
        <v>103140</v>
      </c>
      <c r="Y325" s="5" t="s">
        <v>90</v>
      </c>
      <c r="Z325" s="5" t="s">
        <v>92</v>
      </c>
      <c r="AA325" s="5" t="s">
        <v>91</v>
      </c>
      <c r="AB325" s="5"/>
      <c r="AC325" s="5" t="s">
        <v>1097</v>
      </c>
      <c r="AD325" s="14" t="n">
        <v>46288.771875</v>
      </c>
    </row>
    <row r="326" customFormat="false" ht="15" hidden="false" customHeight="false" outlineLevel="0" collapsed="false">
      <c r="A326" s="5" t="s">
        <v>1098</v>
      </c>
      <c r="B326" s="5" t="s">
        <v>1099</v>
      </c>
      <c r="C326" s="5" t="s">
        <v>55</v>
      </c>
      <c r="D326" s="5" t="s">
        <v>56</v>
      </c>
      <c r="E326" s="5" t="s">
        <v>242</v>
      </c>
      <c r="F326" s="5" t="s">
        <v>243</v>
      </c>
      <c r="G326" s="5" t="s">
        <v>59</v>
      </c>
      <c r="H326" s="5" t="s">
        <v>60</v>
      </c>
      <c r="I326" s="6" t="n">
        <v>1</v>
      </c>
      <c r="J326" s="7" t="n">
        <f aca="false">IF(I326="","",1/I326)</f>
        <v>1</v>
      </c>
      <c r="K326" s="8" t="n">
        <v>325.55</v>
      </c>
      <c r="L326" s="9" t="n">
        <v>-15</v>
      </c>
      <c r="M326" s="10" t="n">
        <v>-0.044</v>
      </c>
      <c r="N326" s="8" t="n">
        <v>325.55</v>
      </c>
      <c r="O326" s="8" t="n">
        <v>325.55</v>
      </c>
      <c r="P326" s="8" t="n">
        <v>325.55</v>
      </c>
      <c r="Q326" s="8" t="n">
        <v>325.55</v>
      </c>
      <c r="R326" s="11" t="n">
        <v>44</v>
      </c>
      <c r="S326" s="11" t="n">
        <f aca="false">K326*R326</f>
        <v>14324.2</v>
      </c>
      <c r="T326" s="8" t="n">
        <v>177.5</v>
      </c>
      <c r="U326" s="8" t="n">
        <v>350.28</v>
      </c>
      <c r="V326" s="12" t="n">
        <f aca="false">IF(U326-T326=0,"",(K326-T326)/(U326-T326))</f>
        <v>0.85687000810279</v>
      </c>
      <c r="W326" s="13" t="n">
        <f aca="false">IF(U326=0,"",K326/U326-1)</f>
        <v>-0.0706006623272809</v>
      </c>
      <c r="X326" s="11" t="n">
        <v>160030</v>
      </c>
      <c r="Y326" s="5" t="s">
        <v>242</v>
      </c>
      <c r="Z326" s="5" t="s">
        <v>244</v>
      </c>
      <c r="AA326" s="5" t="s">
        <v>243</v>
      </c>
      <c r="AB326" s="5"/>
      <c r="AC326" s="5" t="s">
        <v>1100</v>
      </c>
      <c r="AD326" s="14" t="n">
        <v>46288.771875</v>
      </c>
    </row>
    <row r="327" customFormat="false" ht="15" hidden="false" customHeight="false" outlineLevel="0" collapsed="false">
      <c r="A327" s="5" t="s">
        <v>1101</v>
      </c>
      <c r="B327" s="5" t="s">
        <v>1102</v>
      </c>
      <c r="C327" s="5" t="s">
        <v>55</v>
      </c>
      <c r="D327" s="5" t="s">
        <v>56</v>
      </c>
      <c r="E327" s="5" t="s">
        <v>65</v>
      </c>
      <c r="F327" s="5" t="s">
        <v>66</v>
      </c>
      <c r="G327" s="5" t="s">
        <v>59</v>
      </c>
      <c r="H327" s="5" t="s">
        <v>60</v>
      </c>
      <c r="I327" s="6" t="n">
        <v>0.5</v>
      </c>
      <c r="J327" s="7" t="n">
        <f aca="false">IF(I327="","",1/I327)</f>
        <v>2</v>
      </c>
      <c r="K327" s="8" t="n">
        <v>126.49</v>
      </c>
      <c r="L327" s="9" t="n">
        <v>4.5</v>
      </c>
      <c r="M327" s="10" t="n">
        <v>0.0369</v>
      </c>
      <c r="N327" s="8" t="n">
        <v>126.59</v>
      </c>
      <c r="O327" s="8" t="n">
        <v>125.8</v>
      </c>
      <c r="P327" s="8" t="n">
        <v>127.56</v>
      </c>
      <c r="Q327" s="8" t="n">
        <v>126.49</v>
      </c>
      <c r="R327" s="11" t="n">
        <v>1112</v>
      </c>
      <c r="S327" s="11" t="n">
        <f aca="false">K327*R327</f>
        <v>140656.88</v>
      </c>
      <c r="T327" s="8" t="n">
        <v>95.68</v>
      </c>
      <c r="U327" s="8" t="n">
        <v>175</v>
      </c>
      <c r="V327" s="12" t="n">
        <f aca="false">IF(U327-T327=0,"",(K327-T327)/(U327-T327))</f>
        <v>0.388426626323752</v>
      </c>
      <c r="W327" s="13" t="n">
        <f aca="false">IF(U327=0,"",K327/U327-1)</f>
        <v>-0.2772</v>
      </c>
      <c r="X327" s="11" t="n">
        <v>26645</v>
      </c>
      <c r="Y327" s="5" t="s">
        <v>65</v>
      </c>
      <c r="Z327" s="5" t="s">
        <v>67</v>
      </c>
      <c r="AA327" s="5" t="s">
        <v>66</v>
      </c>
      <c r="AB327" s="5"/>
      <c r="AC327" s="5" t="s">
        <v>1103</v>
      </c>
      <c r="AD327" s="14" t="n">
        <v>46288.771875</v>
      </c>
    </row>
    <row r="328" customFormat="false" ht="15" hidden="false" customHeight="false" outlineLevel="0" collapsed="false">
      <c r="A328" s="5" t="s">
        <v>1104</v>
      </c>
      <c r="B328" s="5" t="s">
        <v>1105</v>
      </c>
      <c r="C328" s="5" t="s">
        <v>55</v>
      </c>
      <c r="D328" s="5" t="s">
        <v>56</v>
      </c>
      <c r="E328" s="5" t="s">
        <v>99</v>
      </c>
      <c r="F328" s="5" t="s">
        <v>100</v>
      </c>
      <c r="G328" s="5" t="s">
        <v>59</v>
      </c>
      <c r="H328" s="5" t="s">
        <v>60</v>
      </c>
      <c r="I328" s="6" t="n">
        <v>0.1</v>
      </c>
      <c r="J328" s="7" t="n">
        <f aca="false">IF(I328="","",1/I328)</f>
        <v>10</v>
      </c>
      <c r="K328" s="8" t="n">
        <v>27.96</v>
      </c>
      <c r="L328" s="9" t="n">
        <v>-0.65</v>
      </c>
      <c r="M328" s="10" t="n">
        <v>-0.0227</v>
      </c>
      <c r="N328" s="8" t="n">
        <v>28.02</v>
      </c>
      <c r="O328" s="8" t="n">
        <v>27.96</v>
      </c>
      <c r="P328" s="8" t="n">
        <v>28.14</v>
      </c>
      <c r="Q328" s="8" t="n">
        <v>27.96</v>
      </c>
      <c r="R328" s="11" t="n">
        <v>7</v>
      </c>
      <c r="S328" s="11" t="n">
        <f aca="false">K328*R328</f>
        <v>195.72</v>
      </c>
      <c r="T328" s="8" t="n">
        <v>27</v>
      </c>
      <c r="U328" s="8" t="n">
        <v>47</v>
      </c>
      <c r="V328" s="12" t="n">
        <f aca="false">IF(U328-T328=0,"",(K328-T328)/(U328-T328))</f>
        <v>0.048</v>
      </c>
      <c r="W328" s="13" t="n">
        <f aca="false">IF(U328=0,"",K328/U328-1)</f>
        <v>-0.405106382978723</v>
      </c>
      <c r="X328" s="11" t="n">
        <v>53806</v>
      </c>
      <c r="Y328" s="5" t="s">
        <v>99</v>
      </c>
      <c r="Z328" s="5" t="s">
        <v>101</v>
      </c>
      <c r="AA328" s="5" t="s">
        <v>100</v>
      </c>
      <c r="AB328" s="5"/>
      <c r="AC328" s="5" t="s">
        <v>1106</v>
      </c>
      <c r="AD328" s="14" t="n">
        <v>46288.771875</v>
      </c>
    </row>
    <row r="329" customFormat="false" ht="15" hidden="false" customHeight="false" outlineLevel="0" collapsed="false">
      <c r="A329" s="5" t="s">
        <v>1107</v>
      </c>
      <c r="B329" s="5" t="s">
        <v>1108</v>
      </c>
      <c r="C329" s="5" t="s">
        <v>55</v>
      </c>
      <c r="D329" s="5" t="s">
        <v>56</v>
      </c>
      <c r="E329" s="5" t="s">
        <v>273</v>
      </c>
      <c r="F329" s="5" t="s">
        <v>274</v>
      </c>
      <c r="G329" s="5" t="s">
        <v>59</v>
      </c>
      <c r="H329" s="5" t="s">
        <v>60</v>
      </c>
      <c r="I329" s="6" t="n">
        <v>1</v>
      </c>
      <c r="J329" s="7" t="n">
        <f aca="false">IF(I329="","",1/I329)</f>
        <v>1</v>
      </c>
      <c r="K329" s="8" t="n">
        <v>103.2</v>
      </c>
      <c r="L329" s="9" t="n">
        <v>-7.35</v>
      </c>
      <c r="M329" s="10" t="n">
        <v>-0.0665</v>
      </c>
      <c r="N329" s="8" t="n">
        <v>103.2</v>
      </c>
      <c r="O329" s="8" t="n">
        <v>103.2</v>
      </c>
      <c r="P329" s="8" t="n">
        <v>103.2</v>
      </c>
      <c r="Q329" s="8" t="n">
        <v>103.2</v>
      </c>
      <c r="R329" s="11" t="n">
        <v>9</v>
      </c>
      <c r="S329" s="11" t="n">
        <f aca="false">K329*R329</f>
        <v>928.8</v>
      </c>
      <c r="T329" s="8" t="n">
        <v>98.7</v>
      </c>
      <c r="U329" s="8" t="n">
        <v>181.8</v>
      </c>
      <c r="V329" s="12" t="n">
        <f aca="false">IF(U329-T329=0,"",(K329-T329)/(U329-T329))</f>
        <v>0.0541516245487365</v>
      </c>
      <c r="W329" s="13" t="n">
        <f aca="false">IF(U329=0,"",K329/U329-1)</f>
        <v>-0.432343234323432</v>
      </c>
      <c r="X329" s="11" t="n">
        <v>30843</v>
      </c>
      <c r="Y329" s="5" t="s">
        <v>273</v>
      </c>
      <c r="Z329" s="5" t="s">
        <v>275</v>
      </c>
      <c r="AA329" s="5" t="s">
        <v>274</v>
      </c>
      <c r="AB329" s="5"/>
      <c r="AC329" s="5" t="s">
        <v>1109</v>
      </c>
      <c r="AD329" s="14" t="n">
        <v>46288.771875</v>
      </c>
    </row>
    <row r="330" customFormat="false" ht="15" hidden="false" customHeight="false" outlineLevel="0" collapsed="false">
      <c r="A330" s="5" t="s">
        <v>1110</v>
      </c>
      <c r="B330" s="5" t="s">
        <v>1111</v>
      </c>
      <c r="C330" s="5" t="s">
        <v>55</v>
      </c>
      <c r="D330" s="5" t="s">
        <v>56</v>
      </c>
      <c r="E330" s="5" t="s">
        <v>57</v>
      </c>
      <c r="F330" s="5" t="s">
        <v>58</v>
      </c>
      <c r="G330" s="5" t="s">
        <v>59</v>
      </c>
      <c r="H330" s="5" t="s">
        <v>60</v>
      </c>
      <c r="I330" s="6" t="n">
        <v>0.5</v>
      </c>
      <c r="J330" s="7" t="n">
        <f aca="false">IF(I330="","",1/I330)</f>
        <v>2</v>
      </c>
      <c r="K330" s="8" t="n">
        <v>74.1</v>
      </c>
      <c r="L330" s="9" t="n">
        <v>0.02</v>
      </c>
      <c r="M330" s="10" t="n">
        <v>0.0003</v>
      </c>
      <c r="N330" s="8" t="n">
        <v>73.16</v>
      </c>
      <c r="O330" s="8" t="n">
        <v>73.16</v>
      </c>
      <c r="P330" s="8" t="n">
        <v>74.1</v>
      </c>
      <c r="Q330" s="8" t="n">
        <v>74.1</v>
      </c>
      <c r="R330" s="11" t="n">
        <v>300</v>
      </c>
      <c r="S330" s="11" t="n">
        <f aca="false">K330*R330</f>
        <v>22230</v>
      </c>
      <c r="T330" s="8" t="n">
        <v>68.19</v>
      </c>
      <c r="U330" s="8" t="n">
        <v>121.56</v>
      </c>
      <c r="V330" s="12" t="n">
        <f aca="false">IF(U330-T330=0,"",(K330-T330)/(U330-T330))</f>
        <v>0.110736368746487</v>
      </c>
      <c r="W330" s="13" t="n">
        <f aca="false">IF(U330=0,"",K330/U330-1)</f>
        <v>-0.390424481737414</v>
      </c>
      <c r="X330" s="11" t="n">
        <v>136432</v>
      </c>
      <c r="Y330" s="5" t="s">
        <v>57</v>
      </c>
      <c r="Z330" s="5" t="s">
        <v>61</v>
      </c>
      <c r="AA330" s="5" t="s">
        <v>58</v>
      </c>
      <c r="AB330" s="5"/>
      <c r="AC330" s="5" t="s">
        <v>1112</v>
      </c>
      <c r="AD330" s="14" t="n">
        <v>46288.771875</v>
      </c>
    </row>
    <row r="331" customFormat="false" ht="15" hidden="false" customHeight="false" outlineLevel="0" collapsed="false">
      <c r="A331" s="5" t="s">
        <v>1113</v>
      </c>
      <c r="B331" s="5" t="s">
        <v>1114</v>
      </c>
      <c r="C331" s="5" t="s">
        <v>55</v>
      </c>
      <c r="D331" s="5" t="s">
        <v>56</v>
      </c>
      <c r="E331" s="5" t="s">
        <v>115</v>
      </c>
      <c r="F331" s="5" t="s">
        <v>116</v>
      </c>
      <c r="G331" s="5" t="s">
        <v>59</v>
      </c>
      <c r="H331" s="5" t="s">
        <v>60</v>
      </c>
      <c r="I331" s="6" t="n">
        <v>0.04</v>
      </c>
      <c r="J331" s="7" t="n">
        <f aca="false">IF(I331="","",1/I331)</f>
        <v>25</v>
      </c>
      <c r="K331" s="8" t="n">
        <v>42.9</v>
      </c>
      <c r="L331" s="9" t="n">
        <v>-0.5</v>
      </c>
      <c r="M331" s="10" t="n">
        <v>-0.0115</v>
      </c>
      <c r="N331" s="8" t="n">
        <v>43.04</v>
      </c>
      <c r="O331" s="8" t="n">
        <v>42.9</v>
      </c>
      <c r="P331" s="8" t="n">
        <v>43.04</v>
      </c>
      <c r="Q331" s="8" t="n">
        <v>42.9</v>
      </c>
      <c r="R331" s="11" t="n">
        <v>7</v>
      </c>
      <c r="S331" s="11" t="n">
        <f aca="false">K331*R331</f>
        <v>300.3</v>
      </c>
      <c r="T331" s="8" t="n">
        <v>35.72</v>
      </c>
      <c r="U331" s="8" t="n">
        <v>43.4</v>
      </c>
      <c r="V331" s="12" t="n">
        <f aca="false">IF(U331-T331=0,"",(K331-T331)/(U331-T331))</f>
        <v>0.934895833333333</v>
      </c>
      <c r="W331" s="13" t="n">
        <f aca="false">IF(U331=0,"",K331/U331-1)</f>
        <v>-0.0115207373271889</v>
      </c>
      <c r="X331" s="11" t="n">
        <v>243335</v>
      </c>
      <c r="Y331" s="5" t="s">
        <v>115</v>
      </c>
      <c r="Z331" s="5" t="s">
        <v>117</v>
      </c>
      <c r="AA331" s="5" t="s">
        <v>116</v>
      </c>
      <c r="AB331" s="5"/>
      <c r="AC331" s="5" t="s">
        <v>1115</v>
      </c>
      <c r="AD331" s="14" t="n">
        <v>46288.771875</v>
      </c>
    </row>
    <row r="332" customFormat="false" ht="15" hidden="false" customHeight="false" outlineLevel="0" collapsed="false">
      <c r="A332" s="5" t="s">
        <v>1116</v>
      </c>
      <c r="B332" s="5" t="s">
        <v>1117</v>
      </c>
      <c r="C332" s="5" t="s">
        <v>55</v>
      </c>
      <c r="D332" s="5" t="s">
        <v>56</v>
      </c>
      <c r="E332" s="5" t="s">
        <v>312</v>
      </c>
      <c r="F332" s="5" t="s">
        <v>313</v>
      </c>
      <c r="G332" s="5" t="s">
        <v>59</v>
      </c>
      <c r="H332" s="5" t="s">
        <v>60</v>
      </c>
      <c r="I332" s="6" t="n">
        <v>0.166666667</v>
      </c>
      <c r="J332" s="7" t="n">
        <f aca="false">IF(I332="","",1/I332)</f>
        <v>5.999999988</v>
      </c>
      <c r="K332" s="8" t="n">
        <v>74.12</v>
      </c>
      <c r="L332" s="9" t="n">
        <v>0.34</v>
      </c>
      <c r="M332" s="10" t="n">
        <v>0.0046</v>
      </c>
      <c r="N332" s="8" t="n">
        <v>75.6</v>
      </c>
      <c r="O332" s="8" t="n">
        <v>73.14</v>
      </c>
      <c r="P332" s="8" t="n">
        <v>75.6</v>
      </c>
      <c r="Q332" s="8" t="n">
        <v>74.12</v>
      </c>
      <c r="R332" s="11" t="n">
        <v>141</v>
      </c>
      <c r="S332" s="11" t="n">
        <f aca="false">K332*R332</f>
        <v>10450.92</v>
      </c>
      <c r="T332" s="8" t="n">
        <v>73.14</v>
      </c>
      <c r="U332" s="8" t="n">
        <v>119.49</v>
      </c>
      <c r="V332" s="12" t="n">
        <f aca="false">IF(U332-T332=0,"",(K332-T332)/(U332-T332))</f>
        <v>0.0211434735706581</v>
      </c>
      <c r="W332" s="13" t="n">
        <f aca="false">IF(U332=0,"",K332/U332-1)</f>
        <v>-0.379697045777889</v>
      </c>
      <c r="X332" s="11" t="n">
        <v>299753</v>
      </c>
      <c r="Y332" s="5" t="s">
        <v>312</v>
      </c>
      <c r="Z332" s="5" t="s">
        <v>314</v>
      </c>
      <c r="AA332" s="5" t="s">
        <v>313</v>
      </c>
      <c r="AB332" s="5"/>
      <c r="AC332" s="5" t="s">
        <v>1118</v>
      </c>
      <c r="AD332" s="14" t="n">
        <v>46288.771875</v>
      </c>
    </row>
    <row r="333" customFormat="false" ht="15" hidden="false" customHeight="false" outlineLevel="0" collapsed="false">
      <c r="A333" s="5" t="s">
        <v>1119</v>
      </c>
      <c r="B333" s="5" t="s">
        <v>1120</v>
      </c>
      <c r="C333" s="5" t="s">
        <v>55</v>
      </c>
      <c r="D333" s="5" t="s">
        <v>56</v>
      </c>
      <c r="E333" s="5" t="s">
        <v>142</v>
      </c>
      <c r="F333" s="5" t="s">
        <v>143</v>
      </c>
      <c r="G333" s="5" t="s">
        <v>59</v>
      </c>
      <c r="H333" s="5" t="s">
        <v>60</v>
      </c>
      <c r="I333" s="6" t="n">
        <v>0.25</v>
      </c>
      <c r="J333" s="7" t="n">
        <f aca="false">IF(I333="","",1/I333)</f>
        <v>4</v>
      </c>
      <c r="K333" s="8" t="n">
        <v>71.33</v>
      </c>
      <c r="L333" s="9" t="n">
        <v>0.42</v>
      </c>
      <c r="M333" s="10" t="n">
        <v>0.0059</v>
      </c>
      <c r="N333" s="8" t="n">
        <v>71.33</v>
      </c>
      <c r="O333" s="8" t="n">
        <v>71.33</v>
      </c>
      <c r="P333" s="8" t="n">
        <v>71.33</v>
      </c>
      <c r="Q333" s="8" t="n">
        <v>71.33</v>
      </c>
      <c r="R333" s="11" t="n">
        <v>4</v>
      </c>
      <c r="S333" s="11" t="n">
        <f aca="false">K333*R333</f>
        <v>285.32</v>
      </c>
      <c r="T333" s="8" t="n">
        <v>68.8</v>
      </c>
      <c r="U333" s="8" t="n">
        <v>99</v>
      </c>
      <c r="V333" s="12" t="n">
        <f aca="false">IF(U333-T333=0,"",(K333-T333)/(U333-T333))</f>
        <v>0.0837748344370861</v>
      </c>
      <c r="W333" s="13" t="n">
        <f aca="false">IF(U333=0,"",K333/U333-1)</f>
        <v>-0.279494949494949</v>
      </c>
      <c r="X333" s="11" t="n">
        <v>233123</v>
      </c>
      <c r="Y333" s="5" t="s">
        <v>142</v>
      </c>
      <c r="Z333" s="5" t="s">
        <v>144</v>
      </c>
      <c r="AA333" s="5" t="s">
        <v>143</v>
      </c>
      <c r="AB333" s="5"/>
      <c r="AC333" s="5" t="s">
        <v>1121</v>
      </c>
      <c r="AD333" s="14" t="n">
        <v>46288.771875</v>
      </c>
    </row>
    <row r="334" customFormat="false" ht="15" hidden="false" customHeight="false" outlineLevel="0" collapsed="false">
      <c r="A334" s="5" t="s">
        <v>1122</v>
      </c>
      <c r="B334" s="5" t="s">
        <v>1123</v>
      </c>
      <c r="C334" s="5" t="s">
        <v>55</v>
      </c>
      <c r="D334" s="5" t="s">
        <v>56</v>
      </c>
      <c r="E334" s="5" t="s">
        <v>65</v>
      </c>
      <c r="F334" s="5" t="s">
        <v>66</v>
      </c>
      <c r="G334" s="5" t="s">
        <v>59</v>
      </c>
      <c r="H334" s="5" t="s">
        <v>60</v>
      </c>
      <c r="I334" s="6" t="n">
        <v>0.25</v>
      </c>
      <c r="J334" s="7" t="n">
        <f aca="false">IF(I334="","",1/I334)</f>
        <v>4</v>
      </c>
      <c r="K334" s="8" t="n">
        <v>101.11</v>
      </c>
      <c r="L334" s="9" t="n">
        <v>-2.39</v>
      </c>
      <c r="M334" s="10" t="n">
        <v>-0.0231</v>
      </c>
      <c r="N334" s="8" t="n">
        <v>102.19</v>
      </c>
      <c r="O334" s="8" t="n">
        <v>101.11</v>
      </c>
      <c r="P334" s="8" t="n">
        <v>102.19</v>
      </c>
      <c r="Q334" s="8" t="n">
        <v>101.11</v>
      </c>
      <c r="R334" s="11" t="n">
        <v>10</v>
      </c>
      <c r="S334" s="11" t="n">
        <f aca="false">K334*R334</f>
        <v>1011.1</v>
      </c>
      <c r="T334" s="8" t="n">
        <v>80</v>
      </c>
      <c r="U334" s="8" t="n">
        <v>115.51</v>
      </c>
      <c r="V334" s="12" t="n">
        <f aca="false">IF(U334-T334=0,"",(K334-T334)/(U334-T334))</f>
        <v>0.594480428048437</v>
      </c>
      <c r="W334" s="13" t="n">
        <f aca="false">IF(U334=0,"",K334/U334-1)</f>
        <v>-0.124664531209419</v>
      </c>
      <c r="X334" s="11" t="n">
        <v>274322</v>
      </c>
      <c r="Y334" s="5" t="s">
        <v>65</v>
      </c>
      <c r="Z334" s="5" t="s">
        <v>67</v>
      </c>
      <c r="AA334" s="5" t="s">
        <v>66</v>
      </c>
      <c r="AB334" s="5"/>
      <c r="AC334" s="5" t="s">
        <v>1124</v>
      </c>
      <c r="AD334" s="14" t="n">
        <v>46288.771875</v>
      </c>
    </row>
    <row r="335" customFormat="false" ht="15" hidden="false" customHeight="false" outlineLevel="0" collapsed="false">
      <c r="A335" s="5" t="s">
        <v>1125</v>
      </c>
      <c r="B335" s="5" t="s">
        <v>1126</v>
      </c>
      <c r="C335" s="5" t="s">
        <v>55</v>
      </c>
      <c r="D335" s="5" t="s">
        <v>56</v>
      </c>
      <c r="E335" s="5" t="s">
        <v>115</v>
      </c>
      <c r="F335" s="5" t="s">
        <v>116</v>
      </c>
      <c r="G335" s="5" t="s">
        <v>59</v>
      </c>
      <c r="H335" s="5" t="s">
        <v>60</v>
      </c>
      <c r="I335" s="6" t="n">
        <v>0.00128205</v>
      </c>
      <c r="J335" s="7" t="n">
        <f aca="false">IF(I335="","",1/I335)</f>
        <v>780.00078000078</v>
      </c>
      <c r="K335" s="8" t="n">
        <v>4.11</v>
      </c>
      <c r="L335" s="9" t="n">
        <v>0.02</v>
      </c>
      <c r="M335" s="10" t="n">
        <v>0.0049</v>
      </c>
      <c r="N335" s="8" t="n">
        <v>4.09</v>
      </c>
      <c r="O335" s="8" t="n">
        <v>4.08</v>
      </c>
      <c r="P335" s="8" t="n">
        <v>4.12</v>
      </c>
      <c r="Q335" s="8" t="n">
        <v>4.11</v>
      </c>
      <c r="R335" s="11" t="n">
        <v>736</v>
      </c>
      <c r="S335" s="11" t="n">
        <f aca="false">K335*R335</f>
        <v>3024.96</v>
      </c>
      <c r="T335" s="8" t="n">
        <v>2.5</v>
      </c>
      <c r="U335" s="8" t="n">
        <v>4.75</v>
      </c>
      <c r="V335" s="12" t="n">
        <f aca="false">IF(U335-T335=0,"",(K335-T335)/(U335-T335))</f>
        <v>0.715555555555556</v>
      </c>
      <c r="W335" s="13" t="n">
        <f aca="false">IF(U335=0,"",K335/U335-1)</f>
        <v>-0.134736842105263</v>
      </c>
      <c r="X335" s="11" t="n">
        <v>69355</v>
      </c>
      <c r="Y335" s="5" t="s">
        <v>115</v>
      </c>
      <c r="Z335" s="5" t="s">
        <v>117</v>
      </c>
      <c r="AA335" s="5" t="s">
        <v>116</v>
      </c>
      <c r="AB335" s="5"/>
      <c r="AC335" s="5" t="s">
        <v>1127</v>
      </c>
      <c r="AD335" s="14" t="n">
        <v>46288.771875</v>
      </c>
    </row>
    <row r="336" customFormat="false" ht="15" hidden="false" customHeight="false" outlineLevel="0" collapsed="false">
      <c r="A336" s="5" t="s">
        <v>1128</v>
      </c>
      <c r="B336" s="5" t="s">
        <v>1129</v>
      </c>
      <c r="C336" s="5" t="s">
        <v>55</v>
      </c>
      <c r="D336" s="5" t="s">
        <v>56</v>
      </c>
      <c r="E336" s="5" t="s">
        <v>273</v>
      </c>
      <c r="F336" s="5" t="s">
        <v>274</v>
      </c>
      <c r="G336" s="5" t="s">
        <v>59</v>
      </c>
      <c r="H336" s="5" t="s">
        <v>86</v>
      </c>
      <c r="I336" s="6" t="n">
        <v>0.2</v>
      </c>
      <c r="J336" s="7" t="n">
        <f aca="false">IF(I336="","",1/I336)</f>
        <v>5</v>
      </c>
      <c r="K336" s="8" t="n">
        <v>114.07</v>
      </c>
      <c r="L336" s="9" t="n">
        <v>1.21</v>
      </c>
      <c r="M336" s="10" t="n">
        <v>0.0107</v>
      </c>
      <c r="N336" s="8" t="n">
        <v>114.18</v>
      </c>
      <c r="O336" s="8" t="n">
        <v>114.07</v>
      </c>
      <c r="P336" s="8" t="n">
        <v>114.18</v>
      </c>
      <c r="Q336" s="8" t="n">
        <v>114.07</v>
      </c>
      <c r="R336" s="11" t="n">
        <v>1000</v>
      </c>
      <c r="S336" s="11" t="n">
        <f aca="false">K336*R336</f>
        <v>114070</v>
      </c>
      <c r="T336" s="8" t="n">
        <v>86.85</v>
      </c>
      <c r="U336" s="8" t="n">
        <v>120</v>
      </c>
      <c r="V336" s="12" t="n">
        <f aca="false">IF(U336-T336=0,"",(K336-T336)/(U336-T336))</f>
        <v>0.821116138763197</v>
      </c>
      <c r="W336" s="13" t="n">
        <f aca="false">IF(U336=0,"",K336/U336-1)</f>
        <v>-0.0494166666666668</v>
      </c>
      <c r="X336" s="11" t="n">
        <v>30024</v>
      </c>
      <c r="Y336" s="5" t="s">
        <v>273</v>
      </c>
      <c r="Z336" s="5" t="s">
        <v>275</v>
      </c>
      <c r="AA336" s="5" t="s">
        <v>274</v>
      </c>
      <c r="AB336" s="5"/>
      <c r="AC336" s="5" t="s">
        <v>1130</v>
      </c>
      <c r="AD336" s="14" t="n">
        <v>46288.771875</v>
      </c>
    </row>
    <row r="337" customFormat="false" ht="15" hidden="false" customHeight="false" outlineLevel="0" collapsed="false">
      <c r="A337" s="5" t="s">
        <v>1131</v>
      </c>
      <c r="B337" s="5" t="s">
        <v>1132</v>
      </c>
      <c r="C337" s="5" t="s">
        <v>55</v>
      </c>
      <c r="D337" s="5" t="s">
        <v>56</v>
      </c>
      <c r="E337" s="5" t="s">
        <v>312</v>
      </c>
      <c r="F337" s="5" t="s">
        <v>313</v>
      </c>
      <c r="G337" s="5" t="s">
        <v>59</v>
      </c>
      <c r="H337" s="5" t="s">
        <v>86</v>
      </c>
      <c r="I337" s="6" t="n">
        <v>1</v>
      </c>
      <c r="J337" s="7" t="n">
        <f aca="false">IF(I337="","",1/I337)</f>
        <v>1</v>
      </c>
      <c r="K337" s="8" t="n">
        <v>52</v>
      </c>
      <c r="L337" s="9" t="n">
        <v>-3.3</v>
      </c>
      <c r="M337" s="10" t="n">
        <v>-0.0597</v>
      </c>
      <c r="N337" s="8" t="n">
        <v>55.14</v>
      </c>
      <c r="O337" s="8" t="n">
        <v>52</v>
      </c>
      <c r="P337" s="8" t="n">
        <v>55.14</v>
      </c>
      <c r="Q337" s="8" t="n">
        <v>52</v>
      </c>
      <c r="R337" s="11" t="n">
        <v>30</v>
      </c>
      <c r="S337" s="11" t="n">
        <f aca="false">K337*R337</f>
        <v>1560</v>
      </c>
      <c r="T337" s="8" t="n">
        <v>52</v>
      </c>
      <c r="U337" s="8" t="n">
        <v>65.88</v>
      </c>
      <c r="V337" s="12" t="n">
        <f aca="false">IF(U337-T337=0,"",(K337-T337)/(U337-T337))</f>
        <v>0</v>
      </c>
      <c r="W337" s="13" t="n">
        <f aca="false">IF(U337=0,"",K337/U337-1)</f>
        <v>-0.210686095931998</v>
      </c>
      <c r="X337" s="11" t="n">
        <v>79528</v>
      </c>
      <c r="Y337" s="5" t="s">
        <v>312</v>
      </c>
      <c r="Z337" s="5" t="s">
        <v>314</v>
      </c>
      <c r="AA337" s="5" t="s">
        <v>313</v>
      </c>
      <c r="AB337" s="5"/>
      <c r="AC337" s="5" t="s">
        <v>1133</v>
      </c>
      <c r="AD337" s="14" t="n">
        <v>46288.771875</v>
      </c>
    </row>
    <row r="338" customFormat="false" ht="15" hidden="false" customHeight="false" outlineLevel="0" collapsed="false">
      <c r="A338" s="5" t="s">
        <v>1134</v>
      </c>
      <c r="B338" s="5" t="s">
        <v>1135</v>
      </c>
      <c r="C338" s="5" t="s">
        <v>55</v>
      </c>
      <c r="D338" s="5" t="s">
        <v>56</v>
      </c>
      <c r="E338" s="5" t="s">
        <v>77</v>
      </c>
      <c r="F338" s="5" t="s">
        <v>78</v>
      </c>
      <c r="G338" s="5" t="s">
        <v>59</v>
      </c>
      <c r="H338" s="5" t="s">
        <v>60</v>
      </c>
      <c r="I338" s="6" t="n">
        <v>0.125</v>
      </c>
      <c r="J338" s="7" t="n">
        <f aca="false">IF(I338="","",1/I338)</f>
        <v>8</v>
      </c>
      <c r="K338" s="8" t="n">
        <v>37.68</v>
      </c>
      <c r="L338" s="9" t="n">
        <v>-2.16</v>
      </c>
      <c r="M338" s="10" t="n">
        <v>-0.0542</v>
      </c>
      <c r="N338" s="8" t="n">
        <v>37.37</v>
      </c>
      <c r="O338" s="8" t="n">
        <v>37.32</v>
      </c>
      <c r="P338" s="8" t="n">
        <v>38.16</v>
      </c>
      <c r="Q338" s="8" t="n">
        <v>37.68</v>
      </c>
      <c r="R338" s="11" t="n">
        <v>343</v>
      </c>
      <c r="S338" s="11" t="n">
        <f aca="false">K338*R338</f>
        <v>12924.24</v>
      </c>
      <c r="T338" s="8" t="n">
        <v>21.51</v>
      </c>
      <c r="U338" s="8" t="n">
        <v>47.2</v>
      </c>
      <c r="V338" s="12" t="n">
        <f aca="false">IF(U338-T338=0,"",(K338-T338)/(U338-T338))</f>
        <v>0.629427792915531</v>
      </c>
      <c r="W338" s="13" t="n">
        <f aca="false">IF(U338=0,"",K338/U338-1)</f>
        <v>-0.201694915254237</v>
      </c>
      <c r="X338" s="11" t="n">
        <v>50768</v>
      </c>
      <c r="Y338" s="5" t="s">
        <v>77</v>
      </c>
      <c r="Z338" s="5" t="s">
        <v>79</v>
      </c>
      <c r="AA338" s="5" t="s">
        <v>78</v>
      </c>
      <c r="AB338" s="5"/>
      <c r="AC338" s="5" t="s">
        <v>1136</v>
      </c>
      <c r="AD338" s="14" t="n">
        <v>46288.771875</v>
      </c>
    </row>
    <row r="339" customFormat="false" ht="15" hidden="false" customHeight="false" outlineLevel="0" collapsed="false">
      <c r="A339" s="5" t="s">
        <v>1137</v>
      </c>
      <c r="B339" s="5" t="s">
        <v>1138</v>
      </c>
      <c r="C339" s="5" t="s">
        <v>55</v>
      </c>
      <c r="D339" s="5" t="s">
        <v>56</v>
      </c>
      <c r="E339" s="5" t="s">
        <v>142</v>
      </c>
      <c r="F339" s="5" t="s">
        <v>143</v>
      </c>
      <c r="G339" s="5" t="s">
        <v>59</v>
      </c>
      <c r="H339" s="5" t="s">
        <v>60</v>
      </c>
      <c r="I339" s="6" t="n">
        <v>0.3333</v>
      </c>
      <c r="J339" s="7" t="n">
        <f aca="false">IF(I339="","",1/I339)</f>
        <v>3.000300030003</v>
      </c>
      <c r="K339" s="8" t="n">
        <v>16.66</v>
      </c>
      <c r="L339" s="9" t="n">
        <v>0.4</v>
      </c>
      <c r="M339" s="10" t="n">
        <v>0.0246</v>
      </c>
      <c r="N339" s="8" t="n">
        <v>16.66</v>
      </c>
      <c r="O339" s="8" t="n">
        <v>16.66</v>
      </c>
      <c r="P339" s="8" t="n">
        <v>16.66</v>
      </c>
      <c r="Q339" s="8" t="n">
        <v>16.66</v>
      </c>
      <c r="R339" s="11" t="n">
        <v>194</v>
      </c>
      <c r="S339" s="11" t="n">
        <f aca="false">K339*R339</f>
        <v>3232.04</v>
      </c>
      <c r="T339" s="8" t="n">
        <v>7.85</v>
      </c>
      <c r="U339" s="8" t="n">
        <v>22.45</v>
      </c>
      <c r="V339" s="12" t="n">
        <f aca="false">IF(U339-T339=0,"",(K339-T339)/(U339-T339))</f>
        <v>0.603424657534247</v>
      </c>
      <c r="W339" s="13" t="n">
        <f aca="false">IF(U339=0,"",K339/U339-1)</f>
        <v>-0.257906458797327</v>
      </c>
      <c r="X339" s="11" t="n">
        <v>1354</v>
      </c>
      <c r="Y339" s="5" t="s">
        <v>142</v>
      </c>
      <c r="Z339" s="5" t="s">
        <v>144</v>
      </c>
      <c r="AA339" s="5" t="s">
        <v>143</v>
      </c>
      <c r="AB339" s="5"/>
      <c r="AC339" s="5" t="s">
        <v>1139</v>
      </c>
      <c r="AD339" s="14" t="n">
        <v>46288.771875</v>
      </c>
    </row>
    <row r="340" customFormat="false" ht="15" hidden="false" customHeight="false" outlineLevel="0" collapsed="false">
      <c r="A340" s="5" t="s">
        <v>1140</v>
      </c>
      <c r="B340" s="5" t="s">
        <v>1141</v>
      </c>
      <c r="C340" s="5" t="s">
        <v>55</v>
      </c>
      <c r="D340" s="5" t="s">
        <v>56</v>
      </c>
      <c r="E340" s="5" t="s">
        <v>71</v>
      </c>
      <c r="F340" s="5" t="s">
        <v>72</v>
      </c>
      <c r="G340" s="5" t="s">
        <v>59</v>
      </c>
      <c r="H340" s="5" t="s">
        <v>60</v>
      </c>
      <c r="I340" s="6" t="n">
        <v>0.04</v>
      </c>
      <c r="J340" s="7" t="n">
        <f aca="false">IF(I340="","",1/I340)</f>
        <v>25</v>
      </c>
      <c r="K340" s="8" t="n">
        <v>40.16</v>
      </c>
      <c r="L340" s="9" t="n">
        <v>-0.23</v>
      </c>
      <c r="M340" s="10" t="n">
        <v>-0.0057</v>
      </c>
      <c r="N340" s="8" t="n">
        <v>40.8</v>
      </c>
      <c r="O340" s="8" t="n">
        <v>40.16</v>
      </c>
      <c r="P340" s="8" t="n">
        <v>41.9</v>
      </c>
      <c r="Q340" s="8" t="n">
        <v>40.74</v>
      </c>
      <c r="R340" s="11" t="n">
        <v>309130</v>
      </c>
      <c r="S340" s="11" t="n">
        <f aca="false">K340*R340</f>
        <v>12414660.8</v>
      </c>
      <c r="T340" s="8" t="n">
        <v>28.65</v>
      </c>
      <c r="U340" s="8" t="n">
        <v>88</v>
      </c>
      <c r="V340" s="12" t="n">
        <f aca="false">IF(U340-T340=0,"",(K340-T340)/(U340-T340))</f>
        <v>0.193934288121314</v>
      </c>
      <c r="W340" s="13" t="n">
        <f aca="false">IF(U340=0,"",K340/U340-1)</f>
        <v>-0.543636363636364</v>
      </c>
      <c r="X340" s="11" t="n">
        <v>224975</v>
      </c>
      <c r="Y340" s="5" t="s">
        <v>71</v>
      </c>
      <c r="Z340" s="5" t="s">
        <v>73</v>
      </c>
      <c r="AA340" s="5" t="s">
        <v>72</v>
      </c>
      <c r="AB340" s="5"/>
      <c r="AC340" s="5" t="s">
        <v>1142</v>
      </c>
      <c r="AD340" s="14" t="n">
        <v>46288.771875</v>
      </c>
    </row>
    <row r="341" customFormat="false" ht="15" hidden="false" customHeight="false" outlineLevel="0" collapsed="false">
      <c r="A341" s="5" t="s">
        <v>1143</v>
      </c>
      <c r="B341" s="5" t="s">
        <v>1144</v>
      </c>
      <c r="C341" s="5" t="s">
        <v>55</v>
      </c>
      <c r="D341" s="5" t="s">
        <v>56</v>
      </c>
      <c r="E341" s="5" t="s">
        <v>71</v>
      </c>
      <c r="F341" s="5" t="s">
        <v>72</v>
      </c>
      <c r="G341" s="5" t="s">
        <v>59</v>
      </c>
      <c r="H341" s="5" t="s">
        <v>86</v>
      </c>
      <c r="I341" s="6" t="n">
        <v>0.25</v>
      </c>
      <c r="J341" s="7" t="n">
        <f aca="false">IF(I341="","",1/I341)</f>
        <v>4</v>
      </c>
      <c r="K341" s="8" t="n">
        <v>123.24</v>
      </c>
      <c r="L341" s="9" t="n">
        <v>-2.76</v>
      </c>
      <c r="M341" s="10" t="n">
        <v>-0.0219</v>
      </c>
      <c r="N341" s="8" t="n">
        <v>123.6</v>
      </c>
      <c r="O341" s="8" t="n">
        <v>123.24</v>
      </c>
      <c r="P341" s="8" t="n">
        <v>124.32</v>
      </c>
      <c r="Q341" s="8" t="n">
        <v>123.24</v>
      </c>
      <c r="R341" s="11" t="n">
        <v>657</v>
      </c>
      <c r="S341" s="11" t="n">
        <f aca="false">K341*R341</f>
        <v>80968.68</v>
      </c>
      <c r="T341" s="8" t="n">
        <v>67.25</v>
      </c>
      <c r="U341" s="8" t="n">
        <v>137.28</v>
      </c>
      <c r="V341" s="12" t="n">
        <f aca="false">IF(U341-T341=0,"",(K341-T341)/(U341-T341))</f>
        <v>0.799514493788376</v>
      </c>
      <c r="W341" s="13" t="n">
        <f aca="false">IF(U341=0,"",K341/U341-1)</f>
        <v>-0.102272727272727</v>
      </c>
      <c r="X341" s="11" t="n">
        <v>128939</v>
      </c>
      <c r="Y341" s="5" t="s">
        <v>71</v>
      </c>
      <c r="Z341" s="5" t="s">
        <v>73</v>
      </c>
      <c r="AA341" s="5" t="s">
        <v>72</v>
      </c>
      <c r="AB341" s="5"/>
      <c r="AC341" s="5" t="s">
        <v>1145</v>
      </c>
      <c r="AD341" s="14" t="n">
        <v>46288.771875</v>
      </c>
    </row>
    <row r="342" customFormat="false" ht="15" hidden="false" customHeight="false" outlineLevel="0" collapsed="false">
      <c r="A342" s="5" t="s">
        <v>1146</v>
      </c>
      <c r="B342" s="5" t="s">
        <v>1147</v>
      </c>
      <c r="C342" s="5" t="s">
        <v>55</v>
      </c>
      <c r="D342" s="5" t="s">
        <v>56</v>
      </c>
      <c r="E342" s="5" t="s">
        <v>71</v>
      </c>
      <c r="F342" s="5" t="s">
        <v>72</v>
      </c>
      <c r="G342" s="5" t="s">
        <v>59</v>
      </c>
      <c r="H342" s="5" t="s">
        <v>60</v>
      </c>
      <c r="I342" s="6" t="n">
        <v>0.066666667</v>
      </c>
      <c r="J342" s="7" t="n">
        <f aca="false">IF(I342="","",1/I342)</f>
        <v>14.999999925</v>
      </c>
      <c r="K342" s="8" t="n">
        <v>33.84</v>
      </c>
      <c r="L342" s="9" t="n">
        <v>0.14</v>
      </c>
      <c r="M342" s="10" t="n">
        <v>0.0042</v>
      </c>
      <c r="N342" s="8" t="n">
        <v>33.84</v>
      </c>
      <c r="O342" s="8" t="n">
        <v>33.84</v>
      </c>
      <c r="P342" s="8" t="n">
        <v>33.84</v>
      </c>
      <c r="Q342" s="8" t="n">
        <v>33.84</v>
      </c>
      <c r="R342" s="11" t="n">
        <v>10</v>
      </c>
      <c r="S342" s="11" t="n">
        <f aca="false">K342*R342</f>
        <v>338.4</v>
      </c>
      <c r="T342" s="8" t="n">
        <v>31.9</v>
      </c>
      <c r="U342" s="8" t="n">
        <v>40.14</v>
      </c>
      <c r="V342" s="12" t="n">
        <f aca="false">IF(U342-T342=0,"",(K342-T342)/(U342-T342))</f>
        <v>0.235436893203884</v>
      </c>
      <c r="W342" s="13" t="n">
        <f aca="false">IF(U342=0,"",K342/U342-1)</f>
        <v>-0.15695067264574</v>
      </c>
      <c r="X342" s="11" t="n">
        <v>68734</v>
      </c>
      <c r="Y342" s="5" t="s">
        <v>71</v>
      </c>
      <c r="Z342" s="5" t="s">
        <v>73</v>
      </c>
      <c r="AA342" s="5" t="s">
        <v>72</v>
      </c>
      <c r="AB342" s="5"/>
      <c r="AC342" s="5" t="s">
        <v>1148</v>
      </c>
      <c r="AD342" s="14" t="n">
        <v>46288.771875</v>
      </c>
    </row>
    <row r="343" customFormat="false" ht="15" hidden="false" customHeight="false" outlineLevel="0" collapsed="false">
      <c r="A343" s="5" t="s">
        <v>1149</v>
      </c>
      <c r="B343" s="5" t="s">
        <v>1150</v>
      </c>
      <c r="C343" s="5" t="s">
        <v>55</v>
      </c>
      <c r="D343" s="5" t="s">
        <v>56</v>
      </c>
      <c r="E343" s="5" t="s">
        <v>115</v>
      </c>
      <c r="F343" s="5" t="s">
        <v>116</v>
      </c>
      <c r="G343" s="5" t="s">
        <v>59</v>
      </c>
      <c r="H343" s="5" t="s">
        <v>60</v>
      </c>
      <c r="I343" s="6" t="n">
        <v>0.25</v>
      </c>
      <c r="J343" s="7" t="n">
        <f aca="false">IF(I343="","",1/I343)</f>
        <v>4</v>
      </c>
      <c r="K343" s="8" t="n">
        <v>10.38</v>
      </c>
      <c r="L343" s="9" t="n">
        <v>-0.2</v>
      </c>
      <c r="M343" s="10" t="n">
        <v>-0.0189</v>
      </c>
      <c r="N343" s="8" t="n">
        <v>10.38</v>
      </c>
      <c r="O343" s="8" t="n">
        <v>10.38</v>
      </c>
      <c r="P343" s="8" t="n">
        <v>10.38</v>
      </c>
      <c r="Q343" s="8" t="n">
        <v>10.38</v>
      </c>
      <c r="R343" s="11" t="n">
        <v>100</v>
      </c>
      <c r="S343" s="11" t="n">
        <f aca="false">K343*R343</f>
        <v>1038</v>
      </c>
      <c r="T343" s="8" t="n">
        <v>7.76</v>
      </c>
      <c r="U343" s="8" t="n">
        <v>18.19</v>
      </c>
      <c r="V343" s="12" t="n">
        <f aca="false">IF(U343-T343=0,"",(K343-T343)/(U343-T343))</f>
        <v>0.251198465963567</v>
      </c>
      <c r="W343" s="13" t="n">
        <f aca="false">IF(U343=0,"",K343/U343-1)</f>
        <v>-0.42935678944475</v>
      </c>
      <c r="X343" s="11" t="n">
        <v>1905</v>
      </c>
      <c r="Y343" s="5" t="s">
        <v>115</v>
      </c>
      <c r="Z343" s="5" t="s">
        <v>117</v>
      </c>
      <c r="AA343" s="5" t="s">
        <v>116</v>
      </c>
      <c r="AB343" s="5"/>
      <c r="AC343" s="5" t="s">
        <v>1151</v>
      </c>
      <c r="AD343" s="14" t="n">
        <v>46288.771875</v>
      </c>
    </row>
    <row r="344" customFormat="false" ht="15" hidden="false" customHeight="false" outlineLevel="0" collapsed="false">
      <c r="A344" s="5" t="s">
        <v>1152</v>
      </c>
      <c r="B344" s="5" t="s">
        <v>1153</v>
      </c>
      <c r="C344" s="5" t="s">
        <v>55</v>
      </c>
      <c r="D344" s="5" t="s">
        <v>56</v>
      </c>
      <c r="E344" s="5" t="s">
        <v>99</v>
      </c>
      <c r="F344" s="5" t="s">
        <v>100</v>
      </c>
      <c r="G344" s="5" t="s">
        <v>59</v>
      </c>
      <c r="H344" s="5" t="s">
        <v>60</v>
      </c>
      <c r="I344" s="6" t="n">
        <v>0.125</v>
      </c>
      <c r="J344" s="7" t="n">
        <f aca="false">IF(I344="","",1/I344)</f>
        <v>8</v>
      </c>
      <c r="K344" s="8" t="n">
        <v>36.16</v>
      </c>
      <c r="L344" s="9" t="n">
        <v>-1.48</v>
      </c>
      <c r="M344" s="10" t="n">
        <v>-0.0393</v>
      </c>
      <c r="N344" s="8" t="n">
        <v>36.44</v>
      </c>
      <c r="O344" s="8" t="n">
        <v>36.16</v>
      </c>
      <c r="P344" s="8" t="n">
        <v>36.44</v>
      </c>
      <c r="Q344" s="8" t="n">
        <v>36.16</v>
      </c>
      <c r="R344" s="11" t="n">
        <v>55</v>
      </c>
      <c r="S344" s="11" t="n">
        <f aca="false">K344*R344</f>
        <v>1988.8</v>
      </c>
      <c r="T344" s="8" t="n">
        <v>29.91</v>
      </c>
      <c r="U344" s="8" t="n">
        <v>52.15</v>
      </c>
      <c r="V344" s="12" t="n">
        <f aca="false">IF(U344-T344=0,"",(K344-T344)/(U344-T344))</f>
        <v>0.281025179856115</v>
      </c>
      <c r="W344" s="13" t="n">
        <f aca="false">IF(U344=0,"",K344/U344-1)</f>
        <v>-0.306615532118888</v>
      </c>
      <c r="X344" s="11" t="n">
        <v>29211</v>
      </c>
      <c r="Y344" s="5" t="s">
        <v>99</v>
      </c>
      <c r="Z344" s="5" t="s">
        <v>101</v>
      </c>
      <c r="AA344" s="5" t="s">
        <v>100</v>
      </c>
      <c r="AB344" s="5"/>
      <c r="AC344" s="5" t="s">
        <v>1154</v>
      </c>
      <c r="AD344" s="14" t="n">
        <v>46288.771875</v>
      </c>
    </row>
    <row r="345" customFormat="false" ht="15" hidden="false" customHeight="false" outlineLevel="0" collapsed="false">
      <c r="A345" s="5" t="s">
        <v>1155</v>
      </c>
      <c r="B345" s="5" t="s">
        <v>1156</v>
      </c>
      <c r="C345" s="5" t="s">
        <v>55</v>
      </c>
      <c r="D345" s="5" t="s">
        <v>56</v>
      </c>
      <c r="E345" s="5" t="s">
        <v>115</v>
      </c>
      <c r="F345" s="5" t="s">
        <v>116</v>
      </c>
      <c r="G345" s="5" t="s">
        <v>59</v>
      </c>
      <c r="H345" s="5" t="s">
        <v>60</v>
      </c>
      <c r="I345" s="6" t="n">
        <v>0.04545</v>
      </c>
      <c r="J345" s="7" t="n">
        <f aca="false">IF(I345="","",1/I345)</f>
        <v>22.002200220022</v>
      </c>
      <c r="K345" s="8" t="n">
        <v>62.35</v>
      </c>
      <c r="L345" s="9" t="n">
        <v>1.73</v>
      </c>
      <c r="M345" s="10" t="n">
        <v>0.0285</v>
      </c>
      <c r="N345" s="8" t="n">
        <v>60.59</v>
      </c>
      <c r="O345" s="8" t="n">
        <v>58.18</v>
      </c>
      <c r="P345" s="8" t="n">
        <v>62.35</v>
      </c>
      <c r="Q345" s="8" t="n">
        <v>61.72</v>
      </c>
      <c r="R345" s="11" t="n">
        <v>153008</v>
      </c>
      <c r="S345" s="11" t="n">
        <f aca="false">K345*R345</f>
        <v>9540048.8</v>
      </c>
      <c r="T345" s="8" t="n">
        <v>20.16</v>
      </c>
      <c r="U345" s="8" t="n">
        <v>62.35</v>
      </c>
      <c r="V345" s="12" t="n">
        <f aca="false">IF(U345-T345=0,"",(K345-T345)/(U345-T345))</f>
        <v>1</v>
      </c>
      <c r="W345" s="13" t="n">
        <f aca="false">IF(U345=0,"",K345/U345-1)</f>
        <v>0</v>
      </c>
      <c r="X345" s="11" t="n">
        <v>1310364</v>
      </c>
      <c r="Y345" s="5" t="s">
        <v>115</v>
      </c>
      <c r="Z345" s="5" t="s">
        <v>117</v>
      </c>
      <c r="AA345" s="5" t="s">
        <v>116</v>
      </c>
      <c r="AB345" s="5"/>
      <c r="AC345" s="5" t="s">
        <v>1157</v>
      </c>
      <c r="AD345" s="14" t="n">
        <v>46288.771875</v>
      </c>
    </row>
    <row r="346" customFormat="false" ht="15" hidden="false" customHeight="false" outlineLevel="0" collapsed="false">
      <c r="A346" s="5" t="s">
        <v>1158</v>
      </c>
      <c r="B346" s="5" t="s">
        <v>1159</v>
      </c>
      <c r="C346" s="5" t="s">
        <v>55</v>
      </c>
      <c r="D346" s="5" t="s">
        <v>56</v>
      </c>
      <c r="E346" s="5" t="s">
        <v>182</v>
      </c>
      <c r="F346" s="5" t="s">
        <v>183</v>
      </c>
      <c r="G346" s="5" t="s">
        <v>59</v>
      </c>
      <c r="H346" s="5" t="s">
        <v>60</v>
      </c>
      <c r="I346" s="6" t="n">
        <v>0.1</v>
      </c>
      <c r="J346" s="7" t="n">
        <f aca="false">IF(I346="","",1/I346)</f>
        <v>10</v>
      </c>
      <c r="K346" s="8" t="n">
        <v>14.91</v>
      </c>
      <c r="L346" s="9" t="n">
        <v>-0.31</v>
      </c>
      <c r="M346" s="10" t="n">
        <v>-0.0204</v>
      </c>
      <c r="N346" s="8" t="n">
        <v>14.91</v>
      </c>
      <c r="O346" s="8" t="n">
        <v>14.91</v>
      </c>
      <c r="P346" s="8" t="n">
        <v>14.91</v>
      </c>
      <c r="Q346" s="8" t="n">
        <v>14.91</v>
      </c>
      <c r="R346" s="11" t="n">
        <v>1</v>
      </c>
      <c r="S346" s="11" t="n">
        <f aca="false">K346*R346</f>
        <v>14.91</v>
      </c>
      <c r="T346" s="8" t="n">
        <v>10.19</v>
      </c>
      <c r="U346" s="8" t="n">
        <v>15.38</v>
      </c>
      <c r="V346" s="12" t="n">
        <f aca="false">IF(U346-T346=0,"",(K346-T346)/(U346-T346))</f>
        <v>0.909441233140655</v>
      </c>
      <c r="W346" s="13" t="n">
        <f aca="false">IF(U346=0,"",K346/U346-1)</f>
        <v>-0.0305591677503252</v>
      </c>
      <c r="X346" s="11" t="n">
        <v>30890</v>
      </c>
      <c r="Y346" s="5" t="s">
        <v>182</v>
      </c>
      <c r="Z346" s="5" t="s">
        <v>184</v>
      </c>
      <c r="AA346" s="5" t="s">
        <v>183</v>
      </c>
      <c r="AB346" s="5"/>
      <c r="AC346" s="5" t="s">
        <v>1160</v>
      </c>
      <c r="AD346" s="14" t="n">
        <v>46288.771875</v>
      </c>
    </row>
    <row r="347" customFormat="false" ht="15" hidden="false" customHeight="false" outlineLevel="0" collapsed="false">
      <c r="A347" s="5" t="s">
        <v>1161</v>
      </c>
      <c r="B347" s="5" t="s">
        <v>1162</v>
      </c>
      <c r="C347" s="5" t="s">
        <v>55</v>
      </c>
      <c r="D347" s="5" t="s">
        <v>56</v>
      </c>
      <c r="E347" s="5" t="s">
        <v>71</v>
      </c>
      <c r="F347" s="5" t="s">
        <v>72</v>
      </c>
      <c r="G347" s="5" t="s">
        <v>59</v>
      </c>
      <c r="H347" s="5" t="s">
        <v>60</v>
      </c>
      <c r="I347" s="6" t="n">
        <v>0.0625</v>
      </c>
      <c r="J347" s="7" t="n">
        <f aca="false">IF(I347="","",1/I347)</f>
        <v>16</v>
      </c>
      <c r="K347" s="8" t="n">
        <v>65.52</v>
      </c>
      <c r="L347" s="9" t="n">
        <v>0</v>
      </c>
      <c r="M347" s="10" t="n">
        <v>0</v>
      </c>
      <c r="N347" s="8" t="n">
        <v>65.45</v>
      </c>
      <c r="O347" s="8" t="n">
        <v>65.4</v>
      </c>
      <c r="P347" s="8" t="n">
        <v>65.52</v>
      </c>
      <c r="Q347" s="8" t="n">
        <v>65.52</v>
      </c>
      <c r="R347" s="11" t="n">
        <v>305</v>
      </c>
      <c r="S347" s="11" t="n">
        <f aca="false">K347*R347</f>
        <v>19983.6</v>
      </c>
      <c r="T347" s="8" t="n">
        <v>56.6675</v>
      </c>
      <c r="U347" s="8" t="n">
        <v>85.7325</v>
      </c>
      <c r="V347" s="12" t="n">
        <f aca="false">IF(U347-T347=0,"",(K347-T347)/(U347-T347))</f>
        <v>0.304575950455875</v>
      </c>
      <c r="W347" s="13" t="n">
        <f aca="false">IF(U347=0,"",K347/U347-1)</f>
        <v>-0.235762400489896</v>
      </c>
      <c r="X347" s="11" t="n">
        <v>629654</v>
      </c>
      <c r="Y347" s="5" t="s">
        <v>71</v>
      </c>
      <c r="Z347" s="5" t="s">
        <v>73</v>
      </c>
      <c r="AA347" s="5" t="s">
        <v>72</v>
      </c>
      <c r="AB347" s="5"/>
      <c r="AC347" s="5" t="s">
        <v>1163</v>
      </c>
      <c r="AD347" s="14" t="n">
        <v>46288.771875</v>
      </c>
    </row>
    <row r="348" customFormat="false" ht="15" hidden="false" customHeight="false" outlineLevel="0" collapsed="false">
      <c r="A348" s="5" t="s">
        <v>1164</v>
      </c>
      <c r="B348" s="5" t="s">
        <v>1165</v>
      </c>
      <c r="C348" s="5" t="s">
        <v>55</v>
      </c>
      <c r="D348" s="5" t="s">
        <v>56</v>
      </c>
      <c r="E348" s="5" t="s">
        <v>57</v>
      </c>
      <c r="F348" s="5" t="s">
        <v>58</v>
      </c>
      <c r="G348" s="5" t="s">
        <v>59</v>
      </c>
      <c r="H348" s="5" t="s">
        <v>60</v>
      </c>
      <c r="I348" s="6" t="n">
        <v>1</v>
      </c>
      <c r="J348" s="7" t="n">
        <f aca="false">IF(I348="","",1/I348)</f>
        <v>1</v>
      </c>
      <c r="K348" s="8" t="n">
        <v>80.08</v>
      </c>
      <c r="L348" s="9" t="n">
        <v>-1.19</v>
      </c>
      <c r="M348" s="10" t="n">
        <v>-0.0146</v>
      </c>
      <c r="N348" s="8" t="n">
        <v>80.08</v>
      </c>
      <c r="O348" s="8" t="n">
        <v>80.08</v>
      </c>
      <c r="P348" s="8" t="n">
        <v>80.08</v>
      </c>
      <c r="Q348" s="8" t="n">
        <v>80.08</v>
      </c>
      <c r="R348" s="11" t="n">
        <v>1</v>
      </c>
      <c r="S348" s="11" t="n">
        <f aca="false">K348*R348</f>
        <v>80.08</v>
      </c>
      <c r="T348" s="8" t="n">
        <v>64.68</v>
      </c>
      <c r="U348" s="8" t="n">
        <v>140</v>
      </c>
      <c r="V348" s="12" t="n">
        <f aca="false">IF(U348-T348=0,"",(K348-T348)/(U348-T348))</f>
        <v>0.204460966542751</v>
      </c>
      <c r="W348" s="13" t="n">
        <f aca="false">IF(U348=0,"",K348/U348-1)</f>
        <v>-0.428</v>
      </c>
      <c r="X348" s="11" t="n">
        <v>8835</v>
      </c>
      <c r="Y348" s="5" t="s">
        <v>57</v>
      </c>
      <c r="Z348" s="5" t="s">
        <v>61</v>
      </c>
      <c r="AA348" s="5" t="s">
        <v>58</v>
      </c>
      <c r="AB348" s="5"/>
      <c r="AC348" s="5" t="s">
        <v>1166</v>
      </c>
      <c r="AD348" s="14" t="n">
        <v>46288.771875</v>
      </c>
    </row>
    <row r="349" customFormat="false" ht="15" hidden="false" customHeight="false" outlineLevel="0" collapsed="false">
      <c r="A349" s="5" t="s">
        <v>1167</v>
      </c>
      <c r="B349" s="5" t="s">
        <v>1168</v>
      </c>
      <c r="C349" s="5" t="s">
        <v>55</v>
      </c>
      <c r="D349" s="5" t="s">
        <v>56</v>
      </c>
      <c r="E349" s="5" t="s">
        <v>142</v>
      </c>
      <c r="F349" s="5" t="s">
        <v>143</v>
      </c>
      <c r="G349" s="5" t="s">
        <v>59</v>
      </c>
      <c r="H349" s="5" t="s">
        <v>60</v>
      </c>
      <c r="I349" s="6" t="n">
        <v>0.0625</v>
      </c>
      <c r="J349" s="7" t="n">
        <f aca="false">IF(I349="","",1/I349)</f>
        <v>16</v>
      </c>
      <c r="K349" s="8" t="n">
        <v>262.86</v>
      </c>
      <c r="L349" s="9" t="n">
        <v>4.92</v>
      </c>
      <c r="M349" s="10" t="n">
        <v>0.0191</v>
      </c>
      <c r="N349" s="8" t="n">
        <v>257.41</v>
      </c>
      <c r="O349" s="8" t="n">
        <v>256.6</v>
      </c>
      <c r="P349" s="8" t="n">
        <v>263.52</v>
      </c>
      <c r="Q349" s="8" t="n">
        <v>262.86</v>
      </c>
      <c r="R349" s="11" t="n">
        <v>2294</v>
      </c>
      <c r="S349" s="11" t="n">
        <f aca="false">K349*R349</f>
        <v>603000.84</v>
      </c>
      <c r="T349" s="8" t="n">
        <v>153.74</v>
      </c>
      <c r="U349" s="8" t="n">
        <v>354.33</v>
      </c>
      <c r="V349" s="12" t="n">
        <f aca="false">IF(U349-T349=0,"",(K349-T349)/(U349-T349))</f>
        <v>0.543995214118351</v>
      </c>
      <c r="W349" s="13" t="n">
        <f aca="false">IF(U349=0,"",K349/U349-1)</f>
        <v>-0.258149182965033</v>
      </c>
      <c r="X349" s="11" t="n">
        <v>1900829</v>
      </c>
      <c r="Y349" s="5" t="s">
        <v>142</v>
      </c>
      <c r="Z349" s="5" t="s">
        <v>144</v>
      </c>
      <c r="AA349" s="5" t="s">
        <v>143</v>
      </c>
      <c r="AB349" s="5"/>
      <c r="AC349" s="5" t="s">
        <v>1169</v>
      </c>
      <c r="AD349" s="14" t="n">
        <v>46288.771875</v>
      </c>
    </row>
    <row r="350" customFormat="false" ht="15" hidden="false" customHeight="false" outlineLevel="0" collapsed="false">
      <c r="A350" s="5" t="s">
        <v>1170</v>
      </c>
      <c r="B350" s="5" t="s">
        <v>1171</v>
      </c>
      <c r="C350" s="5" t="s">
        <v>248</v>
      </c>
      <c r="D350" s="5" t="s">
        <v>249</v>
      </c>
      <c r="E350" s="5" t="s">
        <v>250</v>
      </c>
      <c r="F350" s="5" t="s">
        <v>251</v>
      </c>
      <c r="G350" s="5" t="s">
        <v>59</v>
      </c>
      <c r="H350" s="5" t="s">
        <v>252</v>
      </c>
      <c r="I350" s="6" t="n">
        <v>0.33333333</v>
      </c>
      <c r="J350" s="7" t="n">
        <f aca="false">IF(I350="","",1/I350)</f>
        <v>3.00000003</v>
      </c>
      <c r="K350" s="8" t="n">
        <v>34.42</v>
      </c>
      <c r="L350" s="9" t="n">
        <v>-0.59</v>
      </c>
      <c r="M350" s="10" t="n">
        <v>-0.0169</v>
      </c>
      <c r="N350" s="8" t="n">
        <v>34.42</v>
      </c>
      <c r="O350" s="8" t="n">
        <v>34.42</v>
      </c>
      <c r="P350" s="8" t="n">
        <v>34.42</v>
      </c>
      <c r="Q350" s="8" t="n">
        <v>34.42</v>
      </c>
      <c r="R350" s="11" t="n">
        <v>3</v>
      </c>
      <c r="S350" s="11" t="n">
        <f aca="false">K350*R350</f>
        <v>103.26</v>
      </c>
      <c r="T350" s="8" t="n">
        <v>24.76</v>
      </c>
      <c r="U350" s="8" t="n">
        <v>51.74</v>
      </c>
      <c r="V350" s="12" t="n">
        <f aca="false">IF(U350-T350=0,"",(K350-T350)/(U350-T350))</f>
        <v>0.358042994810971</v>
      </c>
      <c r="W350" s="13" t="n">
        <f aca="false">IF(U350=0,"",K350/U350-1)</f>
        <v>-0.334750676459219</v>
      </c>
      <c r="X350" s="11"/>
      <c r="Y350" s="5" t="s">
        <v>253</v>
      </c>
      <c r="Z350" s="5" t="s">
        <v>254</v>
      </c>
      <c r="AA350" s="5" t="s">
        <v>251</v>
      </c>
      <c r="AB350" s="5"/>
      <c r="AC350" s="5" t="s">
        <v>1172</v>
      </c>
      <c r="AD350" s="14" t="n">
        <v>46288.771875</v>
      </c>
    </row>
    <row r="351" customFormat="false" ht="15" hidden="false" customHeight="false" outlineLevel="0" collapsed="false">
      <c r="A351" s="5" t="s">
        <v>1173</v>
      </c>
      <c r="B351" s="5" t="s">
        <v>1174</v>
      </c>
      <c r="C351" s="5" t="s">
        <v>55</v>
      </c>
      <c r="D351" s="5" t="s">
        <v>56</v>
      </c>
      <c r="E351" s="5" t="s">
        <v>182</v>
      </c>
      <c r="F351" s="5" t="s">
        <v>183</v>
      </c>
      <c r="G351" s="5" t="s">
        <v>59</v>
      </c>
      <c r="H351" s="5" t="s">
        <v>60</v>
      </c>
      <c r="I351" s="6" t="n">
        <v>0.01667</v>
      </c>
      <c r="J351" s="7" t="n">
        <f aca="false">IF(I351="","",1/I351)</f>
        <v>59.9880023995201</v>
      </c>
      <c r="K351" s="8" t="n">
        <v>10.09</v>
      </c>
      <c r="L351" s="9" t="n">
        <v>-0.78</v>
      </c>
      <c r="M351" s="10" t="n">
        <v>-0.0718</v>
      </c>
      <c r="N351" s="8" t="n">
        <v>10.89</v>
      </c>
      <c r="O351" s="8" t="n">
        <v>9.7</v>
      </c>
      <c r="P351" s="8" t="n">
        <v>10.89</v>
      </c>
      <c r="Q351" s="8" t="n">
        <v>10.09</v>
      </c>
      <c r="R351" s="11" t="n">
        <v>10974</v>
      </c>
      <c r="S351" s="11" t="n">
        <f aca="false">K351*R351</f>
        <v>110727.66</v>
      </c>
      <c r="T351" s="8" t="n">
        <v>9.37</v>
      </c>
      <c r="U351" s="8" t="n">
        <v>25</v>
      </c>
      <c r="V351" s="12" t="n">
        <f aca="false">IF(U351-T351=0,"",(K351-T351)/(U351-T351))</f>
        <v>0.0460652591170826</v>
      </c>
      <c r="W351" s="13" t="n">
        <f aca="false">IF(U351=0,"",K351/U351-1)</f>
        <v>-0.5964</v>
      </c>
      <c r="X351" s="11" t="n">
        <v>105087</v>
      </c>
      <c r="Y351" s="5" t="s">
        <v>182</v>
      </c>
      <c r="Z351" s="5" t="s">
        <v>184</v>
      </c>
      <c r="AA351" s="5" t="s">
        <v>183</v>
      </c>
      <c r="AB351" s="5"/>
      <c r="AC351" s="5" t="s">
        <v>1175</v>
      </c>
      <c r="AD351" s="14" t="n">
        <v>46288.771875</v>
      </c>
    </row>
    <row r="352" customFormat="false" ht="15" hidden="false" customHeight="false" outlineLevel="0" collapsed="false">
      <c r="A352" s="5" t="s">
        <v>1176</v>
      </c>
      <c r="B352" s="5" t="s">
        <v>1177</v>
      </c>
      <c r="C352" s="5" t="s">
        <v>55</v>
      </c>
      <c r="D352" s="5" t="s">
        <v>56</v>
      </c>
      <c r="E352" s="5" t="s">
        <v>71</v>
      </c>
      <c r="F352" s="5" t="s">
        <v>72</v>
      </c>
      <c r="G352" s="5" t="s">
        <v>59</v>
      </c>
      <c r="H352" s="5" t="s">
        <v>60</v>
      </c>
      <c r="I352" s="6" t="n">
        <v>0.05</v>
      </c>
      <c r="J352" s="7" t="n">
        <f aca="false">IF(I352="","",1/I352)</f>
        <v>20</v>
      </c>
      <c r="K352" s="8" t="n">
        <v>70.29</v>
      </c>
      <c r="L352" s="9" t="n">
        <v>0.09</v>
      </c>
      <c r="M352" s="10" t="n">
        <v>0.0013</v>
      </c>
      <c r="N352" s="8" t="n">
        <v>68.39</v>
      </c>
      <c r="O352" s="8" t="n">
        <v>68.39</v>
      </c>
      <c r="P352" s="8" t="n">
        <v>70.5</v>
      </c>
      <c r="Q352" s="8" t="n">
        <v>70.29</v>
      </c>
      <c r="R352" s="11" t="n">
        <v>9004</v>
      </c>
      <c r="S352" s="11" t="n">
        <f aca="false">K352*R352</f>
        <v>632891.16</v>
      </c>
      <c r="T352" s="8" t="n">
        <v>57.882</v>
      </c>
      <c r="U352" s="8" t="n">
        <v>86.016</v>
      </c>
      <c r="V352" s="12" t="n">
        <f aca="false">IF(U352-T352=0,"",(K352-T352)/(U352-T352))</f>
        <v>0.441032203028364</v>
      </c>
      <c r="W352" s="13" t="n">
        <f aca="false">IF(U352=0,"",K352/U352-1)</f>
        <v>-0.182826450892857</v>
      </c>
      <c r="X352" s="11" t="n">
        <v>491726</v>
      </c>
      <c r="Y352" s="5" t="s">
        <v>71</v>
      </c>
      <c r="Z352" s="5" t="s">
        <v>73</v>
      </c>
      <c r="AA352" s="5" t="s">
        <v>72</v>
      </c>
      <c r="AB352" s="5"/>
      <c r="AC352" s="5" t="s">
        <v>1178</v>
      </c>
      <c r="AD352" s="14" t="n">
        <v>46288.771875</v>
      </c>
    </row>
    <row r="353" customFormat="false" ht="15" hidden="false" customHeight="false" outlineLevel="0" collapsed="false">
      <c r="A353" s="5" t="s">
        <v>1179</v>
      </c>
      <c r="B353" s="5" t="s">
        <v>1180</v>
      </c>
      <c r="C353" s="5" t="s">
        <v>248</v>
      </c>
      <c r="D353" s="5" t="s">
        <v>249</v>
      </c>
      <c r="E353" s="5" t="s">
        <v>988</v>
      </c>
      <c r="F353" s="5" t="s">
        <v>989</v>
      </c>
      <c r="G353" s="5" t="s">
        <v>59</v>
      </c>
      <c r="H353" s="5" t="s">
        <v>60</v>
      </c>
      <c r="I353" s="6" t="n">
        <v>0.1</v>
      </c>
      <c r="J353" s="7" t="n">
        <f aca="false">IF(I353="","",1/I353)</f>
        <v>10</v>
      </c>
      <c r="K353" s="8" t="n">
        <v>52.65</v>
      </c>
      <c r="L353" s="9" t="n">
        <v>-0.07</v>
      </c>
      <c r="M353" s="10" t="n">
        <v>-0.0013</v>
      </c>
      <c r="N353" s="8" t="n">
        <v>52.72</v>
      </c>
      <c r="O353" s="8" t="n">
        <v>52.12</v>
      </c>
      <c r="P353" s="8" t="n">
        <v>52.72</v>
      </c>
      <c r="Q353" s="8" t="n">
        <v>52.65</v>
      </c>
      <c r="R353" s="11" t="n">
        <v>393</v>
      </c>
      <c r="S353" s="11" t="n">
        <f aca="false">K353*R353</f>
        <v>20691.45</v>
      </c>
      <c r="T353" s="8" t="n">
        <v>41.88</v>
      </c>
      <c r="U353" s="8" t="n">
        <v>57.75</v>
      </c>
      <c r="V353" s="12" t="n">
        <f aca="false">IF(U353-T353=0,"",(K353-T353)/(U353-T353))</f>
        <v>0.678638941398866</v>
      </c>
      <c r="W353" s="13" t="n">
        <f aca="false">IF(U353=0,"",K353/U353-1)</f>
        <v>-0.0883116883116883</v>
      </c>
      <c r="X353" s="11"/>
      <c r="Y353" s="5" t="s">
        <v>253</v>
      </c>
      <c r="Z353" s="5" t="s">
        <v>254</v>
      </c>
      <c r="AA353" s="5" t="s">
        <v>988</v>
      </c>
      <c r="AB353" s="5"/>
      <c r="AC353" s="5" t="s">
        <v>1181</v>
      </c>
      <c r="AD353" s="14" t="n">
        <v>46288.771875</v>
      </c>
    </row>
    <row r="354" customFormat="false" ht="15" hidden="false" customHeight="false" outlineLevel="0" collapsed="false">
      <c r="A354" s="5" t="s">
        <v>1182</v>
      </c>
      <c r="B354" s="5" t="s">
        <v>1183</v>
      </c>
      <c r="C354" s="5" t="s">
        <v>55</v>
      </c>
      <c r="D354" s="5" t="s">
        <v>56</v>
      </c>
      <c r="E354" s="5" t="s">
        <v>160</v>
      </c>
      <c r="F354" s="5" t="s">
        <v>161</v>
      </c>
      <c r="G354" s="5" t="s">
        <v>59</v>
      </c>
      <c r="H354" s="5" t="s">
        <v>60</v>
      </c>
      <c r="I354" s="6" t="n">
        <v>0.1</v>
      </c>
      <c r="J354" s="7" t="n">
        <f aca="false">IF(I354="","",1/I354)</f>
        <v>10</v>
      </c>
      <c r="K354" s="8" t="n">
        <v>105.15</v>
      </c>
      <c r="L354" s="9" t="n">
        <v>2.02</v>
      </c>
      <c r="M354" s="10" t="n">
        <v>0.0196</v>
      </c>
      <c r="N354" s="8" t="n">
        <v>104.23</v>
      </c>
      <c r="O354" s="8" t="n">
        <v>104.23</v>
      </c>
      <c r="P354" s="8" t="n">
        <v>106.73</v>
      </c>
      <c r="Q354" s="8" t="n">
        <v>105.79</v>
      </c>
      <c r="R354" s="11" t="n">
        <v>21183</v>
      </c>
      <c r="S354" s="11" t="n">
        <f aca="false">K354*R354</f>
        <v>2227392.45</v>
      </c>
      <c r="T354" s="8" t="n">
        <v>78.61</v>
      </c>
      <c r="U354" s="8" t="n">
        <v>112.78</v>
      </c>
      <c r="V354" s="12" t="n">
        <f aca="false">IF(U354-T354=0,"",(K354-T354)/(U354-T354))</f>
        <v>0.776704711735441</v>
      </c>
      <c r="W354" s="13" t="n">
        <f aca="false">IF(U354=0,"",K354/U354-1)</f>
        <v>-0.0676538393332151</v>
      </c>
      <c r="X354" s="11" t="n">
        <v>2046652</v>
      </c>
      <c r="Y354" s="5" t="s">
        <v>160</v>
      </c>
      <c r="Z354" s="5" t="s">
        <v>162</v>
      </c>
      <c r="AA354" s="5" t="s">
        <v>161</v>
      </c>
      <c r="AB354" s="5"/>
      <c r="AC354" s="5" t="s">
        <v>1184</v>
      </c>
      <c r="AD354" s="14" t="n">
        <v>46288.771875</v>
      </c>
    </row>
    <row r="355" customFormat="false" ht="15" hidden="false" customHeight="false" outlineLevel="0" collapsed="false">
      <c r="A355" s="5" t="s">
        <v>1185</v>
      </c>
      <c r="B355" s="5" t="s">
        <v>1186</v>
      </c>
      <c r="C355" s="5" t="s">
        <v>55</v>
      </c>
      <c r="D355" s="5" t="s">
        <v>56</v>
      </c>
      <c r="E355" s="5" t="s">
        <v>71</v>
      </c>
      <c r="F355" s="5" t="s">
        <v>72</v>
      </c>
      <c r="G355" s="5" t="s">
        <v>59</v>
      </c>
      <c r="H355" s="5"/>
      <c r="I355" s="6"/>
      <c r="J355" s="7" t="str">
        <f aca="false">IF(I355="","",1/I355)</f>
        <v/>
      </c>
      <c r="K355" s="8" t="n">
        <v>422.89</v>
      </c>
      <c r="L355" s="9" t="n">
        <v>-1.17</v>
      </c>
      <c r="M355" s="10" t="n">
        <v>-0.0028</v>
      </c>
      <c r="N355" s="8" t="n">
        <v>422.89</v>
      </c>
      <c r="O355" s="8" t="n">
        <v>422.89</v>
      </c>
      <c r="P355" s="8" t="n">
        <v>422.89</v>
      </c>
      <c r="Q355" s="8" t="n">
        <v>422.89</v>
      </c>
      <c r="R355" s="11" t="n">
        <v>1</v>
      </c>
      <c r="S355" s="11" t="n">
        <f aca="false">K355*R355</f>
        <v>422.89</v>
      </c>
      <c r="T355" s="8" t="n">
        <v>422.89</v>
      </c>
      <c r="U355" s="8" t="n">
        <v>442.64</v>
      </c>
      <c r="V355" s="12" t="n">
        <f aca="false">IF(U355-T355=0,"",(K355-T355)/(U355-T355))</f>
        <v>0</v>
      </c>
      <c r="W355" s="13" t="n">
        <f aca="false">IF(U355=0,"",K355/U355-1)</f>
        <v>-0.0446186517260075</v>
      </c>
      <c r="X355" s="11" t="n">
        <v>130252</v>
      </c>
      <c r="Y355" s="5" t="s">
        <v>71</v>
      </c>
      <c r="Z355" s="5" t="s">
        <v>73</v>
      </c>
      <c r="AA355" s="5" t="s">
        <v>72</v>
      </c>
      <c r="AB355" s="5" t="s">
        <v>111</v>
      </c>
      <c r="AC355" s="5" t="s">
        <v>1187</v>
      </c>
      <c r="AD355" s="14" t="n">
        <v>46288.771875</v>
      </c>
    </row>
    <row r="356" customFormat="false" ht="15" hidden="false" customHeight="false" outlineLevel="0" collapsed="false">
      <c r="A356" s="5" t="s">
        <v>1188</v>
      </c>
      <c r="B356" s="5" t="s">
        <v>1189</v>
      </c>
      <c r="C356" s="5" t="s">
        <v>55</v>
      </c>
      <c r="D356" s="5" t="s">
        <v>56</v>
      </c>
      <c r="E356" s="5" t="s">
        <v>71</v>
      </c>
      <c r="F356" s="5" t="s">
        <v>72</v>
      </c>
      <c r="G356" s="5" t="s">
        <v>59</v>
      </c>
      <c r="H356" s="5" t="s">
        <v>60</v>
      </c>
      <c r="I356" s="6" t="n">
        <v>1</v>
      </c>
      <c r="J356" s="7" t="n">
        <f aca="false">IF(I356="","",1/I356)</f>
        <v>1</v>
      </c>
      <c r="K356" s="8" t="n">
        <v>23.5</v>
      </c>
      <c r="L356" s="9" t="n">
        <v>-0.05</v>
      </c>
      <c r="M356" s="10" t="n">
        <v>-0.0021</v>
      </c>
      <c r="N356" s="8" t="n">
        <v>23.5</v>
      </c>
      <c r="O356" s="8" t="n">
        <v>23.5</v>
      </c>
      <c r="P356" s="8" t="n">
        <v>23.5</v>
      </c>
      <c r="Q356" s="8" t="n">
        <v>23.5</v>
      </c>
      <c r="R356" s="11" t="n">
        <v>195</v>
      </c>
      <c r="S356" s="11" t="n">
        <f aca="false">K356*R356</f>
        <v>4582.5</v>
      </c>
      <c r="T356" s="8" t="n">
        <v>8.74</v>
      </c>
      <c r="U356" s="8" t="n">
        <v>28.15</v>
      </c>
      <c r="V356" s="12" t="n">
        <f aca="false">IF(U356-T356=0,"",(K356-T356)/(U356-T356))</f>
        <v>0.760432766615147</v>
      </c>
      <c r="W356" s="13" t="n">
        <f aca="false">IF(U356=0,"",K356/U356-1)</f>
        <v>-0.165186500888099</v>
      </c>
      <c r="X356" s="11" t="n">
        <v>12694</v>
      </c>
      <c r="Y356" s="5" t="s">
        <v>71</v>
      </c>
      <c r="Z356" s="5" t="s">
        <v>73</v>
      </c>
      <c r="AA356" s="5" t="s">
        <v>72</v>
      </c>
      <c r="AB356" s="5"/>
      <c r="AC356" s="5" t="s">
        <v>1190</v>
      </c>
      <c r="AD356" s="14" t="n">
        <v>46288.771875</v>
      </c>
    </row>
    <row r="357" customFormat="false" ht="15" hidden="false" customHeight="false" outlineLevel="0" collapsed="false">
      <c r="A357" s="5" t="s">
        <v>1191</v>
      </c>
      <c r="B357" s="5" t="s">
        <v>1192</v>
      </c>
      <c r="C357" s="5" t="s">
        <v>55</v>
      </c>
      <c r="D357" s="5" t="s">
        <v>56</v>
      </c>
      <c r="E357" s="5" t="s">
        <v>273</v>
      </c>
      <c r="F357" s="5" t="s">
        <v>274</v>
      </c>
      <c r="G357" s="5" t="s">
        <v>59</v>
      </c>
      <c r="H357" s="5"/>
      <c r="I357" s="6"/>
      <c r="J357" s="7" t="str">
        <f aca="false">IF(I357="","",1/I357)</f>
        <v/>
      </c>
      <c r="K357" s="8" t="n">
        <v>108.56</v>
      </c>
      <c r="L357" s="9" t="n">
        <v>1.11</v>
      </c>
      <c r="M357" s="10" t="n">
        <v>0.0103</v>
      </c>
      <c r="N357" s="8" t="n">
        <v>106.14</v>
      </c>
      <c r="O357" s="8" t="n">
        <v>106.14</v>
      </c>
      <c r="P357" s="8" t="n">
        <v>108.56</v>
      </c>
      <c r="Q357" s="8" t="n">
        <v>108.56</v>
      </c>
      <c r="R357" s="11" t="n">
        <v>132</v>
      </c>
      <c r="S357" s="11" t="n">
        <f aca="false">K357*R357</f>
        <v>14329.92</v>
      </c>
      <c r="T357" s="8" t="n">
        <v>101</v>
      </c>
      <c r="U357" s="8" t="n">
        <v>165.6</v>
      </c>
      <c r="V357" s="12" t="n">
        <f aca="false">IF(U357-T357=0,"",(K357-T357)/(U357-T357))</f>
        <v>0.11702786377709</v>
      </c>
      <c r="W357" s="13" t="n">
        <f aca="false">IF(U357=0,"",K357/U357-1)</f>
        <v>-0.344444444444444</v>
      </c>
      <c r="X357" s="11" t="n">
        <v>53936</v>
      </c>
      <c r="Y357" s="5" t="s">
        <v>273</v>
      </c>
      <c r="Z357" s="5" t="s">
        <v>275</v>
      </c>
      <c r="AA357" s="5" t="s">
        <v>274</v>
      </c>
      <c r="AB357" s="5" t="s">
        <v>111</v>
      </c>
      <c r="AC357" s="5" t="s">
        <v>1193</v>
      </c>
      <c r="AD357" s="14" t="n">
        <v>46288.771875</v>
      </c>
    </row>
    <row r="358" customFormat="false" ht="15" hidden="false" customHeight="false" outlineLevel="0" collapsed="false">
      <c r="A358" s="5" t="s">
        <v>1194</v>
      </c>
      <c r="B358" s="5" t="s">
        <v>1195</v>
      </c>
      <c r="C358" s="5" t="s">
        <v>55</v>
      </c>
      <c r="D358" s="5" t="s">
        <v>56</v>
      </c>
      <c r="E358" s="5" t="s">
        <v>182</v>
      </c>
      <c r="F358" s="5" t="s">
        <v>183</v>
      </c>
      <c r="G358" s="5" t="s">
        <v>59</v>
      </c>
      <c r="H358" s="5" t="s">
        <v>60</v>
      </c>
      <c r="I358" s="6" t="n">
        <v>0.2</v>
      </c>
      <c r="J358" s="7" t="n">
        <f aca="false">IF(I358="","",1/I358)</f>
        <v>5</v>
      </c>
      <c r="K358" s="8" t="n">
        <v>23.38</v>
      </c>
      <c r="L358" s="9" t="n">
        <v>-0.49</v>
      </c>
      <c r="M358" s="10" t="n">
        <v>-0.0205</v>
      </c>
      <c r="N358" s="8" t="n">
        <v>23.11</v>
      </c>
      <c r="O358" s="8" t="n">
        <v>22.68</v>
      </c>
      <c r="P358" s="8" t="n">
        <v>23.5</v>
      </c>
      <c r="Q358" s="8" t="n">
        <v>23.38</v>
      </c>
      <c r="R358" s="11" t="n">
        <v>3252</v>
      </c>
      <c r="S358" s="11" t="n">
        <f aca="false">K358*R358</f>
        <v>76031.76</v>
      </c>
      <c r="T358" s="8" t="n">
        <v>21.86</v>
      </c>
      <c r="U358" s="8" t="n">
        <v>34.2</v>
      </c>
      <c r="V358" s="12" t="n">
        <f aca="false">IF(U358-T358=0,"",(K358-T358)/(U358-T358))</f>
        <v>0.123176661264181</v>
      </c>
      <c r="W358" s="13" t="n">
        <f aca="false">IF(U358=0,"",K358/U358-1)</f>
        <v>-0.316374269005848</v>
      </c>
      <c r="X358" s="11" t="n">
        <v>407167</v>
      </c>
      <c r="Y358" s="5" t="s">
        <v>182</v>
      </c>
      <c r="Z358" s="5" t="s">
        <v>184</v>
      </c>
      <c r="AA358" s="5" t="s">
        <v>183</v>
      </c>
      <c r="AB358" s="5"/>
      <c r="AC358" s="5" t="s">
        <v>1196</v>
      </c>
      <c r="AD358" s="14" t="n">
        <v>46288.771875</v>
      </c>
    </row>
    <row r="359" customFormat="false" ht="15" hidden="false" customHeight="false" outlineLevel="0" collapsed="false">
      <c r="A359" s="5" t="s">
        <v>1197</v>
      </c>
      <c r="B359" s="5" t="s">
        <v>1198</v>
      </c>
      <c r="C359" s="5" t="s">
        <v>55</v>
      </c>
      <c r="D359" s="5" t="s">
        <v>56</v>
      </c>
      <c r="E359" s="5" t="s">
        <v>127</v>
      </c>
      <c r="F359" s="5" t="s">
        <v>128</v>
      </c>
      <c r="G359" s="5" t="s">
        <v>59</v>
      </c>
      <c r="H359" s="5" t="s">
        <v>60</v>
      </c>
      <c r="I359" s="6" t="n">
        <v>0.04166667</v>
      </c>
      <c r="J359" s="7" t="n">
        <f aca="false">IF(I359="","",1/I359)</f>
        <v>23.9999980800002</v>
      </c>
      <c r="K359" s="8" t="n">
        <v>25.68</v>
      </c>
      <c r="L359" s="9" t="n">
        <v>0.6</v>
      </c>
      <c r="M359" s="10" t="n">
        <v>0.0239</v>
      </c>
      <c r="N359" s="8" t="n">
        <v>25.68</v>
      </c>
      <c r="O359" s="8" t="n">
        <v>25.68</v>
      </c>
      <c r="P359" s="8" t="n">
        <v>25.68</v>
      </c>
      <c r="Q359" s="8" t="n">
        <v>25.68</v>
      </c>
      <c r="R359" s="11" t="n">
        <v>1</v>
      </c>
      <c r="S359" s="11" t="n">
        <f aca="false">K359*R359</f>
        <v>25.68</v>
      </c>
      <c r="T359" s="8" t="n">
        <v>19.5</v>
      </c>
      <c r="U359" s="8" t="n">
        <v>27.96</v>
      </c>
      <c r="V359" s="12" t="n">
        <f aca="false">IF(U359-T359=0,"",(K359-T359)/(U359-T359))</f>
        <v>0.730496453900709</v>
      </c>
      <c r="W359" s="13" t="n">
        <f aca="false">IF(U359=0,"",K359/U359-1)</f>
        <v>-0.0815450643776825</v>
      </c>
      <c r="X359" s="11" t="n">
        <v>370447</v>
      </c>
      <c r="Y359" s="5" t="s">
        <v>127</v>
      </c>
      <c r="Z359" s="5" t="s">
        <v>129</v>
      </c>
      <c r="AA359" s="5" t="s">
        <v>128</v>
      </c>
      <c r="AB359" s="5"/>
      <c r="AC359" s="5" t="s">
        <v>1199</v>
      </c>
      <c r="AD359" s="14" t="n">
        <v>46288.771875</v>
      </c>
    </row>
    <row r="360" customFormat="false" ht="15" hidden="false" customHeight="false" outlineLevel="0" collapsed="false">
      <c r="A360" s="5" t="s">
        <v>1200</v>
      </c>
      <c r="B360" s="5" t="s">
        <v>1201</v>
      </c>
      <c r="C360" s="5" t="s">
        <v>55</v>
      </c>
      <c r="D360" s="5" t="s">
        <v>56</v>
      </c>
      <c r="E360" s="5" t="s">
        <v>273</v>
      </c>
      <c r="F360" s="5" t="s">
        <v>274</v>
      </c>
      <c r="G360" s="5" t="s">
        <v>59</v>
      </c>
      <c r="H360" s="5" t="s">
        <v>60</v>
      </c>
      <c r="I360" s="6" t="n">
        <v>0.166666667</v>
      </c>
      <c r="J360" s="7" t="n">
        <f aca="false">IF(I360="","",1/I360)</f>
        <v>5.999999988</v>
      </c>
      <c r="K360" s="8" t="n">
        <v>76.3</v>
      </c>
      <c r="L360" s="9" t="n">
        <v>0.53</v>
      </c>
      <c r="M360" s="10" t="n">
        <v>0.007</v>
      </c>
      <c r="N360" s="8" t="n">
        <v>76.15</v>
      </c>
      <c r="O360" s="8" t="n">
        <v>75.41</v>
      </c>
      <c r="P360" s="8" t="n">
        <v>76.4</v>
      </c>
      <c r="Q360" s="8" t="n">
        <v>75.73</v>
      </c>
      <c r="R360" s="11" t="n">
        <v>65424</v>
      </c>
      <c r="S360" s="11" t="n">
        <f aca="false">K360*R360</f>
        <v>4991851.2</v>
      </c>
      <c r="T360" s="8" t="n">
        <v>57.81</v>
      </c>
      <c r="U360" s="8" t="n">
        <v>79.45</v>
      </c>
      <c r="V360" s="12" t="n">
        <f aca="false">IF(U360-T360=0,"",(K360-T360)/(U360-T360))</f>
        <v>0.854436229205175</v>
      </c>
      <c r="W360" s="13" t="n">
        <f aca="false">IF(U360=0,"",K360/U360-1)</f>
        <v>-0.0396475770925111</v>
      </c>
      <c r="X360" s="11" t="n">
        <v>1951120</v>
      </c>
      <c r="Y360" s="5" t="s">
        <v>273</v>
      </c>
      <c r="Z360" s="5" t="s">
        <v>275</v>
      </c>
      <c r="AA360" s="5" t="s">
        <v>274</v>
      </c>
      <c r="AB360" s="5"/>
      <c r="AC360" s="5" t="s">
        <v>1202</v>
      </c>
      <c r="AD360" s="14" t="n">
        <v>46288.771875</v>
      </c>
    </row>
    <row r="361" customFormat="false" ht="15" hidden="false" customHeight="false" outlineLevel="0" collapsed="false">
      <c r="A361" s="5" t="s">
        <v>1203</v>
      </c>
      <c r="B361" s="5" t="s">
        <v>1204</v>
      </c>
      <c r="C361" s="5" t="s">
        <v>55</v>
      </c>
      <c r="D361" s="5" t="s">
        <v>56</v>
      </c>
      <c r="E361" s="5" t="s">
        <v>71</v>
      </c>
      <c r="F361" s="5" t="s">
        <v>72</v>
      </c>
      <c r="G361" s="5" t="s">
        <v>59</v>
      </c>
      <c r="H361" s="5" t="s">
        <v>60</v>
      </c>
      <c r="I361" s="6" t="n">
        <v>0.333333</v>
      </c>
      <c r="J361" s="7" t="n">
        <f aca="false">IF(I361="","",1/I361)</f>
        <v>3.000003000003</v>
      </c>
      <c r="K361" s="8" t="n">
        <v>24.7</v>
      </c>
      <c r="L361" s="9" t="n">
        <v>-0.74</v>
      </c>
      <c r="M361" s="10" t="n">
        <v>-0.0291</v>
      </c>
      <c r="N361" s="8" t="n">
        <v>24.5</v>
      </c>
      <c r="O361" s="8" t="n">
        <v>24.5</v>
      </c>
      <c r="P361" s="8" t="n">
        <v>24.7</v>
      </c>
      <c r="Q361" s="8" t="n">
        <v>24.7</v>
      </c>
      <c r="R361" s="11" t="n">
        <v>2</v>
      </c>
      <c r="S361" s="11" t="n">
        <f aca="false">K361*R361</f>
        <v>49.4</v>
      </c>
      <c r="T361" s="8" t="n">
        <v>18.94</v>
      </c>
      <c r="U361" s="8" t="n">
        <v>28.95</v>
      </c>
      <c r="V361" s="12" t="n">
        <f aca="false">IF(U361-T361=0,"",(K361-T361)/(U361-T361))</f>
        <v>0.575424575424575</v>
      </c>
      <c r="W361" s="13" t="n">
        <f aca="false">IF(U361=0,"",K361/U361-1)</f>
        <v>-0.146804835924007</v>
      </c>
      <c r="X361" s="11" t="n">
        <v>21258</v>
      </c>
      <c r="Y361" s="5" t="s">
        <v>71</v>
      </c>
      <c r="Z361" s="5" t="s">
        <v>73</v>
      </c>
      <c r="AA361" s="5" t="s">
        <v>72</v>
      </c>
      <c r="AB361" s="5"/>
      <c r="AC361" s="5" t="s">
        <v>1205</v>
      </c>
      <c r="AD361" s="14" t="n">
        <v>46288.771875</v>
      </c>
    </row>
    <row r="362" customFormat="false" ht="15" hidden="false" customHeight="false" outlineLevel="0" collapsed="false">
      <c r="A362" s="5" t="s">
        <v>1206</v>
      </c>
      <c r="B362" s="5" t="s">
        <v>1207</v>
      </c>
      <c r="C362" s="5" t="s">
        <v>55</v>
      </c>
      <c r="D362" s="5" t="s">
        <v>56</v>
      </c>
      <c r="E362" s="5" t="s">
        <v>273</v>
      </c>
      <c r="F362" s="5" t="s">
        <v>274</v>
      </c>
      <c r="G362" s="5" t="s">
        <v>59</v>
      </c>
      <c r="H362" s="5" t="s">
        <v>60</v>
      </c>
      <c r="I362" s="6" t="n">
        <v>0.142857143</v>
      </c>
      <c r="J362" s="7" t="n">
        <f aca="false">IF(I362="","",1/I362)</f>
        <v>6.999999993</v>
      </c>
      <c r="K362" s="8" t="n">
        <v>63.53</v>
      </c>
      <c r="L362" s="9" t="n">
        <v>0.1</v>
      </c>
      <c r="M362" s="10" t="n">
        <v>0.0016</v>
      </c>
      <c r="N362" s="8" t="n">
        <v>63.73</v>
      </c>
      <c r="O362" s="8" t="n">
        <v>63.47</v>
      </c>
      <c r="P362" s="8" t="n">
        <v>64.09</v>
      </c>
      <c r="Q362" s="8" t="n">
        <v>63.53</v>
      </c>
      <c r="R362" s="11" t="n">
        <v>1065</v>
      </c>
      <c r="S362" s="11" t="n">
        <f aca="false">K362*R362</f>
        <v>67659.45</v>
      </c>
      <c r="T362" s="8" t="n">
        <v>57.12</v>
      </c>
      <c r="U362" s="8" t="n">
        <v>73.59</v>
      </c>
      <c r="V362" s="12" t="n">
        <f aca="false">IF(U362-T362=0,"",(K362-T362)/(U362-T362))</f>
        <v>0.389192471159684</v>
      </c>
      <c r="W362" s="13" t="n">
        <f aca="false">IF(U362=0,"",K362/U362-1)</f>
        <v>-0.136703356434298</v>
      </c>
      <c r="X362" s="11" t="n">
        <v>355138</v>
      </c>
      <c r="Y362" s="5" t="s">
        <v>273</v>
      </c>
      <c r="Z362" s="5" t="s">
        <v>275</v>
      </c>
      <c r="AA362" s="5" t="s">
        <v>274</v>
      </c>
      <c r="AB362" s="5"/>
      <c r="AC362" s="5" t="s">
        <v>1208</v>
      </c>
      <c r="AD362" s="14" t="n">
        <v>46288.771875</v>
      </c>
    </row>
    <row r="363" customFormat="false" ht="15" hidden="false" customHeight="false" outlineLevel="0" collapsed="false">
      <c r="A363" s="5" t="s">
        <v>1209</v>
      </c>
      <c r="B363" s="5" t="s">
        <v>1210</v>
      </c>
      <c r="C363" s="5" t="s">
        <v>248</v>
      </c>
      <c r="D363" s="5" t="s">
        <v>249</v>
      </c>
      <c r="E363" s="5" t="s">
        <v>988</v>
      </c>
      <c r="F363" s="5" t="s">
        <v>989</v>
      </c>
      <c r="G363" s="5" t="s">
        <v>59</v>
      </c>
      <c r="H363" s="5" t="s">
        <v>60</v>
      </c>
      <c r="I363" s="6" t="n">
        <v>0.2</v>
      </c>
      <c r="J363" s="7" t="n">
        <f aca="false">IF(I363="","",1/I363)</f>
        <v>5</v>
      </c>
      <c r="K363" s="8" t="n">
        <v>50.21</v>
      </c>
      <c r="L363" s="9" t="n">
        <v>-0.48</v>
      </c>
      <c r="M363" s="10" t="n">
        <v>-0.0095</v>
      </c>
      <c r="N363" s="8" t="n">
        <v>50.21</v>
      </c>
      <c r="O363" s="8" t="n">
        <v>50.21</v>
      </c>
      <c r="P363" s="8" t="n">
        <v>50.21</v>
      </c>
      <c r="Q363" s="8" t="n">
        <v>50.21</v>
      </c>
      <c r="R363" s="11" t="n">
        <v>1</v>
      </c>
      <c r="S363" s="11" t="n">
        <f aca="false">K363*R363</f>
        <v>50.21</v>
      </c>
      <c r="T363" s="8" t="n">
        <v>37.15</v>
      </c>
      <c r="U363" s="8" t="n">
        <v>54</v>
      </c>
      <c r="V363" s="12" t="n">
        <f aca="false">IF(U363-T363=0,"",(K363-T363)/(U363-T363))</f>
        <v>0.775074183976261</v>
      </c>
      <c r="W363" s="13" t="n">
        <f aca="false">IF(U363=0,"",K363/U363-1)</f>
        <v>-0.0701851851851851</v>
      </c>
      <c r="X363" s="11"/>
      <c r="Y363" s="5" t="s">
        <v>253</v>
      </c>
      <c r="Z363" s="5" t="s">
        <v>254</v>
      </c>
      <c r="AA363" s="5" t="s">
        <v>988</v>
      </c>
      <c r="AB363" s="5"/>
      <c r="AC363" s="5" t="s">
        <v>1211</v>
      </c>
      <c r="AD363" s="14" t="n">
        <v>46288.771875</v>
      </c>
    </row>
    <row r="364" customFormat="false" ht="15" hidden="false" customHeight="false" outlineLevel="0" collapsed="false">
      <c r="A364" s="5" t="s">
        <v>1212</v>
      </c>
      <c r="B364" s="5" t="s">
        <v>1213</v>
      </c>
      <c r="C364" s="5" t="s">
        <v>55</v>
      </c>
      <c r="D364" s="5" t="s">
        <v>56</v>
      </c>
      <c r="E364" s="5" t="s">
        <v>160</v>
      </c>
      <c r="F364" s="5" t="s">
        <v>161</v>
      </c>
      <c r="G364" s="5" t="s">
        <v>59</v>
      </c>
      <c r="H364" s="5" t="s">
        <v>60</v>
      </c>
      <c r="I364" s="6" t="n">
        <v>0.083333333</v>
      </c>
      <c r="J364" s="7" t="n">
        <f aca="false">IF(I364="","",1/I364)</f>
        <v>12.000000048</v>
      </c>
      <c r="K364" s="8" t="n">
        <v>55.01</v>
      </c>
      <c r="L364" s="9" t="n">
        <v>1.54</v>
      </c>
      <c r="M364" s="10" t="n">
        <v>0.0288</v>
      </c>
      <c r="N364" s="8" t="n">
        <v>54.13</v>
      </c>
      <c r="O364" s="8" t="n">
        <v>54.13</v>
      </c>
      <c r="P364" s="8" t="n">
        <v>55.43</v>
      </c>
      <c r="Q364" s="8" t="n">
        <v>55.01</v>
      </c>
      <c r="R364" s="11" t="n">
        <v>7017</v>
      </c>
      <c r="S364" s="11" t="n">
        <f aca="false">K364*R364</f>
        <v>386005.17</v>
      </c>
      <c r="T364" s="8" t="n">
        <v>38.13</v>
      </c>
      <c r="U364" s="8" t="n">
        <v>60.72</v>
      </c>
      <c r="V364" s="12" t="n">
        <f aca="false">IF(U364-T364=0,"",(K364-T364)/(U364-T364))</f>
        <v>0.747233289065958</v>
      </c>
      <c r="W364" s="13" t="n">
        <f aca="false">IF(U364=0,"",K364/U364-1)</f>
        <v>-0.0940382081686429</v>
      </c>
      <c r="X364" s="11" t="n">
        <v>770172</v>
      </c>
      <c r="Y364" s="5" t="s">
        <v>160</v>
      </c>
      <c r="Z364" s="5" t="s">
        <v>162</v>
      </c>
      <c r="AA364" s="5" t="s">
        <v>161</v>
      </c>
      <c r="AB364" s="5"/>
      <c r="AC364" s="5" t="s">
        <v>1214</v>
      </c>
      <c r="AD364" s="14" t="n">
        <v>46288.771875</v>
      </c>
    </row>
    <row r="365" customFormat="false" ht="15" hidden="false" customHeight="false" outlineLevel="0" collapsed="false">
      <c r="A365" s="5" t="s">
        <v>1215</v>
      </c>
      <c r="B365" s="5" t="s">
        <v>1216</v>
      </c>
      <c r="C365" s="5" t="s">
        <v>55</v>
      </c>
      <c r="D365" s="5" t="s">
        <v>56</v>
      </c>
      <c r="E365" s="5" t="s">
        <v>273</v>
      </c>
      <c r="F365" s="5" t="s">
        <v>274</v>
      </c>
      <c r="G365" s="5" t="s">
        <v>59</v>
      </c>
      <c r="H365" s="5"/>
      <c r="I365" s="6"/>
      <c r="J365" s="7" t="str">
        <f aca="false">IF(I365="","",1/I365)</f>
        <v/>
      </c>
      <c r="K365" s="8" t="n">
        <v>6.69</v>
      </c>
      <c r="L365" s="9" t="n">
        <v>0.4</v>
      </c>
      <c r="M365" s="10" t="n">
        <v>0.0636</v>
      </c>
      <c r="N365" s="8" t="n">
        <v>6.55</v>
      </c>
      <c r="O365" s="8" t="n">
        <v>6.55</v>
      </c>
      <c r="P365" s="8" t="n">
        <v>6.69</v>
      </c>
      <c r="Q365" s="8" t="n">
        <v>6.69</v>
      </c>
      <c r="R365" s="11" t="n">
        <v>11024</v>
      </c>
      <c r="S365" s="11" t="n">
        <f aca="false">K365*R365</f>
        <v>73750.56</v>
      </c>
      <c r="T365" s="8" t="n">
        <v>4.7</v>
      </c>
      <c r="U365" s="8" t="n">
        <v>11.91</v>
      </c>
      <c r="V365" s="12" t="n">
        <f aca="false">IF(U365-T365=0,"",(K365-T365)/(U365-T365))</f>
        <v>0.276005547850208</v>
      </c>
      <c r="W365" s="13" t="n">
        <f aca="false">IF(U365=0,"",K365/U365-1)</f>
        <v>-0.438287153652393</v>
      </c>
      <c r="X365" s="11" t="n">
        <v>12034</v>
      </c>
      <c r="Y365" s="5" t="s">
        <v>273</v>
      </c>
      <c r="Z365" s="5" t="s">
        <v>275</v>
      </c>
      <c r="AA365" s="5" t="s">
        <v>274</v>
      </c>
      <c r="AB365" s="5" t="s">
        <v>111</v>
      </c>
      <c r="AC365" s="5" t="s">
        <v>1217</v>
      </c>
      <c r="AD365" s="14" t="n">
        <v>46288.771875</v>
      </c>
    </row>
    <row r="366" customFormat="false" ht="15" hidden="false" customHeight="false" outlineLevel="0" collapsed="false">
      <c r="A366" s="5" t="s">
        <v>1218</v>
      </c>
      <c r="B366" s="5" t="s">
        <v>1219</v>
      </c>
      <c r="C366" s="5" t="s">
        <v>55</v>
      </c>
      <c r="D366" s="5" t="s">
        <v>56</v>
      </c>
      <c r="E366" s="5" t="s">
        <v>57</v>
      </c>
      <c r="F366" s="5" t="s">
        <v>58</v>
      </c>
      <c r="G366" s="5" t="s">
        <v>59</v>
      </c>
      <c r="H366" s="5" t="s">
        <v>60</v>
      </c>
      <c r="I366" s="6" t="n">
        <v>0.025</v>
      </c>
      <c r="J366" s="7" t="n">
        <f aca="false">IF(I366="","",1/I366)</f>
        <v>40</v>
      </c>
      <c r="K366" s="8" t="n">
        <v>116.72</v>
      </c>
      <c r="L366" s="9" t="n">
        <v>1.87</v>
      </c>
      <c r="M366" s="10" t="n">
        <v>0.0163</v>
      </c>
      <c r="N366" s="8" t="n">
        <v>116.16</v>
      </c>
      <c r="O366" s="8" t="n">
        <v>115</v>
      </c>
      <c r="P366" s="8" t="n">
        <v>117</v>
      </c>
      <c r="Q366" s="8" t="n">
        <v>116.72</v>
      </c>
      <c r="R366" s="11" t="n">
        <v>1255</v>
      </c>
      <c r="S366" s="11" t="n">
        <f aca="false">K366*R366</f>
        <v>146483.6</v>
      </c>
      <c r="T366" s="8" t="n">
        <v>113.77</v>
      </c>
      <c r="U366" s="8" t="n">
        <v>138.98</v>
      </c>
      <c r="V366" s="12" t="n">
        <f aca="false">IF(U366-T366=0,"",(K366-T366)/(U366-T366))</f>
        <v>0.117017056723523</v>
      </c>
      <c r="W366" s="13" t="n">
        <f aca="false">IF(U366=0,"",K366/U366-1)</f>
        <v>-0.160166930493596</v>
      </c>
      <c r="X366" s="11" t="n">
        <v>2041296</v>
      </c>
      <c r="Y366" s="5" t="s">
        <v>57</v>
      </c>
      <c r="Z366" s="5" t="s">
        <v>61</v>
      </c>
      <c r="AA366" s="5" t="s">
        <v>58</v>
      </c>
      <c r="AB366" s="5"/>
      <c r="AC366" s="5" t="s">
        <v>1220</v>
      </c>
      <c r="AD366" s="14" t="n">
        <v>46288.771875</v>
      </c>
    </row>
    <row r="367" customFormat="false" ht="15" hidden="false" customHeight="false" outlineLevel="0" collapsed="false">
      <c r="A367" s="5" t="s">
        <v>1221</v>
      </c>
      <c r="B367" s="5" t="s">
        <v>1222</v>
      </c>
      <c r="C367" s="5" t="s">
        <v>55</v>
      </c>
      <c r="D367" s="5" t="s">
        <v>56</v>
      </c>
      <c r="E367" s="5" t="s">
        <v>127</v>
      </c>
      <c r="F367" s="5" t="s">
        <v>128</v>
      </c>
      <c r="G367" s="5" t="s">
        <v>59</v>
      </c>
      <c r="H367" s="5"/>
      <c r="I367" s="6"/>
      <c r="J367" s="7" t="str">
        <f aca="false">IF(I367="","",1/I367)</f>
        <v/>
      </c>
      <c r="K367" s="8" t="n">
        <v>111.66</v>
      </c>
      <c r="L367" s="9" t="n">
        <v>-1.31</v>
      </c>
      <c r="M367" s="10" t="n">
        <v>-0.0116</v>
      </c>
      <c r="N367" s="8" t="n">
        <v>111.66</v>
      </c>
      <c r="O367" s="8" t="n">
        <v>111.66</v>
      </c>
      <c r="P367" s="8" t="n">
        <v>111.66</v>
      </c>
      <c r="Q367" s="8" t="n">
        <v>111.66</v>
      </c>
      <c r="R367" s="11" t="n">
        <v>3</v>
      </c>
      <c r="S367" s="11" t="n">
        <f aca="false">K367*R367</f>
        <v>334.98</v>
      </c>
      <c r="T367" s="8" t="n">
        <v>92.5</v>
      </c>
      <c r="U367" s="8" t="n">
        <v>122.88</v>
      </c>
      <c r="V367" s="12" t="n">
        <f aca="false">IF(U367-T367=0,"",(K367-T367)/(U367-T367))</f>
        <v>0.630678077682686</v>
      </c>
      <c r="W367" s="13" t="n">
        <f aca="false">IF(U367=0,"",K367/U367-1)</f>
        <v>-0.09130859375</v>
      </c>
      <c r="X367" s="11" t="n">
        <v>395879</v>
      </c>
      <c r="Y367" s="5" t="s">
        <v>127</v>
      </c>
      <c r="Z367" s="5" t="s">
        <v>129</v>
      </c>
      <c r="AA367" s="5" t="s">
        <v>128</v>
      </c>
      <c r="AB367" s="5" t="s">
        <v>111</v>
      </c>
      <c r="AC367" s="5" t="s">
        <v>1223</v>
      </c>
      <c r="AD367" s="14" t="n">
        <v>46288.771875</v>
      </c>
    </row>
    <row r="368" customFormat="false" ht="15" hidden="false" customHeight="false" outlineLevel="0" collapsed="false">
      <c r="A368" s="5" t="s">
        <v>1224</v>
      </c>
      <c r="B368" s="5" t="s">
        <v>1225</v>
      </c>
      <c r="C368" s="5" t="s">
        <v>55</v>
      </c>
      <c r="D368" s="5" t="s">
        <v>56</v>
      </c>
      <c r="E368" s="5" t="s">
        <v>57</v>
      </c>
      <c r="F368" s="5" t="s">
        <v>58</v>
      </c>
      <c r="G368" s="5" t="s">
        <v>59</v>
      </c>
      <c r="H368" s="5"/>
      <c r="I368" s="6"/>
      <c r="J368" s="7" t="str">
        <f aca="false">IF(I368="","",1/I368)</f>
        <v/>
      </c>
      <c r="K368" s="8" t="n">
        <v>77.85</v>
      </c>
      <c r="L368" s="9" t="n">
        <v>0.57</v>
      </c>
      <c r="M368" s="10" t="n">
        <v>0.0074</v>
      </c>
      <c r="N368" s="8" t="n">
        <v>77.85</v>
      </c>
      <c r="O368" s="8" t="n">
        <v>77.85</v>
      </c>
      <c r="P368" s="8" t="n">
        <v>77.85</v>
      </c>
      <c r="Q368" s="8" t="n">
        <v>77.85</v>
      </c>
      <c r="R368" s="11" t="n">
        <v>3</v>
      </c>
      <c r="S368" s="11" t="n">
        <f aca="false">K368*R368</f>
        <v>233.55</v>
      </c>
      <c r="T368" s="8" t="n">
        <v>75</v>
      </c>
      <c r="U368" s="8" t="n">
        <v>111.98</v>
      </c>
      <c r="V368" s="12" t="n">
        <f aca="false">IF(U368-T368=0,"",(K368-T368)/(U368-T368))</f>
        <v>0.077068685776095</v>
      </c>
      <c r="W368" s="13" t="n">
        <f aca="false">IF(U368=0,"",K368/U368-1)</f>
        <v>-0.304786569030184</v>
      </c>
      <c r="X368" s="11" t="n">
        <v>5798</v>
      </c>
      <c r="Y368" s="5" t="s">
        <v>57</v>
      </c>
      <c r="Z368" s="5" t="s">
        <v>61</v>
      </c>
      <c r="AA368" s="5" t="s">
        <v>58</v>
      </c>
      <c r="AB368" s="5" t="s">
        <v>111</v>
      </c>
      <c r="AC368" s="5" t="s">
        <v>1226</v>
      </c>
      <c r="AD368" s="14" t="n">
        <v>46288.771875</v>
      </c>
    </row>
    <row r="369" customFormat="false" ht="15" hidden="false" customHeight="false" outlineLevel="0" collapsed="false">
      <c r="A369" s="5" t="s">
        <v>1227</v>
      </c>
      <c r="B369" s="5" t="s">
        <v>1228</v>
      </c>
      <c r="C369" s="5" t="s">
        <v>55</v>
      </c>
      <c r="D369" s="5" t="s">
        <v>56</v>
      </c>
      <c r="E369" s="5" t="s">
        <v>182</v>
      </c>
      <c r="F369" s="5" t="s">
        <v>183</v>
      </c>
      <c r="G369" s="5" t="s">
        <v>59</v>
      </c>
      <c r="H369" s="5" t="s">
        <v>86</v>
      </c>
      <c r="I369" s="6" t="n">
        <v>1</v>
      </c>
      <c r="J369" s="7" t="n">
        <f aca="false">IF(I369="","",1/I369)</f>
        <v>1</v>
      </c>
      <c r="K369" s="8" t="n">
        <v>201.2</v>
      </c>
      <c r="L369" s="9" t="n">
        <v>1.8</v>
      </c>
      <c r="M369" s="10" t="n">
        <v>0.009</v>
      </c>
      <c r="N369" s="8" t="n">
        <v>202.4</v>
      </c>
      <c r="O369" s="8" t="n">
        <v>201.2</v>
      </c>
      <c r="P369" s="8" t="n">
        <v>202.4</v>
      </c>
      <c r="Q369" s="8" t="n">
        <v>201.2</v>
      </c>
      <c r="R369" s="11" t="n">
        <v>110</v>
      </c>
      <c r="S369" s="11" t="n">
        <f aca="false">K369*R369</f>
        <v>22132</v>
      </c>
      <c r="T369" s="8" t="n">
        <v>199.4</v>
      </c>
      <c r="U369" s="8" t="n">
        <v>418.61</v>
      </c>
      <c r="V369" s="12" t="n">
        <f aca="false">IF(U369-T369=0,"",(K369-T369)/(U369-T369))</f>
        <v>0.0082113042288216</v>
      </c>
      <c r="W369" s="13" t="n">
        <f aca="false">IF(U369=0,"",K369/U369-1)</f>
        <v>-0.519361697044982</v>
      </c>
      <c r="X369" s="11" t="n">
        <v>136853</v>
      </c>
      <c r="Y369" s="5" t="s">
        <v>182</v>
      </c>
      <c r="Z369" s="5" t="s">
        <v>184</v>
      </c>
      <c r="AA369" s="5" t="s">
        <v>183</v>
      </c>
      <c r="AB369" s="5"/>
      <c r="AC369" s="5" t="s">
        <v>1229</v>
      </c>
      <c r="AD369" s="14" t="n">
        <v>46288.771875</v>
      </c>
    </row>
    <row r="370" customFormat="false" ht="15" hidden="false" customHeight="false" outlineLevel="0" collapsed="false">
      <c r="A370" s="5" t="s">
        <v>1230</v>
      </c>
      <c r="B370" s="5" t="s">
        <v>1231</v>
      </c>
      <c r="C370" s="5" t="s">
        <v>55</v>
      </c>
      <c r="D370" s="5" t="s">
        <v>56</v>
      </c>
      <c r="E370" s="5" t="s">
        <v>77</v>
      </c>
      <c r="F370" s="5" t="s">
        <v>78</v>
      </c>
      <c r="G370" s="5" t="s">
        <v>59</v>
      </c>
      <c r="H370" s="5" t="s">
        <v>60</v>
      </c>
      <c r="I370" s="6" t="n">
        <v>0.2</v>
      </c>
      <c r="J370" s="7" t="n">
        <f aca="false">IF(I370="","",1/I370)</f>
        <v>5</v>
      </c>
      <c r="K370" s="8" t="n">
        <v>109.9</v>
      </c>
      <c r="L370" s="9" t="n">
        <v>1.01</v>
      </c>
      <c r="M370" s="10" t="n">
        <v>0.0093</v>
      </c>
      <c r="N370" s="8" t="n">
        <v>109.98</v>
      </c>
      <c r="O370" s="8" t="n">
        <v>108.82</v>
      </c>
      <c r="P370" s="8" t="n">
        <v>110.25</v>
      </c>
      <c r="Q370" s="8" t="n">
        <v>109.9</v>
      </c>
      <c r="R370" s="11" t="n">
        <v>3405</v>
      </c>
      <c r="S370" s="11" t="n">
        <f aca="false">K370*R370</f>
        <v>374209.5</v>
      </c>
      <c r="T370" s="8" t="n">
        <v>70.41</v>
      </c>
      <c r="U370" s="8" t="n">
        <v>132.02</v>
      </c>
      <c r="V370" s="12" t="n">
        <f aca="false">IF(U370-T370=0,"",(K370-T370)/(U370-T370))</f>
        <v>0.640967375426067</v>
      </c>
      <c r="W370" s="13" t="n">
        <f aca="false">IF(U370=0,"",K370/U370-1)</f>
        <v>-0.167550371155885</v>
      </c>
      <c r="X370" s="11" t="n">
        <v>2147640</v>
      </c>
      <c r="Y370" s="5" t="s">
        <v>77</v>
      </c>
      <c r="Z370" s="5" t="s">
        <v>79</v>
      </c>
      <c r="AA370" s="5" t="s">
        <v>78</v>
      </c>
      <c r="AB370" s="5"/>
      <c r="AC370" s="5" t="s">
        <v>1232</v>
      </c>
      <c r="AD370" s="14" t="n">
        <v>46288.771875</v>
      </c>
    </row>
    <row r="371" customFormat="false" ht="15" hidden="false" customHeight="false" outlineLevel="0" collapsed="false">
      <c r="A371" s="5" t="s">
        <v>1233</v>
      </c>
      <c r="B371" s="5" t="s">
        <v>1234</v>
      </c>
      <c r="C371" s="5" t="s">
        <v>55</v>
      </c>
      <c r="D371" s="5" t="s">
        <v>56</v>
      </c>
      <c r="E371" s="5" t="s">
        <v>127</v>
      </c>
      <c r="F371" s="5" t="s">
        <v>128</v>
      </c>
      <c r="G371" s="5" t="s">
        <v>59</v>
      </c>
      <c r="H371" s="5" t="s">
        <v>60</v>
      </c>
      <c r="I371" s="6" t="n">
        <v>0.5</v>
      </c>
      <c r="J371" s="7" t="n">
        <f aca="false">IF(I371="","",1/I371)</f>
        <v>2</v>
      </c>
      <c r="K371" s="8" t="n">
        <v>118.68</v>
      </c>
      <c r="L371" s="9" t="n">
        <v>-5.34</v>
      </c>
      <c r="M371" s="10" t="n">
        <v>-0.0431</v>
      </c>
      <c r="N371" s="8" t="n">
        <v>118.68</v>
      </c>
      <c r="O371" s="8" t="n">
        <v>118.68</v>
      </c>
      <c r="P371" s="8" t="n">
        <v>118.68</v>
      </c>
      <c r="Q371" s="8" t="n">
        <v>118.68</v>
      </c>
      <c r="R371" s="11" t="n">
        <v>2</v>
      </c>
      <c r="S371" s="11" t="n">
        <f aca="false">K371*R371</f>
        <v>237.36</v>
      </c>
      <c r="T371" s="8" t="n">
        <v>89.28</v>
      </c>
      <c r="U371" s="8" t="n">
        <v>134.29</v>
      </c>
      <c r="V371" s="12" t="n">
        <f aca="false">IF(U371-T371=0,"",(K371-T371)/(U371-T371))</f>
        <v>0.653188180404355</v>
      </c>
      <c r="W371" s="13" t="n">
        <f aca="false">IF(U371=0,"",K371/U371-1)</f>
        <v>-0.116240971032839</v>
      </c>
      <c r="X371" s="11" t="n">
        <v>441693</v>
      </c>
      <c r="Y371" s="5" t="s">
        <v>127</v>
      </c>
      <c r="Z371" s="5" t="s">
        <v>129</v>
      </c>
      <c r="AA371" s="5" t="s">
        <v>128</v>
      </c>
      <c r="AB371" s="5"/>
      <c r="AC371" s="5" t="s">
        <v>1235</v>
      </c>
      <c r="AD371" s="14" t="n">
        <v>46288.771875</v>
      </c>
    </row>
    <row r="372" customFormat="false" ht="15" hidden="false" customHeight="false" outlineLevel="0" collapsed="false">
      <c r="A372" s="5" t="s">
        <v>1236</v>
      </c>
      <c r="B372" s="5" t="s">
        <v>1237</v>
      </c>
      <c r="C372" s="5" t="s">
        <v>55</v>
      </c>
      <c r="D372" s="5" t="s">
        <v>56</v>
      </c>
      <c r="E372" s="5" t="s">
        <v>71</v>
      </c>
      <c r="F372" s="5" t="s">
        <v>72</v>
      </c>
      <c r="G372" s="5" t="s">
        <v>59</v>
      </c>
      <c r="H372" s="5" t="s">
        <v>60</v>
      </c>
      <c r="I372" s="6" t="n">
        <v>0.1667</v>
      </c>
      <c r="J372" s="7" t="n">
        <f aca="false">IF(I372="","",1/I372)</f>
        <v>5.99880023995201</v>
      </c>
      <c r="K372" s="8" t="n">
        <v>113.33</v>
      </c>
      <c r="L372" s="9" t="n">
        <v>0.59</v>
      </c>
      <c r="M372" s="10" t="n">
        <v>0.0052</v>
      </c>
      <c r="N372" s="8" t="n">
        <v>112.57</v>
      </c>
      <c r="O372" s="8" t="n">
        <v>112.23</v>
      </c>
      <c r="P372" s="8" t="n">
        <v>114.59</v>
      </c>
      <c r="Q372" s="8" t="n">
        <v>113.63</v>
      </c>
      <c r="R372" s="11" t="n">
        <v>9007</v>
      </c>
      <c r="S372" s="11" t="n">
        <f aca="false">K372*R372</f>
        <v>1020763.31</v>
      </c>
      <c r="T372" s="8" t="n">
        <v>85.24</v>
      </c>
      <c r="U372" s="8" t="n">
        <v>127.6</v>
      </c>
      <c r="V372" s="12" t="n">
        <f aca="false">IF(U372-T372=0,"",(K372-T372)/(U372-T372))</f>
        <v>0.663125590179415</v>
      </c>
      <c r="W372" s="13" t="n">
        <f aca="false">IF(U372=0,"",K372/U372-1)</f>
        <v>-0.111833855799373</v>
      </c>
      <c r="X372" s="11" t="n">
        <v>1137206</v>
      </c>
      <c r="Y372" s="5" t="s">
        <v>71</v>
      </c>
      <c r="Z372" s="5" t="s">
        <v>73</v>
      </c>
      <c r="AA372" s="5" t="s">
        <v>72</v>
      </c>
      <c r="AB372" s="5"/>
      <c r="AC372" s="5" t="s">
        <v>1238</v>
      </c>
      <c r="AD372" s="14" t="n">
        <v>46288.771875</v>
      </c>
    </row>
    <row r="373" customFormat="false" ht="15" hidden="false" customHeight="false" outlineLevel="0" collapsed="false">
      <c r="A373" s="5" t="s">
        <v>1239</v>
      </c>
      <c r="B373" s="5" t="s">
        <v>1240</v>
      </c>
      <c r="C373" s="5" t="s">
        <v>55</v>
      </c>
      <c r="D373" s="5" t="s">
        <v>56</v>
      </c>
      <c r="E373" s="5" t="s">
        <v>115</v>
      </c>
      <c r="F373" s="5" t="s">
        <v>116</v>
      </c>
      <c r="G373" s="5" t="s">
        <v>59</v>
      </c>
      <c r="H373" s="5" t="s">
        <v>60</v>
      </c>
      <c r="I373" s="6" t="n">
        <v>1</v>
      </c>
      <c r="J373" s="7" t="n">
        <f aca="false">IF(I373="","",1/I373)</f>
        <v>1</v>
      </c>
      <c r="K373" s="8" t="n">
        <v>301.1</v>
      </c>
      <c r="L373" s="9" t="n">
        <v>-24.61</v>
      </c>
      <c r="M373" s="10" t="n">
        <v>-0.0756</v>
      </c>
      <c r="N373" s="8" t="n">
        <v>299.93</v>
      </c>
      <c r="O373" s="8" t="n">
        <v>299.93</v>
      </c>
      <c r="P373" s="8" t="n">
        <v>302.4</v>
      </c>
      <c r="Q373" s="8" t="n">
        <v>301.1</v>
      </c>
      <c r="R373" s="11" t="n">
        <v>6</v>
      </c>
      <c r="S373" s="11" t="n">
        <f aca="false">K373*R373</f>
        <v>1806.6</v>
      </c>
      <c r="T373" s="8" t="n">
        <v>192.5</v>
      </c>
      <c r="U373" s="8" t="n">
        <v>472</v>
      </c>
      <c r="V373" s="12" t="n">
        <f aca="false">IF(U373-T373=0,"",(K373-T373)/(U373-T373))</f>
        <v>0.388550983899821</v>
      </c>
      <c r="W373" s="13" t="n">
        <f aca="false">IF(U373=0,"",K373/U373-1)</f>
        <v>-0.362076271186441</v>
      </c>
      <c r="X373" s="11" t="n">
        <v>135272</v>
      </c>
      <c r="Y373" s="5" t="s">
        <v>115</v>
      </c>
      <c r="Z373" s="5" t="s">
        <v>117</v>
      </c>
      <c r="AA373" s="5" t="s">
        <v>116</v>
      </c>
      <c r="AB373" s="5"/>
      <c r="AC373" s="5" t="s">
        <v>1241</v>
      </c>
      <c r="AD373" s="14" t="n">
        <v>46288.771875</v>
      </c>
    </row>
    <row r="374" customFormat="false" ht="15" hidden="false" customHeight="false" outlineLevel="0" collapsed="false">
      <c r="A374" s="5" t="s">
        <v>1242</v>
      </c>
      <c r="B374" s="5" t="s">
        <v>1243</v>
      </c>
      <c r="C374" s="5" t="s">
        <v>55</v>
      </c>
      <c r="D374" s="5" t="s">
        <v>56</v>
      </c>
      <c r="E374" s="5" t="s">
        <v>57</v>
      </c>
      <c r="F374" s="5" t="s">
        <v>58</v>
      </c>
      <c r="G374" s="5" t="s">
        <v>59</v>
      </c>
      <c r="H374" s="5" t="s">
        <v>60</v>
      </c>
      <c r="I374" s="6" t="n">
        <v>0.1</v>
      </c>
      <c r="J374" s="7" t="n">
        <f aca="false">IF(I374="","",1/I374)</f>
        <v>10</v>
      </c>
      <c r="K374" s="8" t="n">
        <v>44.4</v>
      </c>
      <c r="L374" s="9" t="n">
        <v>0</v>
      </c>
      <c r="M374" s="10" t="n">
        <v>0</v>
      </c>
      <c r="N374" s="8" t="n">
        <v>44.53</v>
      </c>
      <c r="O374" s="8" t="n">
        <v>44.36</v>
      </c>
      <c r="P374" s="8" t="n">
        <v>44.53</v>
      </c>
      <c r="Q374" s="8" t="n">
        <v>44.4</v>
      </c>
      <c r="R374" s="11" t="n">
        <v>171</v>
      </c>
      <c r="S374" s="11" t="n">
        <f aca="false">K374*R374</f>
        <v>7592.4</v>
      </c>
      <c r="T374" s="8" t="n">
        <v>36.78</v>
      </c>
      <c r="U374" s="8" t="n">
        <v>58.37</v>
      </c>
      <c r="V374" s="12" t="n">
        <f aca="false">IF(U374-T374=0,"",(K374-T374)/(U374-T374))</f>
        <v>0.352941176470588</v>
      </c>
      <c r="W374" s="13" t="n">
        <f aca="false">IF(U374=0,"",K374/U374-1)</f>
        <v>-0.239335274970019</v>
      </c>
      <c r="X374" s="11" t="n">
        <v>570104</v>
      </c>
      <c r="Y374" s="5" t="s">
        <v>57</v>
      </c>
      <c r="Z374" s="5" t="s">
        <v>61</v>
      </c>
      <c r="AA374" s="5" t="s">
        <v>58</v>
      </c>
      <c r="AB374" s="5"/>
      <c r="AC374" s="5" t="s">
        <v>1244</v>
      </c>
      <c r="AD374" s="14" t="n">
        <v>46288.771875</v>
      </c>
    </row>
    <row r="375" customFormat="false" ht="15" hidden="false" customHeight="false" outlineLevel="0" collapsed="false">
      <c r="A375" s="5" t="s">
        <v>1245</v>
      </c>
      <c r="B375" s="5" t="s">
        <v>1246</v>
      </c>
      <c r="C375" s="5" t="s">
        <v>55</v>
      </c>
      <c r="D375" s="5" t="s">
        <v>56</v>
      </c>
      <c r="E375" s="5" t="s">
        <v>115</v>
      </c>
      <c r="F375" s="5" t="s">
        <v>116</v>
      </c>
      <c r="G375" s="5" t="s">
        <v>59</v>
      </c>
      <c r="H375" s="5" t="s">
        <v>60</v>
      </c>
      <c r="I375" s="6" t="n">
        <v>0.1</v>
      </c>
      <c r="J375" s="7" t="n">
        <f aca="false">IF(I375="","",1/I375)</f>
        <v>10</v>
      </c>
      <c r="K375" s="8" t="n">
        <v>130</v>
      </c>
      <c r="L375" s="9" t="n">
        <v>3.5</v>
      </c>
      <c r="M375" s="10" t="n">
        <v>0.0277</v>
      </c>
      <c r="N375" s="8" t="n">
        <v>129.61</v>
      </c>
      <c r="O375" s="8" t="n">
        <v>129.08</v>
      </c>
      <c r="P375" s="8" t="n">
        <v>131.7</v>
      </c>
      <c r="Q375" s="8" t="n">
        <v>130</v>
      </c>
      <c r="R375" s="11" t="n">
        <v>2795</v>
      </c>
      <c r="S375" s="11" t="n">
        <f aca="false">K375*R375</f>
        <v>363350</v>
      </c>
      <c r="T375" s="8" t="n">
        <v>50.92</v>
      </c>
      <c r="U375" s="8" t="n">
        <v>149.1</v>
      </c>
      <c r="V375" s="12" t="n">
        <f aca="false">IF(U375-T375=0,"",(K375-T375)/(U375-T375))</f>
        <v>0.805459360358525</v>
      </c>
      <c r="W375" s="13" t="n">
        <f aca="false">IF(U375=0,"",K375/U375-1)</f>
        <v>-0.128101945003353</v>
      </c>
      <c r="X375" s="11" t="n">
        <v>454770</v>
      </c>
      <c r="Y375" s="5" t="s">
        <v>115</v>
      </c>
      <c r="Z375" s="5" t="s">
        <v>117</v>
      </c>
      <c r="AA375" s="5" t="s">
        <v>116</v>
      </c>
      <c r="AB375" s="5"/>
      <c r="AC375" s="5" t="s">
        <v>1247</v>
      </c>
      <c r="AD375" s="14" t="n">
        <v>46288.771875</v>
      </c>
    </row>
    <row r="376" customFormat="false" ht="15" hidden="false" customHeight="false" outlineLevel="0" collapsed="false">
      <c r="A376" s="5" t="s">
        <v>1248</v>
      </c>
      <c r="B376" s="5" t="s">
        <v>1249</v>
      </c>
      <c r="C376" s="5" t="s">
        <v>55</v>
      </c>
      <c r="D376" s="5" t="s">
        <v>56</v>
      </c>
      <c r="E376" s="5" t="s">
        <v>77</v>
      </c>
      <c r="F376" s="5" t="s">
        <v>78</v>
      </c>
      <c r="G376" s="5" t="s">
        <v>59</v>
      </c>
      <c r="H376" s="5" t="s">
        <v>60</v>
      </c>
      <c r="I376" s="6" t="n">
        <v>0.04</v>
      </c>
      <c r="J376" s="7" t="n">
        <f aca="false">IF(I376="","",1/I376)</f>
        <v>25</v>
      </c>
      <c r="K376" s="8" t="n">
        <v>112.56</v>
      </c>
      <c r="L376" s="9" t="n">
        <v>-0.19</v>
      </c>
      <c r="M376" s="10" t="n">
        <v>-0.0017</v>
      </c>
      <c r="N376" s="8" t="n">
        <v>113.88</v>
      </c>
      <c r="O376" s="8" t="n">
        <v>112.45</v>
      </c>
      <c r="P376" s="8" t="n">
        <v>117.03</v>
      </c>
      <c r="Q376" s="8" t="n">
        <v>113.51</v>
      </c>
      <c r="R376" s="11" t="n">
        <v>30011</v>
      </c>
      <c r="S376" s="11" t="n">
        <f aca="false">K376*R376</f>
        <v>3378038.16</v>
      </c>
      <c r="T376" s="8" t="n">
        <v>23.2384</v>
      </c>
      <c r="U376" s="8" t="n">
        <v>122.66</v>
      </c>
      <c r="V376" s="12" t="n">
        <f aca="false">IF(U376-T376=0,"",(K376-T376)/(U376-T376))</f>
        <v>0.898412417422371</v>
      </c>
      <c r="W376" s="13" t="n">
        <f aca="false">IF(U376=0,"",K376/U376-1)</f>
        <v>-0.0823414315995434</v>
      </c>
      <c r="X376" s="11" t="n">
        <v>1786133</v>
      </c>
      <c r="Y376" s="5" t="s">
        <v>77</v>
      </c>
      <c r="Z376" s="5" t="s">
        <v>79</v>
      </c>
      <c r="AA376" s="5" t="s">
        <v>78</v>
      </c>
      <c r="AB376" s="5"/>
      <c r="AC376" s="5" t="s">
        <v>1250</v>
      </c>
      <c r="AD376" s="14" t="n">
        <v>46288.771875</v>
      </c>
    </row>
    <row r="377" customFormat="false" ht="15" hidden="false" customHeight="false" outlineLevel="0" collapsed="false">
      <c r="A377" s="5" t="s">
        <v>1251</v>
      </c>
      <c r="B377" s="5" t="s">
        <v>1252</v>
      </c>
      <c r="C377" s="5" t="s">
        <v>55</v>
      </c>
      <c r="D377" s="5" t="s">
        <v>56</v>
      </c>
      <c r="E377" s="5" t="s">
        <v>99</v>
      </c>
      <c r="F377" s="5" t="s">
        <v>100</v>
      </c>
      <c r="G377" s="5" t="s">
        <v>59</v>
      </c>
      <c r="H377" s="5" t="s">
        <v>60</v>
      </c>
      <c r="I377" s="6" t="n">
        <v>0.02</v>
      </c>
      <c r="J377" s="7" t="n">
        <f aca="false">IF(I377="","",1/I377)</f>
        <v>50</v>
      </c>
      <c r="K377" s="8" t="n">
        <v>9.1</v>
      </c>
      <c r="L377" s="9" t="n">
        <v>-0.11</v>
      </c>
      <c r="M377" s="10" t="n">
        <v>-0.0119</v>
      </c>
      <c r="N377" s="8" t="n">
        <v>9.22</v>
      </c>
      <c r="O377" s="8" t="n">
        <v>9.09</v>
      </c>
      <c r="P377" s="8" t="n">
        <v>9.22</v>
      </c>
      <c r="Q377" s="8" t="n">
        <v>9.1</v>
      </c>
      <c r="R377" s="11" t="n">
        <v>44</v>
      </c>
      <c r="S377" s="11" t="n">
        <f aca="false">K377*R377</f>
        <v>400.4</v>
      </c>
      <c r="T377" s="8" t="n">
        <v>5.75</v>
      </c>
      <c r="U377" s="8" t="n">
        <v>9.57</v>
      </c>
      <c r="V377" s="12" t="n">
        <f aca="false">IF(U377-T377=0,"",(K377-T377)/(U377-T377))</f>
        <v>0.87696335078534</v>
      </c>
      <c r="W377" s="13" t="n">
        <f aca="false">IF(U377=0,"",K377/U377-1)</f>
        <v>-0.0491118077324975</v>
      </c>
      <c r="X377" s="11" t="n">
        <v>172902</v>
      </c>
      <c r="Y377" s="5" t="s">
        <v>99</v>
      </c>
      <c r="Z377" s="5" t="s">
        <v>101</v>
      </c>
      <c r="AA377" s="5" t="s">
        <v>100</v>
      </c>
      <c r="AB377" s="5"/>
      <c r="AC377" s="5" t="s">
        <v>1253</v>
      </c>
      <c r="AD377" s="14" t="n">
        <v>46288.771875</v>
      </c>
    </row>
    <row r="378" customFormat="false" ht="15" hidden="false" customHeight="false" outlineLevel="0" collapsed="false">
      <c r="A378" s="5" t="s">
        <v>1254</v>
      </c>
      <c r="B378" s="5" t="s">
        <v>1255</v>
      </c>
      <c r="C378" s="5" t="s">
        <v>55</v>
      </c>
      <c r="D378" s="5" t="s">
        <v>56</v>
      </c>
      <c r="E378" s="5" t="s">
        <v>71</v>
      </c>
      <c r="F378" s="5" t="s">
        <v>72</v>
      </c>
      <c r="G378" s="5" t="s">
        <v>59</v>
      </c>
      <c r="H378" s="5" t="s">
        <v>60</v>
      </c>
      <c r="I378" s="6" t="n">
        <v>0.0625</v>
      </c>
      <c r="J378" s="7" t="n">
        <f aca="false">IF(I378="","",1/I378)</f>
        <v>16</v>
      </c>
      <c r="K378" s="8" t="n">
        <v>59.04</v>
      </c>
      <c r="L378" s="9" t="n">
        <v>-0.6</v>
      </c>
      <c r="M378" s="10" t="n">
        <v>-0.0101</v>
      </c>
      <c r="N378" s="8" t="n">
        <v>59.34</v>
      </c>
      <c r="O378" s="8" t="n">
        <v>59.04</v>
      </c>
      <c r="P378" s="8" t="n">
        <v>59.34</v>
      </c>
      <c r="Q378" s="8" t="n">
        <v>59.04</v>
      </c>
      <c r="R378" s="11" t="n">
        <v>691</v>
      </c>
      <c r="S378" s="11" t="n">
        <f aca="false">K378*R378</f>
        <v>40796.64</v>
      </c>
      <c r="T378" s="8" t="n">
        <v>50.6675</v>
      </c>
      <c r="U378" s="8" t="n">
        <v>65.34</v>
      </c>
      <c r="V378" s="12" t="n">
        <f aca="false">IF(U378-T378=0,"",(K378-T378)/(U378-T378))</f>
        <v>0.570625319475209</v>
      </c>
      <c r="W378" s="13" t="n">
        <f aca="false">IF(U378=0,"",K378/U378-1)</f>
        <v>-0.0964187327823692</v>
      </c>
      <c r="X378" s="11" t="n">
        <v>352487</v>
      </c>
      <c r="Y378" s="5" t="s">
        <v>71</v>
      </c>
      <c r="Z378" s="5" t="s">
        <v>73</v>
      </c>
      <c r="AA378" s="5" t="s">
        <v>72</v>
      </c>
      <c r="AB378" s="5"/>
      <c r="AC378" s="5" t="s">
        <v>1256</v>
      </c>
      <c r="AD378" s="14" t="n">
        <v>46288.771875</v>
      </c>
    </row>
    <row r="379" customFormat="false" ht="15" hidden="false" customHeight="false" outlineLevel="0" collapsed="false">
      <c r="A379" s="5" t="s">
        <v>1257</v>
      </c>
      <c r="B379" s="5" t="s">
        <v>1258</v>
      </c>
      <c r="C379" s="5" t="s">
        <v>55</v>
      </c>
      <c r="D379" s="5" t="s">
        <v>56</v>
      </c>
      <c r="E379" s="5" t="s">
        <v>115</v>
      </c>
      <c r="F379" s="5" t="s">
        <v>116</v>
      </c>
      <c r="G379" s="5" t="s">
        <v>59</v>
      </c>
      <c r="H379" s="5" t="s">
        <v>60</v>
      </c>
      <c r="I379" s="6" t="n">
        <v>0.05</v>
      </c>
      <c r="J379" s="7" t="n">
        <f aca="false">IF(I379="","",1/I379)</f>
        <v>20</v>
      </c>
      <c r="K379" s="8" t="n">
        <v>17.46</v>
      </c>
      <c r="L379" s="9" t="n">
        <v>0.44</v>
      </c>
      <c r="M379" s="10" t="n">
        <v>0.0259</v>
      </c>
      <c r="N379" s="8" t="n">
        <v>16.9</v>
      </c>
      <c r="O379" s="8" t="n">
        <v>16.9</v>
      </c>
      <c r="P379" s="8" t="n">
        <v>17.46</v>
      </c>
      <c r="Q379" s="8" t="n">
        <v>17.46</v>
      </c>
      <c r="R379" s="11" t="n">
        <v>7</v>
      </c>
      <c r="S379" s="11" t="n">
        <f aca="false">K379*R379</f>
        <v>122.22</v>
      </c>
      <c r="T379" s="8" t="n">
        <v>10.4</v>
      </c>
      <c r="U379" s="8" t="n">
        <v>22.73</v>
      </c>
      <c r="V379" s="12" t="n">
        <f aca="false">IF(U379-T379=0,"",(K379-T379)/(U379-T379))</f>
        <v>0.572587185725872</v>
      </c>
      <c r="W379" s="13" t="n">
        <f aca="false">IF(U379=0,"",K379/U379-1)</f>
        <v>-0.231852177738671</v>
      </c>
      <c r="X379" s="11" t="n">
        <v>63857</v>
      </c>
      <c r="Y379" s="5" t="s">
        <v>115</v>
      </c>
      <c r="Z379" s="5" t="s">
        <v>117</v>
      </c>
      <c r="AA379" s="5" t="s">
        <v>116</v>
      </c>
      <c r="AB379" s="5"/>
      <c r="AC379" s="5" t="s">
        <v>1259</v>
      </c>
      <c r="AD379" s="14" t="n">
        <v>46288.771875</v>
      </c>
    </row>
    <row r="380" customFormat="false" ht="15" hidden="false" customHeight="false" outlineLevel="0" collapsed="false">
      <c r="A380" s="5" t="s">
        <v>1260</v>
      </c>
      <c r="B380" s="5" t="s">
        <v>1261</v>
      </c>
      <c r="C380" s="5" t="s">
        <v>55</v>
      </c>
      <c r="D380" s="5" t="s">
        <v>56</v>
      </c>
      <c r="E380" s="5" t="s">
        <v>90</v>
      </c>
      <c r="F380" s="5" t="s">
        <v>91</v>
      </c>
      <c r="G380" s="5" t="s">
        <v>59</v>
      </c>
      <c r="H380" s="5" t="s">
        <v>60</v>
      </c>
      <c r="I380" s="6" t="n">
        <v>0.166667</v>
      </c>
      <c r="J380" s="7" t="n">
        <f aca="false">IF(I380="","",1/I380)</f>
        <v>5.999988000024</v>
      </c>
      <c r="K380" s="8" t="n">
        <v>52.65</v>
      </c>
      <c r="L380" s="9" t="n">
        <v>-0.95</v>
      </c>
      <c r="M380" s="10" t="n">
        <v>-0.0177</v>
      </c>
      <c r="N380" s="8" t="n">
        <v>53.2</v>
      </c>
      <c r="O380" s="8" t="n">
        <v>52.65</v>
      </c>
      <c r="P380" s="8" t="n">
        <v>53.2</v>
      </c>
      <c r="Q380" s="8" t="n">
        <v>52.65</v>
      </c>
      <c r="R380" s="11" t="n">
        <v>23</v>
      </c>
      <c r="S380" s="11" t="n">
        <f aca="false">K380*R380</f>
        <v>1210.95</v>
      </c>
      <c r="T380" s="8" t="n">
        <v>50.33333283</v>
      </c>
      <c r="U380" s="8" t="n">
        <v>60.77333273</v>
      </c>
      <c r="V380" s="12" t="n">
        <f aca="false">IF(U380-T380=0,"",(K380-T380)/(U380-T380))</f>
        <v>0.221902987757691</v>
      </c>
      <c r="W380" s="13" t="n">
        <f aca="false">IF(U380=0,"",K380/U380-1)</f>
        <v>-0.133666073014127</v>
      </c>
      <c r="X380" s="11" t="n">
        <v>281007</v>
      </c>
      <c r="Y380" s="5" t="s">
        <v>90</v>
      </c>
      <c r="Z380" s="5" t="s">
        <v>92</v>
      </c>
      <c r="AA380" s="5" t="s">
        <v>91</v>
      </c>
      <c r="AB380" s="5"/>
      <c r="AC380" s="5" t="s">
        <v>1262</v>
      </c>
      <c r="AD380" s="14" t="n">
        <v>46288.771875</v>
      </c>
    </row>
    <row r="381" customFormat="false" ht="15" hidden="false" customHeight="false" outlineLevel="0" collapsed="false">
      <c r="A381" s="5" t="s">
        <v>1263</v>
      </c>
      <c r="B381" s="5" t="s">
        <v>1264</v>
      </c>
      <c r="C381" s="5" t="s">
        <v>55</v>
      </c>
      <c r="D381" s="5" t="s">
        <v>56</v>
      </c>
      <c r="E381" s="5" t="s">
        <v>142</v>
      </c>
      <c r="F381" s="5" t="s">
        <v>143</v>
      </c>
      <c r="G381" s="5" t="s">
        <v>59</v>
      </c>
      <c r="H381" s="5" t="s">
        <v>60</v>
      </c>
      <c r="I381" s="6" t="n">
        <v>0.5</v>
      </c>
      <c r="J381" s="7" t="n">
        <f aca="false">IF(I381="","",1/I381)</f>
        <v>2</v>
      </c>
      <c r="K381" s="8" t="n">
        <v>476.64</v>
      </c>
      <c r="L381" s="9" t="n">
        <v>-25.61</v>
      </c>
      <c r="M381" s="10" t="n">
        <v>-0.051</v>
      </c>
      <c r="N381" s="8" t="n">
        <v>476.64</v>
      </c>
      <c r="O381" s="8" t="n">
        <v>476.64</v>
      </c>
      <c r="P381" s="8" t="n">
        <v>476.64</v>
      </c>
      <c r="Q381" s="8" t="n">
        <v>476.64</v>
      </c>
      <c r="R381" s="11" t="n">
        <v>5</v>
      </c>
      <c r="S381" s="11" t="n">
        <f aca="false">K381*R381</f>
        <v>2383.2</v>
      </c>
      <c r="T381" s="8" t="n">
        <v>443.73</v>
      </c>
      <c r="U381" s="8" t="n">
        <v>565</v>
      </c>
      <c r="V381" s="12" t="n">
        <f aca="false">IF(U381-T381=0,"",(K381-T381)/(U381-T381))</f>
        <v>0.271377917044611</v>
      </c>
      <c r="W381" s="13" t="n">
        <f aca="false">IF(U381=0,"",K381/U381-1)</f>
        <v>-0.156389380530974</v>
      </c>
      <c r="X381" s="11" t="n">
        <v>128573</v>
      </c>
      <c r="Y381" s="5" t="s">
        <v>142</v>
      </c>
      <c r="Z381" s="5" t="s">
        <v>144</v>
      </c>
      <c r="AA381" s="5" t="s">
        <v>143</v>
      </c>
      <c r="AB381" s="5"/>
      <c r="AC381" s="5" t="s">
        <v>1265</v>
      </c>
      <c r="AD381" s="14" t="n">
        <v>46288.771875</v>
      </c>
    </row>
    <row r="382" customFormat="false" ht="15" hidden="false" customHeight="false" outlineLevel="0" collapsed="false">
      <c r="A382" s="5" t="s">
        <v>1266</v>
      </c>
      <c r="B382" s="5" t="s">
        <v>1267</v>
      </c>
      <c r="C382" s="5" t="s">
        <v>55</v>
      </c>
      <c r="D382" s="5" t="s">
        <v>56</v>
      </c>
      <c r="E382" s="5" t="s">
        <v>65</v>
      </c>
      <c r="F382" s="5" t="s">
        <v>66</v>
      </c>
      <c r="G382" s="5" t="s">
        <v>59</v>
      </c>
      <c r="H382" s="5" t="s">
        <v>60</v>
      </c>
      <c r="I382" s="6" t="n">
        <v>0.25</v>
      </c>
      <c r="J382" s="7" t="n">
        <f aca="false">IF(I382="","",1/I382)</f>
        <v>4</v>
      </c>
      <c r="K382" s="8" t="n">
        <v>36.04</v>
      </c>
      <c r="L382" s="9" t="n">
        <v>0.28</v>
      </c>
      <c r="M382" s="10" t="n">
        <v>0.0078</v>
      </c>
      <c r="N382" s="8" t="n">
        <v>36.04</v>
      </c>
      <c r="O382" s="8" t="n">
        <v>36.04</v>
      </c>
      <c r="P382" s="8" t="n">
        <v>36.04</v>
      </c>
      <c r="Q382" s="8" t="n">
        <v>36.04</v>
      </c>
      <c r="R382" s="11" t="n">
        <v>1</v>
      </c>
      <c r="S382" s="11" t="n">
        <f aca="false">K382*R382</f>
        <v>36.04</v>
      </c>
      <c r="T382" s="8" t="n">
        <v>28.32</v>
      </c>
      <c r="U382" s="8" t="n">
        <v>55.43</v>
      </c>
      <c r="V382" s="12" t="n">
        <f aca="false">IF(U382-T382=0,"",(K382-T382)/(U382-T382))</f>
        <v>0.284765769088897</v>
      </c>
      <c r="W382" s="13" t="n">
        <f aca="false">IF(U382=0,"",K382/U382-1)</f>
        <v>-0.349810571892477</v>
      </c>
      <c r="X382" s="11" t="n">
        <v>104248</v>
      </c>
      <c r="Y382" s="5" t="s">
        <v>65</v>
      </c>
      <c r="Z382" s="5" t="s">
        <v>67</v>
      </c>
      <c r="AA382" s="5" t="s">
        <v>66</v>
      </c>
      <c r="AB382" s="5"/>
      <c r="AC382" s="5" t="s">
        <v>1268</v>
      </c>
      <c r="AD382" s="14" t="n">
        <v>46288.771875</v>
      </c>
    </row>
    <row r="383" customFormat="false" ht="15" hidden="false" customHeight="false" outlineLevel="0" collapsed="false">
      <c r="A383" s="5" t="s">
        <v>1269</v>
      </c>
      <c r="B383" s="5" t="s">
        <v>1270</v>
      </c>
      <c r="C383" s="5" t="s">
        <v>55</v>
      </c>
      <c r="D383" s="5" t="s">
        <v>56</v>
      </c>
      <c r="E383" s="5" t="s">
        <v>90</v>
      </c>
      <c r="F383" s="5" t="s">
        <v>91</v>
      </c>
      <c r="G383" s="5" t="s">
        <v>59</v>
      </c>
      <c r="H383" s="5" t="s">
        <v>60</v>
      </c>
      <c r="I383" s="6" t="n">
        <v>0.25</v>
      </c>
      <c r="J383" s="7" t="n">
        <f aca="false">IF(I383="","",1/I383)</f>
        <v>4</v>
      </c>
      <c r="K383" s="8" t="n">
        <v>158.08</v>
      </c>
      <c r="L383" s="9" t="n">
        <v>-8.9</v>
      </c>
      <c r="M383" s="10" t="n">
        <v>-0.0533</v>
      </c>
      <c r="N383" s="8" t="n">
        <v>158.08</v>
      </c>
      <c r="O383" s="8" t="n">
        <v>158.08</v>
      </c>
      <c r="P383" s="8" t="n">
        <v>158.08</v>
      </c>
      <c r="Q383" s="8" t="n">
        <v>158.08</v>
      </c>
      <c r="R383" s="11" t="n">
        <v>1</v>
      </c>
      <c r="S383" s="11" t="n">
        <f aca="false">K383*R383</f>
        <v>158.08</v>
      </c>
      <c r="T383" s="8" t="n">
        <v>158.08</v>
      </c>
      <c r="U383" s="8" t="n">
        <v>190.19</v>
      </c>
      <c r="V383" s="12" t="n">
        <f aca="false">IF(U383-T383=0,"",(K383-T383)/(U383-T383))</f>
        <v>0</v>
      </c>
      <c r="W383" s="13" t="n">
        <f aca="false">IF(U383=0,"",K383/U383-1)</f>
        <v>-0.168831168831169</v>
      </c>
      <c r="X383" s="11" t="n">
        <v>133553</v>
      </c>
      <c r="Y383" s="5" t="s">
        <v>90</v>
      </c>
      <c r="Z383" s="5" t="s">
        <v>92</v>
      </c>
      <c r="AA383" s="5" t="s">
        <v>91</v>
      </c>
      <c r="AB383" s="5"/>
      <c r="AC383" s="5" t="s">
        <v>1271</v>
      </c>
      <c r="AD383" s="14" t="n">
        <v>46288.771875</v>
      </c>
    </row>
    <row r="384" customFormat="false" ht="15" hidden="false" customHeight="false" outlineLevel="0" collapsed="false">
      <c r="A384" s="5" t="s">
        <v>1272</v>
      </c>
      <c r="B384" s="5" t="s">
        <v>1273</v>
      </c>
      <c r="C384" s="5" t="s">
        <v>55</v>
      </c>
      <c r="D384" s="5" t="s">
        <v>56</v>
      </c>
      <c r="E384" s="5" t="s">
        <v>160</v>
      </c>
      <c r="F384" s="5" t="s">
        <v>161</v>
      </c>
      <c r="G384" s="5" t="s">
        <v>59</v>
      </c>
      <c r="H384" s="5" t="s">
        <v>60</v>
      </c>
      <c r="I384" s="6" t="n">
        <v>1</v>
      </c>
      <c r="J384" s="7" t="n">
        <f aca="false">IF(I384="","",1/I384)</f>
        <v>1</v>
      </c>
      <c r="K384" s="8" t="n">
        <v>250.32</v>
      </c>
      <c r="L384" s="9" t="n">
        <v>11.28</v>
      </c>
      <c r="M384" s="10" t="n">
        <v>0.0472</v>
      </c>
      <c r="N384" s="8" t="n">
        <v>249.84</v>
      </c>
      <c r="O384" s="8" t="n">
        <v>249.84</v>
      </c>
      <c r="P384" s="8" t="n">
        <v>250.32</v>
      </c>
      <c r="Q384" s="8" t="n">
        <v>250.32</v>
      </c>
      <c r="R384" s="11" t="n">
        <v>7</v>
      </c>
      <c r="S384" s="11" t="n">
        <f aca="false">K384*R384</f>
        <v>1752.24</v>
      </c>
      <c r="T384" s="8" t="n">
        <v>173.23</v>
      </c>
      <c r="U384" s="8" t="n">
        <v>274.5</v>
      </c>
      <c r="V384" s="12" t="n">
        <f aca="false">IF(U384-T384=0,"",(K384-T384)/(U384-T384))</f>
        <v>0.761232349165597</v>
      </c>
      <c r="W384" s="13" t="n">
        <f aca="false">IF(U384=0,"",K384/U384-1)</f>
        <v>-0.0880874316939891</v>
      </c>
      <c r="X384" s="11" t="n">
        <v>264191</v>
      </c>
      <c r="Y384" s="5" t="s">
        <v>160</v>
      </c>
      <c r="Z384" s="5" t="s">
        <v>162</v>
      </c>
      <c r="AA384" s="5" t="s">
        <v>161</v>
      </c>
      <c r="AB384" s="5"/>
      <c r="AC384" s="5" t="s">
        <v>1274</v>
      </c>
      <c r="AD384" s="14" t="n">
        <v>46288.771875</v>
      </c>
    </row>
    <row r="385" customFormat="false" ht="15" hidden="false" customHeight="false" outlineLevel="0" collapsed="false">
      <c r="A385" s="5" t="s">
        <v>1275</v>
      </c>
      <c r="B385" s="5" t="s">
        <v>1276</v>
      </c>
      <c r="C385" s="5" t="s">
        <v>55</v>
      </c>
      <c r="D385" s="5" t="s">
        <v>56</v>
      </c>
      <c r="E385" s="5" t="s">
        <v>273</v>
      </c>
      <c r="F385" s="5" t="s">
        <v>274</v>
      </c>
      <c r="G385" s="5" t="s">
        <v>59</v>
      </c>
      <c r="H385" s="5" t="s">
        <v>60</v>
      </c>
      <c r="I385" s="6" t="n">
        <v>0.125</v>
      </c>
      <c r="J385" s="7" t="n">
        <f aca="false">IF(I385="","",1/I385)</f>
        <v>8</v>
      </c>
      <c r="K385" s="8" t="n">
        <v>41.23</v>
      </c>
      <c r="L385" s="9" t="n">
        <v>-0.04</v>
      </c>
      <c r="M385" s="10" t="n">
        <v>-0.001</v>
      </c>
      <c r="N385" s="8" t="n">
        <v>41.23</v>
      </c>
      <c r="O385" s="8" t="n">
        <v>41.23</v>
      </c>
      <c r="P385" s="8" t="n">
        <v>41.23</v>
      </c>
      <c r="Q385" s="8" t="n">
        <v>41.23</v>
      </c>
      <c r="R385" s="11" t="n">
        <v>1</v>
      </c>
      <c r="S385" s="11" t="n">
        <f aca="false">K385*R385</f>
        <v>41.23</v>
      </c>
      <c r="T385" s="8" t="n">
        <v>20.42</v>
      </c>
      <c r="U385" s="8" t="n">
        <v>41.27</v>
      </c>
      <c r="V385" s="12" t="n">
        <f aca="false">IF(U385-T385=0,"",(K385-T385)/(U385-T385))</f>
        <v>0.998081534772182</v>
      </c>
      <c r="W385" s="13" t="n">
        <f aca="false">IF(U385=0,"",K385/U385-1)</f>
        <v>-0.00096922704143465</v>
      </c>
      <c r="X385" s="11" t="n">
        <v>49772</v>
      </c>
      <c r="Y385" s="5" t="s">
        <v>273</v>
      </c>
      <c r="Z385" s="5" t="s">
        <v>275</v>
      </c>
      <c r="AA385" s="5" t="s">
        <v>274</v>
      </c>
      <c r="AB385" s="5"/>
      <c r="AC385" s="5" t="s">
        <v>1277</v>
      </c>
      <c r="AD385" s="14" t="n">
        <v>46288.771875</v>
      </c>
    </row>
    <row r="386" customFormat="false" ht="15" hidden="false" customHeight="false" outlineLevel="0" collapsed="false">
      <c r="A386" s="5" t="s">
        <v>1278</v>
      </c>
      <c r="B386" s="5" t="s">
        <v>1279</v>
      </c>
      <c r="C386" s="5" t="s">
        <v>55</v>
      </c>
      <c r="D386" s="5" t="s">
        <v>56</v>
      </c>
      <c r="E386" s="5" t="s">
        <v>127</v>
      </c>
      <c r="F386" s="5" t="s">
        <v>128</v>
      </c>
      <c r="G386" s="5" t="s">
        <v>59</v>
      </c>
      <c r="H386" s="5"/>
      <c r="I386" s="6"/>
      <c r="J386" s="7" t="str">
        <f aca="false">IF(I386="","",1/I386)</f>
        <v/>
      </c>
      <c r="K386" s="8" t="n">
        <v>65.07</v>
      </c>
      <c r="L386" s="9" t="n">
        <v>-1.88</v>
      </c>
      <c r="M386" s="10" t="n">
        <v>-0.0281</v>
      </c>
      <c r="N386" s="8" t="n">
        <v>65.07</v>
      </c>
      <c r="O386" s="8" t="n">
        <v>65.07</v>
      </c>
      <c r="P386" s="8" t="n">
        <v>65.07</v>
      </c>
      <c r="Q386" s="8" t="n">
        <v>65.07</v>
      </c>
      <c r="R386" s="11" t="n">
        <v>15</v>
      </c>
      <c r="S386" s="11" t="n">
        <f aca="false">K386*R386</f>
        <v>976.05</v>
      </c>
      <c r="T386" s="8" t="n">
        <v>49.4</v>
      </c>
      <c r="U386" s="8" t="n">
        <v>100.74</v>
      </c>
      <c r="V386" s="12" t="n">
        <f aca="false">IF(U386-T386=0,"",(K386-T386)/(U386-T386))</f>
        <v>0.305220101285547</v>
      </c>
      <c r="W386" s="13" t="n">
        <f aca="false">IF(U386=0,"",K386/U386-1)</f>
        <v>-0.354079809410363</v>
      </c>
      <c r="X386" s="11" t="n">
        <v>426250</v>
      </c>
      <c r="Y386" s="5" t="s">
        <v>127</v>
      </c>
      <c r="Z386" s="5" t="s">
        <v>129</v>
      </c>
      <c r="AA386" s="5" t="s">
        <v>128</v>
      </c>
      <c r="AB386" s="5" t="s">
        <v>111</v>
      </c>
      <c r="AC386" s="5" t="s">
        <v>1280</v>
      </c>
      <c r="AD386" s="14" t="n">
        <v>46288.771875</v>
      </c>
    </row>
    <row r="387" customFormat="false" ht="15" hidden="false" customHeight="false" outlineLevel="0" collapsed="false">
      <c r="A387" s="5" t="s">
        <v>1281</v>
      </c>
      <c r="B387" s="5" t="s">
        <v>1282</v>
      </c>
      <c r="C387" s="5" t="s">
        <v>55</v>
      </c>
      <c r="D387" s="5" t="s">
        <v>56</v>
      </c>
      <c r="E387" s="5" t="s">
        <v>182</v>
      </c>
      <c r="F387" s="5" t="s">
        <v>183</v>
      </c>
      <c r="G387" s="5" t="s">
        <v>59</v>
      </c>
      <c r="H387" s="5" t="s">
        <v>60</v>
      </c>
      <c r="I387" s="6" t="n">
        <v>0.16667</v>
      </c>
      <c r="J387" s="7" t="n">
        <f aca="false">IF(I387="","",1/I387)</f>
        <v>5.99988000239995</v>
      </c>
      <c r="K387" s="8" t="n">
        <v>18.36</v>
      </c>
      <c r="L387" s="9" t="n">
        <v>-0.26</v>
      </c>
      <c r="M387" s="10" t="n">
        <v>-0.014</v>
      </c>
      <c r="N387" s="8" t="n">
        <v>18.33</v>
      </c>
      <c r="O387" s="8" t="n">
        <v>18.33</v>
      </c>
      <c r="P387" s="8" t="n">
        <v>18.36</v>
      </c>
      <c r="Q387" s="8" t="n">
        <v>18.36</v>
      </c>
      <c r="R387" s="11" t="n">
        <v>21</v>
      </c>
      <c r="S387" s="11" t="n">
        <f aca="false">K387*R387</f>
        <v>385.56</v>
      </c>
      <c r="T387" s="8" t="n">
        <v>17.92</v>
      </c>
      <c r="U387" s="8" t="n">
        <v>38.16</v>
      </c>
      <c r="V387" s="12" t="n">
        <f aca="false">IF(U387-T387=0,"",(K387-T387)/(U387-T387))</f>
        <v>0.0217391304347825</v>
      </c>
      <c r="W387" s="13" t="n">
        <f aca="false">IF(U387=0,"",K387/U387-1)</f>
        <v>-0.518867924528302</v>
      </c>
      <c r="X387" s="11" t="n">
        <v>55387</v>
      </c>
      <c r="Y387" s="5" t="s">
        <v>182</v>
      </c>
      <c r="Z387" s="5" t="s">
        <v>184</v>
      </c>
      <c r="AA387" s="5" t="s">
        <v>183</v>
      </c>
      <c r="AB387" s="5"/>
      <c r="AC387" s="5" t="s">
        <v>1283</v>
      </c>
      <c r="AD387" s="14" t="n">
        <v>46288.771875</v>
      </c>
    </row>
    <row r="388" customFormat="false" ht="15" hidden="false" customHeight="false" outlineLevel="0" collapsed="false">
      <c r="A388" s="5" t="s">
        <v>1284</v>
      </c>
      <c r="B388" s="5" t="s">
        <v>1285</v>
      </c>
      <c r="C388" s="5" t="s">
        <v>55</v>
      </c>
      <c r="D388" s="5" t="s">
        <v>56</v>
      </c>
      <c r="E388" s="5" t="s">
        <v>57</v>
      </c>
      <c r="F388" s="5" t="s">
        <v>58</v>
      </c>
      <c r="G388" s="5" t="s">
        <v>59</v>
      </c>
      <c r="H388" s="5" t="s">
        <v>60</v>
      </c>
      <c r="I388" s="6" t="n">
        <v>0.1</v>
      </c>
      <c r="J388" s="7" t="n">
        <f aca="false">IF(I388="","",1/I388)</f>
        <v>10</v>
      </c>
      <c r="K388" s="8" t="n">
        <v>65</v>
      </c>
      <c r="L388" s="9" t="n">
        <v>-2.3</v>
      </c>
      <c r="M388" s="10" t="n">
        <v>-0.0342</v>
      </c>
      <c r="N388" s="8" t="n">
        <v>65</v>
      </c>
      <c r="O388" s="8" t="n">
        <v>65</v>
      </c>
      <c r="P388" s="8" t="n">
        <v>65</v>
      </c>
      <c r="Q388" s="8" t="n">
        <v>65</v>
      </c>
      <c r="R388" s="11" t="n">
        <v>1</v>
      </c>
      <c r="S388" s="11" t="n">
        <f aca="false">K388*R388</f>
        <v>65</v>
      </c>
      <c r="T388" s="8" t="n">
        <v>64.5</v>
      </c>
      <c r="U388" s="8" t="n">
        <v>124.6</v>
      </c>
      <c r="V388" s="12" t="n">
        <f aca="false">IF(U388-T388=0,"",(K388-T388)/(U388-T388))</f>
        <v>0.00831946755407654</v>
      </c>
      <c r="W388" s="13" t="n">
        <f aca="false">IF(U388=0,"",K388/U388-1)</f>
        <v>-0.478330658105939</v>
      </c>
      <c r="X388" s="11" t="n">
        <v>60956</v>
      </c>
      <c r="Y388" s="5" t="s">
        <v>57</v>
      </c>
      <c r="Z388" s="5" t="s">
        <v>61</v>
      </c>
      <c r="AA388" s="5" t="s">
        <v>58</v>
      </c>
      <c r="AB388" s="5"/>
      <c r="AC388" s="5" t="s">
        <v>1286</v>
      </c>
      <c r="AD388" s="14" t="n">
        <v>46288.771875</v>
      </c>
    </row>
    <row r="389" customFormat="false" ht="15" hidden="false" customHeight="false" outlineLevel="0" collapsed="false">
      <c r="A389" s="5" t="s">
        <v>1287</v>
      </c>
      <c r="B389" s="5" t="s">
        <v>1288</v>
      </c>
      <c r="C389" s="5" t="s">
        <v>55</v>
      </c>
      <c r="D389" s="5" t="s">
        <v>56</v>
      </c>
      <c r="E389" s="5" t="s">
        <v>115</v>
      </c>
      <c r="F389" s="5" t="s">
        <v>116</v>
      </c>
      <c r="G389" s="5" t="s">
        <v>59</v>
      </c>
      <c r="H389" s="5" t="s">
        <v>60</v>
      </c>
      <c r="I389" s="6" t="n">
        <v>0.1666</v>
      </c>
      <c r="J389" s="7" t="n">
        <f aca="false">IF(I389="","",1/I389)</f>
        <v>6.00240096038415</v>
      </c>
      <c r="K389" s="8" t="n">
        <v>22.92</v>
      </c>
      <c r="L389" s="9" t="n">
        <v>0.55</v>
      </c>
      <c r="M389" s="10" t="n">
        <v>0.0246</v>
      </c>
      <c r="N389" s="8" t="n">
        <v>23.1</v>
      </c>
      <c r="O389" s="8" t="n">
        <v>22.92</v>
      </c>
      <c r="P389" s="8" t="n">
        <v>23.1</v>
      </c>
      <c r="Q389" s="8" t="n">
        <v>22.92</v>
      </c>
      <c r="R389" s="11" t="n">
        <v>2839</v>
      </c>
      <c r="S389" s="11" t="n">
        <f aca="false">K389*R389</f>
        <v>65069.88</v>
      </c>
      <c r="T389" s="8" t="n">
        <v>14.36</v>
      </c>
      <c r="U389" s="8" t="n">
        <v>67.52</v>
      </c>
      <c r="V389" s="12" t="n">
        <f aca="false">IF(U389-T389=0,"",(K389-T389)/(U389-T389))</f>
        <v>0.161023325808879</v>
      </c>
      <c r="W389" s="13" t="n">
        <f aca="false">IF(U389=0,"",K389/U389-1)</f>
        <v>-0.660545023696682</v>
      </c>
      <c r="X389" s="11" t="n">
        <v>24183</v>
      </c>
      <c r="Y389" s="5" t="s">
        <v>115</v>
      </c>
      <c r="Z389" s="5" t="s">
        <v>117</v>
      </c>
      <c r="AA389" s="5" t="s">
        <v>116</v>
      </c>
      <c r="AB389" s="5"/>
      <c r="AC389" s="5" t="s">
        <v>1289</v>
      </c>
      <c r="AD389" s="14" t="n">
        <v>46288.771875</v>
      </c>
    </row>
    <row r="390" customFormat="false" ht="15" hidden="false" customHeight="false" outlineLevel="0" collapsed="false">
      <c r="A390" s="5" t="s">
        <v>1290</v>
      </c>
      <c r="B390" s="5" t="s">
        <v>1291</v>
      </c>
      <c r="C390" s="5" t="s">
        <v>55</v>
      </c>
      <c r="D390" s="5" t="s">
        <v>56</v>
      </c>
      <c r="E390" s="5" t="s">
        <v>115</v>
      </c>
      <c r="F390" s="5" t="s">
        <v>116</v>
      </c>
      <c r="G390" s="5" t="s">
        <v>59</v>
      </c>
      <c r="H390" s="5" t="s">
        <v>60</v>
      </c>
      <c r="I390" s="6" t="n">
        <v>0.125</v>
      </c>
      <c r="J390" s="7" t="n">
        <f aca="false">IF(I390="","",1/I390)</f>
        <v>8</v>
      </c>
      <c r="K390" s="8" t="n">
        <v>37.88</v>
      </c>
      <c r="L390" s="9" t="n">
        <v>-0.36</v>
      </c>
      <c r="M390" s="10" t="n">
        <v>-0.0094</v>
      </c>
      <c r="N390" s="8" t="n">
        <v>37.72</v>
      </c>
      <c r="O390" s="8" t="n">
        <v>37.72</v>
      </c>
      <c r="P390" s="8" t="n">
        <v>37.88</v>
      </c>
      <c r="Q390" s="8" t="n">
        <v>37.88</v>
      </c>
      <c r="R390" s="11" t="n">
        <v>2</v>
      </c>
      <c r="S390" s="11" t="n">
        <f aca="false">K390*R390</f>
        <v>75.76</v>
      </c>
      <c r="T390" s="8" t="n">
        <v>32.14</v>
      </c>
      <c r="U390" s="8" t="n">
        <v>56.15</v>
      </c>
      <c r="V390" s="12" t="n">
        <f aca="false">IF(U390-T390=0,"",(K390-T390)/(U390-T390))</f>
        <v>0.239067055393586</v>
      </c>
      <c r="W390" s="13" t="n">
        <f aca="false">IF(U390=0,"",K390/U390-1)</f>
        <v>-0.325378450578807</v>
      </c>
      <c r="X390" s="11" t="n">
        <v>32365</v>
      </c>
      <c r="Y390" s="5" t="s">
        <v>115</v>
      </c>
      <c r="Z390" s="5" t="s">
        <v>117</v>
      </c>
      <c r="AA390" s="5" t="s">
        <v>116</v>
      </c>
      <c r="AB390" s="5"/>
      <c r="AC390" s="5" t="s">
        <v>1292</v>
      </c>
      <c r="AD390" s="14" t="n">
        <v>46288.771875</v>
      </c>
    </row>
    <row r="391" customFormat="false" ht="15" hidden="false" customHeight="false" outlineLevel="0" collapsed="false">
      <c r="A391" s="5" t="s">
        <v>1293</v>
      </c>
      <c r="B391" s="5" t="s">
        <v>1294</v>
      </c>
      <c r="C391" s="5" t="s">
        <v>55</v>
      </c>
      <c r="D391" s="5" t="s">
        <v>56</v>
      </c>
      <c r="E391" s="5" t="s">
        <v>182</v>
      </c>
      <c r="F391" s="5" t="s">
        <v>183</v>
      </c>
      <c r="G391" s="5" t="s">
        <v>59</v>
      </c>
      <c r="H391" s="5" t="s">
        <v>60</v>
      </c>
      <c r="I391" s="6" t="n">
        <v>0.02</v>
      </c>
      <c r="J391" s="7" t="n">
        <f aca="false">IF(I391="","",1/I391)</f>
        <v>50</v>
      </c>
      <c r="K391" s="8" t="n">
        <v>30.32</v>
      </c>
      <c r="L391" s="9" t="n">
        <v>-0.3</v>
      </c>
      <c r="M391" s="10" t="n">
        <v>-0.0098</v>
      </c>
      <c r="N391" s="8" t="n">
        <v>31</v>
      </c>
      <c r="O391" s="8" t="n">
        <v>30.11</v>
      </c>
      <c r="P391" s="8" t="n">
        <v>31</v>
      </c>
      <c r="Q391" s="8" t="n">
        <v>30.32</v>
      </c>
      <c r="R391" s="11" t="n">
        <v>23</v>
      </c>
      <c r="S391" s="11" t="n">
        <f aca="false">K391*R391</f>
        <v>697.36</v>
      </c>
      <c r="T391" s="8" t="n">
        <v>29.91</v>
      </c>
      <c r="U391" s="8" t="n">
        <v>49</v>
      </c>
      <c r="V391" s="12" t="n">
        <f aca="false">IF(U391-T391=0,"",(K391-T391)/(U391-T391))</f>
        <v>0.0214772132006286</v>
      </c>
      <c r="W391" s="13" t="n">
        <f aca="false">IF(U391=0,"",K391/U391-1)</f>
        <v>-0.381224489795918</v>
      </c>
      <c r="X391" s="11" t="n">
        <v>50307</v>
      </c>
      <c r="Y391" s="5" t="s">
        <v>182</v>
      </c>
      <c r="Z391" s="5" t="s">
        <v>184</v>
      </c>
      <c r="AA391" s="5" t="s">
        <v>183</v>
      </c>
      <c r="AB391" s="5"/>
      <c r="AC391" s="5" t="s">
        <v>1295</v>
      </c>
      <c r="AD391" s="14" t="n">
        <v>46288.771875</v>
      </c>
    </row>
    <row r="392" customFormat="false" ht="15" hidden="false" customHeight="false" outlineLevel="0" collapsed="false">
      <c r="A392" s="5" t="s">
        <v>1296</v>
      </c>
      <c r="B392" s="5" t="s">
        <v>1297</v>
      </c>
      <c r="C392" s="5" t="s">
        <v>55</v>
      </c>
      <c r="D392" s="5" t="s">
        <v>56</v>
      </c>
      <c r="E392" s="5" t="s">
        <v>115</v>
      </c>
      <c r="F392" s="5" t="s">
        <v>116</v>
      </c>
      <c r="G392" s="5" t="s">
        <v>59</v>
      </c>
      <c r="H392" s="5" t="s">
        <v>60</v>
      </c>
      <c r="I392" s="6" t="n">
        <v>0.125</v>
      </c>
      <c r="J392" s="7" t="n">
        <f aca="false">IF(I392="","",1/I392)</f>
        <v>8</v>
      </c>
      <c r="K392" s="8" t="n">
        <v>38.24</v>
      </c>
      <c r="L392" s="9" t="n">
        <v>1.72</v>
      </c>
      <c r="M392" s="10" t="n">
        <v>0.0471</v>
      </c>
      <c r="N392" s="8" t="n">
        <v>38</v>
      </c>
      <c r="O392" s="8" t="n">
        <v>38</v>
      </c>
      <c r="P392" s="8" t="n">
        <v>38.24</v>
      </c>
      <c r="Q392" s="8" t="n">
        <v>38.24</v>
      </c>
      <c r="R392" s="11" t="n">
        <v>102</v>
      </c>
      <c r="S392" s="11" t="n">
        <f aca="false">K392*R392</f>
        <v>3900.48</v>
      </c>
      <c r="T392" s="8" t="n">
        <v>19.99</v>
      </c>
      <c r="U392" s="8" t="n">
        <v>38.24</v>
      </c>
      <c r="V392" s="12" t="n">
        <f aca="false">IF(U392-T392=0,"",(K392-T392)/(U392-T392))</f>
        <v>1</v>
      </c>
      <c r="W392" s="13" t="n">
        <f aca="false">IF(U392=0,"",K392/U392-1)</f>
        <v>0</v>
      </c>
      <c r="X392" s="11" t="n">
        <v>84600</v>
      </c>
      <c r="Y392" s="5" t="s">
        <v>115</v>
      </c>
      <c r="Z392" s="5" t="s">
        <v>117</v>
      </c>
      <c r="AA392" s="5" t="s">
        <v>116</v>
      </c>
      <c r="AB392" s="5"/>
      <c r="AC392" s="5" t="s">
        <v>1298</v>
      </c>
      <c r="AD392" s="14" t="n">
        <v>46288.771875</v>
      </c>
    </row>
    <row r="393" customFormat="false" ht="15" hidden="false" customHeight="false" outlineLevel="0" collapsed="false">
      <c r="A393" s="5" t="s">
        <v>1299</v>
      </c>
      <c r="B393" s="5" t="s">
        <v>1300</v>
      </c>
      <c r="C393" s="5" t="s">
        <v>55</v>
      </c>
      <c r="D393" s="5" t="s">
        <v>56</v>
      </c>
      <c r="E393" s="5" t="s">
        <v>71</v>
      </c>
      <c r="F393" s="5" t="s">
        <v>72</v>
      </c>
      <c r="G393" s="5" t="s">
        <v>59</v>
      </c>
      <c r="H393" s="5" t="s">
        <v>60</v>
      </c>
      <c r="I393" s="6" t="n">
        <v>1</v>
      </c>
      <c r="J393" s="7" t="n">
        <f aca="false">IF(I393="","",1/I393)</f>
        <v>1</v>
      </c>
      <c r="K393" s="8" t="n">
        <v>186.2</v>
      </c>
      <c r="L393" s="9" t="n">
        <v>-6.4</v>
      </c>
      <c r="M393" s="10" t="n">
        <v>-0.0332</v>
      </c>
      <c r="N393" s="8" t="n">
        <v>190</v>
      </c>
      <c r="O393" s="8" t="n">
        <v>185.8</v>
      </c>
      <c r="P393" s="8" t="n">
        <v>190</v>
      </c>
      <c r="Q393" s="8" t="n">
        <v>186.2</v>
      </c>
      <c r="R393" s="11" t="n">
        <v>417</v>
      </c>
      <c r="S393" s="11" t="n">
        <f aca="false">K393*R393</f>
        <v>77645.4</v>
      </c>
      <c r="T393" s="8" t="n">
        <v>146.1</v>
      </c>
      <c r="U393" s="8" t="n">
        <v>222.64</v>
      </c>
      <c r="V393" s="12" t="n">
        <f aca="false">IF(U393-T393=0,"",(K393-T393)/(U393-T393))</f>
        <v>0.523909067154429</v>
      </c>
      <c r="W393" s="13" t="n">
        <f aca="false">IF(U393=0,"",K393/U393-1)</f>
        <v>-0.163672296083363</v>
      </c>
      <c r="X393" s="11" t="n">
        <v>358214</v>
      </c>
      <c r="Y393" s="5" t="s">
        <v>71</v>
      </c>
      <c r="Z393" s="5" t="s">
        <v>73</v>
      </c>
      <c r="AA393" s="5" t="s">
        <v>72</v>
      </c>
      <c r="AB393" s="5"/>
      <c r="AC393" s="5" t="s">
        <v>1301</v>
      </c>
      <c r="AD393" s="14" t="n">
        <v>46288.771875</v>
      </c>
    </row>
    <row r="394" customFormat="false" ht="15" hidden="false" customHeight="false" outlineLevel="0" collapsed="false">
      <c r="A394" s="5" t="s">
        <v>1302</v>
      </c>
      <c r="B394" s="5" t="s">
        <v>1303</v>
      </c>
      <c r="C394" s="5" t="s">
        <v>55</v>
      </c>
      <c r="D394" s="5" t="s">
        <v>56</v>
      </c>
      <c r="E394" s="5" t="s">
        <v>65</v>
      </c>
      <c r="F394" s="5" t="s">
        <v>66</v>
      </c>
      <c r="G394" s="5" t="s">
        <v>59</v>
      </c>
      <c r="H394" s="5" t="s">
        <v>60</v>
      </c>
      <c r="I394" s="6" t="n">
        <v>1</v>
      </c>
      <c r="J394" s="7" t="n">
        <f aca="false">IF(I394="","",1/I394)</f>
        <v>1</v>
      </c>
      <c r="K394" s="8" t="n">
        <v>679.38</v>
      </c>
      <c r="L394" s="9" t="n">
        <v>4.86</v>
      </c>
      <c r="M394" s="10" t="n">
        <v>0.0072</v>
      </c>
      <c r="N394" s="8" t="n">
        <v>679.38</v>
      </c>
      <c r="O394" s="8" t="n">
        <v>679.38</v>
      </c>
      <c r="P394" s="8" t="n">
        <v>679.38</v>
      </c>
      <c r="Q394" s="8" t="n">
        <v>679.38</v>
      </c>
      <c r="R394" s="11" t="n">
        <v>50</v>
      </c>
      <c r="S394" s="11" t="n">
        <f aca="false">K394*R394</f>
        <v>33969</v>
      </c>
      <c r="T394" s="8" t="n">
        <v>604.2</v>
      </c>
      <c r="U394" s="8" t="n">
        <v>1320</v>
      </c>
      <c r="V394" s="12" t="n">
        <f aca="false">IF(U394-T394=0,"",(K394-T394)/(U394-T394))</f>
        <v>0.105029337803856</v>
      </c>
      <c r="W394" s="13" t="n">
        <f aca="false">IF(U394=0,"",K394/U394-1)</f>
        <v>-0.485318181818182</v>
      </c>
      <c r="X394" s="11" t="n">
        <v>91088</v>
      </c>
      <c r="Y394" s="5" t="s">
        <v>65</v>
      </c>
      <c r="Z394" s="5" t="s">
        <v>67</v>
      </c>
      <c r="AA394" s="5" t="s">
        <v>66</v>
      </c>
      <c r="AB394" s="5"/>
      <c r="AC394" s="5" t="s">
        <v>1304</v>
      </c>
      <c r="AD394" s="14" t="n">
        <v>46288.771875</v>
      </c>
    </row>
    <row r="395" customFormat="false" ht="15" hidden="false" customHeight="false" outlineLevel="0" collapsed="false">
      <c r="A395" s="5" t="s">
        <v>1305</v>
      </c>
      <c r="B395" s="5" t="s">
        <v>1306</v>
      </c>
      <c r="C395" s="5" t="s">
        <v>55</v>
      </c>
      <c r="D395" s="5" t="s">
        <v>56</v>
      </c>
      <c r="E395" s="5" t="s">
        <v>127</v>
      </c>
      <c r="F395" s="5" t="s">
        <v>128</v>
      </c>
      <c r="G395" s="5" t="s">
        <v>59</v>
      </c>
      <c r="H395" s="5" t="s">
        <v>60</v>
      </c>
      <c r="I395" s="6" t="n">
        <v>0.166667</v>
      </c>
      <c r="J395" s="7" t="n">
        <f aca="false">IF(I395="","",1/I395)</f>
        <v>5.999988000024</v>
      </c>
      <c r="K395" s="8" t="n">
        <v>71.12</v>
      </c>
      <c r="L395" s="9" t="n">
        <v>-0.21</v>
      </c>
      <c r="M395" s="10" t="n">
        <v>-0.0029</v>
      </c>
      <c r="N395" s="8" t="n">
        <v>71.12</v>
      </c>
      <c r="O395" s="8" t="n">
        <v>71.12</v>
      </c>
      <c r="P395" s="8" t="n">
        <v>71.12</v>
      </c>
      <c r="Q395" s="8" t="n">
        <v>71.12</v>
      </c>
      <c r="R395" s="11" t="n">
        <v>8</v>
      </c>
      <c r="S395" s="11" t="n">
        <f aca="false">K395*R395</f>
        <v>568.96</v>
      </c>
      <c r="T395" s="8" t="n">
        <v>48.3333343</v>
      </c>
      <c r="U395" s="8" t="n">
        <v>80.80000162</v>
      </c>
      <c r="V395" s="12" t="n">
        <f aca="false">IF(U395-T395=0,"",(K395-T395)/(U395-T395))</f>
        <v>0.701848005383757</v>
      </c>
      <c r="W395" s="13" t="n">
        <f aca="false">IF(U395=0,"",K395/U395-1)</f>
        <v>-0.119801997845554</v>
      </c>
      <c r="X395" s="11" t="n">
        <v>282435</v>
      </c>
      <c r="Y395" s="5" t="s">
        <v>127</v>
      </c>
      <c r="Z395" s="5" t="s">
        <v>129</v>
      </c>
      <c r="AA395" s="5" t="s">
        <v>128</v>
      </c>
      <c r="AB395" s="5"/>
      <c r="AC395" s="5" t="s">
        <v>1307</v>
      </c>
      <c r="AD395" s="14" t="n">
        <v>46288.771875</v>
      </c>
    </row>
    <row r="396" customFormat="false" ht="15" hidden="false" customHeight="false" outlineLevel="0" collapsed="false">
      <c r="A396" s="5" t="s">
        <v>1308</v>
      </c>
      <c r="B396" s="5" t="s">
        <v>1309</v>
      </c>
      <c r="C396" s="5" t="s">
        <v>55</v>
      </c>
      <c r="D396" s="5" t="s">
        <v>56</v>
      </c>
      <c r="E396" s="5" t="s">
        <v>142</v>
      </c>
      <c r="F396" s="5" t="s">
        <v>143</v>
      </c>
      <c r="G396" s="5" t="s">
        <v>59</v>
      </c>
      <c r="H396" s="5" t="s">
        <v>60</v>
      </c>
      <c r="I396" s="6" t="n">
        <v>0.03333333</v>
      </c>
      <c r="J396" s="7" t="n">
        <f aca="false">IF(I396="","",1/I396)</f>
        <v>30.0000030000003</v>
      </c>
      <c r="K396" s="8" t="n">
        <v>122.19</v>
      </c>
      <c r="L396" s="9" t="n">
        <v>2.45</v>
      </c>
      <c r="M396" s="10" t="n">
        <v>0.0205</v>
      </c>
      <c r="N396" s="8" t="n">
        <v>120.5</v>
      </c>
      <c r="O396" s="8" t="n">
        <v>120.5</v>
      </c>
      <c r="P396" s="8" t="n">
        <v>123.53</v>
      </c>
      <c r="Q396" s="8" t="n">
        <v>122.19</v>
      </c>
      <c r="R396" s="11" t="n">
        <v>500</v>
      </c>
      <c r="S396" s="11" t="n">
        <f aca="false">K396*R396</f>
        <v>61095</v>
      </c>
      <c r="T396" s="8" t="n">
        <v>79.46</v>
      </c>
      <c r="U396" s="8" t="n">
        <v>123.53</v>
      </c>
      <c r="V396" s="12" t="n">
        <f aca="false">IF(U396-T396=0,"",(K396-T396)/(U396-T396))</f>
        <v>0.969593828000908</v>
      </c>
      <c r="W396" s="13" t="n">
        <f aca="false">IF(U396=0,"",K396/U396-1)</f>
        <v>-0.0108475673925362</v>
      </c>
      <c r="X396" s="11" t="n">
        <v>970210</v>
      </c>
      <c r="Y396" s="5" t="s">
        <v>142</v>
      </c>
      <c r="Z396" s="5" t="s">
        <v>144</v>
      </c>
      <c r="AA396" s="5" t="s">
        <v>143</v>
      </c>
      <c r="AB396" s="5"/>
      <c r="AC396" s="5" t="s">
        <v>1310</v>
      </c>
      <c r="AD396" s="14" t="n">
        <v>46288.771875</v>
      </c>
    </row>
    <row r="397" customFormat="false" ht="15" hidden="false" customHeight="false" outlineLevel="0" collapsed="false">
      <c r="A397" s="5" t="s">
        <v>1311</v>
      </c>
      <c r="B397" s="5" t="s">
        <v>1312</v>
      </c>
      <c r="C397" s="5" t="s">
        <v>55</v>
      </c>
      <c r="D397" s="5" t="s">
        <v>56</v>
      </c>
      <c r="E397" s="5" t="s">
        <v>273</v>
      </c>
      <c r="F397" s="5" t="s">
        <v>274</v>
      </c>
      <c r="G397" s="5" t="s">
        <v>59</v>
      </c>
      <c r="H397" s="5" t="s">
        <v>86</v>
      </c>
      <c r="I397" s="6" t="n">
        <v>0.05555556</v>
      </c>
      <c r="J397" s="7" t="n">
        <f aca="false">IF(I397="","",1/I397)</f>
        <v>17.9999985600001</v>
      </c>
      <c r="K397" s="8" t="n">
        <v>24.62</v>
      </c>
      <c r="L397" s="9" t="n">
        <v>-0.26</v>
      </c>
      <c r="M397" s="10" t="n">
        <v>-0.0105</v>
      </c>
      <c r="N397" s="8" t="n">
        <v>24.74</v>
      </c>
      <c r="O397" s="8" t="n">
        <v>24.56</v>
      </c>
      <c r="P397" s="8" t="n">
        <v>24.76</v>
      </c>
      <c r="Q397" s="8" t="n">
        <v>24.62</v>
      </c>
      <c r="R397" s="11" t="n">
        <v>1015</v>
      </c>
      <c r="S397" s="11" t="n">
        <f aca="false">K397*R397</f>
        <v>24989.3</v>
      </c>
      <c r="T397" s="8" t="n">
        <v>20.82</v>
      </c>
      <c r="U397" s="8" t="n">
        <v>30.11</v>
      </c>
      <c r="V397" s="12" t="n">
        <f aca="false">IF(U397-T397=0,"",(K397-T397)/(U397-T397))</f>
        <v>0.409041980624327</v>
      </c>
      <c r="W397" s="13" t="n">
        <f aca="false">IF(U397=0,"",K397/U397-1)</f>
        <v>-0.182331451345068</v>
      </c>
      <c r="X397" s="11" t="n">
        <v>248833</v>
      </c>
      <c r="Y397" s="5" t="s">
        <v>273</v>
      </c>
      <c r="Z397" s="5" t="s">
        <v>275</v>
      </c>
      <c r="AA397" s="5" t="s">
        <v>274</v>
      </c>
      <c r="AB397" s="5"/>
      <c r="AC397" s="5" t="s">
        <v>1313</v>
      </c>
      <c r="AD397" s="14" t="n">
        <v>46288.771875</v>
      </c>
    </row>
    <row r="398" customFormat="false" ht="15" hidden="false" customHeight="false" outlineLevel="0" collapsed="false">
      <c r="A398" s="5" t="s">
        <v>1314</v>
      </c>
      <c r="B398" s="5" t="s">
        <v>1315</v>
      </c>
      <c r="C398" s="5" t="s">
        <v>55</v>
      </c>
      <c r="D398" s="5" t="s">
        <v>56</v>
      </c>
      <c r="E398" s="5" t="s">
        <v>57</v>
      </c>
      <c r="F398" s="5" t="s">
        <v>58</v>
      </c>
      <c r="G398" s="5" t="s">
        <v>59</v>
      </c>
      <c r="H398" s="5"/>
      <c r="I398" s="6"/>
      <c r="J398" s="7" t="str">
        <f aca="false">IF(I398="","",1/I398)</f>
        <v/>
      </c>
      <c r="K398" s="8" t="n">
        <v>25.97</v>
      </c>
      <c r="L398" s="9" t="n">
        <v>-0.24</v>
      </c>
      <c r="M398" s="10" t="n">
        <v>-0.0092</v>
      </c>
      <c r="N398" s="8" t="n">
        <v>26.06</v>
      </c>
      <c r="O398" s="8" t="n">
        <v>25.89</v>
      </c>
      <c r="P398" s="8" t="n">
        <v>26.06</v>
      </c>
      <c r="Q398" s="8" t="n">
        <v>25.97</v>
      </c>
      <c r="R398" s="11" t="n">
        <v>26</v>
      </c>
      <c r="S398" s="11" t="n">
        <f aca="false">K398*R398</f>
        <v>675.22</v>
      </c>
      <c r="T398" s="8" t="n">
        <v>20.72</v>
      </c>
      <c r="U398" s="8" t="n">
        <v>34.56</v>
      </c>
      <c r="V398" s="12" t="n">
        <f aca="false">IF(U398-T398=0,"",(K398-T398)/(U398-T398))</f>
        <v>0.379335260115607</v>
      </c>
      <c r="W398" s="13" t="n">
        <f aca="false">IF(U398=0,"",K398/U398-1)</f>
        <v>-0.248553240740741</v>
      </c>
      <c r="X398" s="11" t="n">
        <v>138456</v>
      </c>
      <c r="Y398" s="5" t="s">
        <v>57</v>
      </c>
      <c r="Z398" s="5" t="s">
        <v>61</v>
      </c>
      <c r="AA398" s="5" t="s">
        <v>58</v>
      </c>
      <c r="AB398" s="5" t="s">
        <v>111</v>
      </c>
      <c r="AC398" s="5" t="s">
        <v>1316</v>
      </c>
      <c r="AD398" s="14" t="n">
        <v>46288.771875</v>
      </c>
    </row>
    <row r="399" customFormat="false" ht="15" hidden="false" customHeight="false" outlineLevel="0" collapsed="false">
      <c r="A399" s="5" t="s">
        <v>1317</v>
      </c>
      <c r="B399" s="5" t="s">
        <v>1318</v>
      </c>
      <c r="C399" s="5" t="s">
        <v>55</v>
      </c>
      <c r="D399" s="5" t="s">
        <v>56</v>
      </c>
      <c r="E399" s="5" t="s">
        <v>99</v>
      </c>
      <c r="F399" s="5" t="s">
        <v>100</v>
      </c>
      <c r="G399" s="5" t="s">
        <v>59</v>
      </c>
      <c r="H399" s="5" t="s">
        <v>60</v>
      </c>
      <c r="I399" s="6" t="n">
        <v>0.035714285</v>
      </c>
      <c r="J399" s="7" t="n">
        <f aca="false">IF(I399="","",1/I399)</f>
        <v>28.00000056</v>
      </c>
      <c r="K399" s="8" t="n">
        <v>40.6</v>
      </c>
      <c r="L399" s="9" t="n">
        <v>0.28</v>
      </c>
      <c r="M399" s="10" t="n">
        <v>0.0069</v>
      </c>
      <c r="N399" s="8" t="n">
        <v>40.52</v>
      </c>
      <c r="O399" s="8" t="n">
        <v>40.52</v>
      </c>
      <c r="P399" s="8" t="n">
        <v>40.6</v>
      </c>
      <c r="Q399" s="8" t="n">
        <v>40.6</v>
      </c>
      <c r="R399" s="11" t="n">
        <v>165</v>
      </c>
      <c r="S399" s="11" t="n">
        <f aca="false">K399*R399</f>
        <v>6699</v>
      </c>
      <c r="T399" s="8" t="n">
        <v>28.02</v>
      </c>
      <c r="U399" s="8" t="n">
        <v>46.06</v>
      </c>
      <c r="V399" s="12" t="n">
        <f aca="false">IF(U399-T399=0,"",(K399-T399)/(U399-T399))</f>
        <v>0.697339246119734</v>
      </c>
      <c r="W399" s="13" t="n">
        <f aca="false">IF(U399=0,"",K399/U399-1)</f>
        <v>-0.118541033434651</v>
      </c>
      <c r="X399" s="11" t="n">
        <v>795410</v>
      </c>
      <c r="Y399" s="5" t="s">
        <v>99</v>
      </c>
      <c r="Z399" s="5" t="s">
        <v>101</v>
      </c>
      <c r="AA399" s="5" t="s">
        <v>100</v>
      </c>
      <c r="AB399" s="5"/>
      <c r="AC399" s="5" t="s">
        <v>1319</v>
      </c>
      <c r="AD399" s="14" t="n">
        <v>46288.771875</v>
      </c>
    </row>
    <row r="400" customFormat="false" ht="15" hidden="false" customHeight="false" outlineLevel="0" collapsed="false">
      <c r="A400" s="5" t="s">
        <v>1320</v>
      </c>
      <c r="B400" s="5" t="s">
        <v>1321</v>
      </c>
      <c r="C400" s="5" t="s">
        <v>55</v>
      </c>
      <c r="D400" s="5" t="s">
        <v>56</v>
      </c>
      <c r="E400" s="5" t="s">
        <v>182</v>
      </c>
      <c r="F400" s="5" t="s">
        <v>183</v>
      </c>
      <c r="G400" s="5" t="s">
        <v>59</v>
      </c>
      <c r="H400" s="5" t="s">
        <v>60</v>
      </c>
      <c r="I400" s="6" t="n">
        <v>1</v>
      </c>
      <c r="J400" s="7" t="n">
        <f aca="false">IF(I400="","",1/I400)</f>
        <v>1</v>
      </c>
      <c r="K400" s="8" t="n">
        <v>35.43</v>
      </c>
      <c r="L400" s="9" t="n">
        <v>0.12</v>
      </c>
      <c r="M400" s="10" t="n">
        <v>0.0034</v>
      </c>
      <c r="N400" s="8" t="n">
        <v>35.31</v>
      </c>
      <c r="O400" s="8" t="n">
        <v>35.12</v>
      </c>
      <c r="P400" s="8" t="n">
        <v>35.85</v>
      </c>
      <c r="Q400" s="8" t="n">
        <v>35.65</v>
      </c>
      <c r="R400" s="11" t="n">
        <v>105396</v>
      </c>
      <c r="S400" s="11" t="n">
        <f aca="false">K400*R400</f>
        <v>3734180.28</v>
      </c>
      <c r="T400" s="8" t="n">
        <v>31.35</v>
      </c>
      <c r="U400" s="8" t="n">
        <v>42.54</v>
      </c>
      <c r="V400" s="12" t="n">
        <f aca="false">IF(U400-T400=0,"",(K400-T400)/(U400-T400))</f>
        <v>0.364611260053619</v>
      </c>
      <c r="W400" s="13" t="n">
        <f aca="false">IF(U400=0,"",K400/U400-1)</f>
        <v>-0.167136812411848</v>
      </c>
      <c r="X400" s="11" t="n">
        <v>917424</v>
      </c>
      <c r="Y400" s="5" t="s">
        <v>182</v>
      </c>
      <c r="Z400" s="5" t="s">
        <v>184</v>
      </c>
      <c r="AA400" s="5" t="s">
        <v>183</v>
      </c>
      <c r="AB400" s="5"/>
      <c r="AC400" s="5" t="s">
        <v>1322</v>
      </c>
      <c r="AD400" s="14" t="n">
        <v>46288.771875</v>
      </c>
    </row>
    <row r="401" customFormat="false" ht="15" hidden="false" customHeight="false" outlineLevel="0" collapsed="false">
      <c r="A401" s="5" t="s">
        <v>1323</v>
      </c>
      <c r="B401" s="5" t="s">
        <v>1324</v>
      </c>
      <c r="C401" s="5" t="s">
        <v>55</v>
      </c>
      <c r="D401" s="5" t="s">
        <v>56</v>
      </c>
      <c r="E401" s="5" t="s">
        <v>57</v>
      </c>
      <c r="F401" s="5" t="s">
        <v>58</v>
      </c>
      <c r="G401" s="5" t="s">
        <v>59</v>
      </c>
      <c r="H401" s="5"/>
      <c r="I401" s="6"/>
      <c r="J401" s="7" t="str">
        <f aca="false">IF(I401="","",1/I401)</f>
        <v/>
      </c>
      <c r="K401" s="8" t="n">
        <v>303.49</v>
      </c>
      <c r="L401" s="9" t="n">
        <v>3.04</v>
      </c>
      <c r="M401" s="10" t="n">
        <v>0.0101</v>
      </c>
      <c r="N401" s="8" t="n">
        <v>303.49</v>
      </c>
      <c r="O401" s="8" t="n">
        <v>303.49</v>
      </c>
      <c r="P401" s="8" t="n">
        <v>303.49</v>
      </c>
      <c r="Q401" s="8" t="n">
        <v>303.49</v>
      </c>
      <c r="R401" s="11" t="n">
        <v>158</v>
      </c>
      <c r="S401" s="11" t="n">
        <f aca="false">K401*R401</f>
        <v>47951.42</v>
      </c>
      <c r="T401" s="8" t="n">
        <v>231.84</v>
      </c>
      <c r="U401" s="8" t="n">
        <v>352.15</v>
      </c>
      <c r="V401" s="12" t="n">
        <f aca="false">IF(U401-T401=0,"",(K401-T401)/(U401-T401))</f>
        <v>0.595544842490234</v>
      </c>
      <c r="W401" s="13" t="n">
        <f aca="false">IF(U401=0,"",K401/U401-1)</f>
        <v>-0.138179752946188</v>
      </c>
      <c r="X401" s="11" t="n">
        <v>110466</v>
      </c>
      <c r="Y401" s="5" t="s">
        <v>57</v>
      </c>
      <c r="Z401" s="5" t="s">
        <v>61</v>
      </c>
      <c r="AA401" s="5" t="s">
        <v>58</v>
      </c>
      <c r="AB401" s="5" t="s">
        <v>111</v>
      </c>
      <c r="AC401" s="5" t="s">
        <v>1325</v>
      </c>
      <c r="AD401" s="14" t="n">
        <v>46288.771875</v>
      </c>
    </row>
    <row r="402" customFormat="false" ht="15" hidden="false" customHeight="false" outlineLevel="0" collapsed="false">
      <c r="A402" s="5" t="s">
        <v>1326</v>
      </c>
      <c r="B402" s="5" t="s">
        <v>1327</v>
      </c>
      <c r="C402" s="5" t="s">
        <v>248</v>
      </c>
      <c r="D402" s="5" t="s">
        <v>249</v>
      </c>
      <c r="E402" s="5" t="s">
        <v>250</v>
      </c>
      <c r="F402" s="5" t="s">
        <v>251</v>
      </c>
      <c r="G402" s="5" t="s">
        <v>59</v>
      </c>
      <c r="H402" s="5" t="s">
        <v>60</v>
      </c>
      <c r="I402" s="6" t="n">
        <v>0.1</v>
      </c>
      <c r="J402" s="7" t="n">
        <f aca="false">IF(I402="","",1/I402)</f>
        <v>10</v>
      </c>
      <c r="K402" s="8" t="n">
        <v>51.82</v>
      </c>
      <c r="L402" s="9" t="n">
        <v>0.42</v>
      </c>
      <c r="M402" s="10" t="n">
        <v>0.0082</v>
      </c>
      <c r="N402" s="8" t="n">
        <v>51.79</v>
      </c>
      <c r="O402" s="8" t="n">
        <v>51.79</v>
      </c>
      <c r="P402" s="8" t="n">
        <v>51.82</v>
      </c>
      <c r="Q402" s="8" t="n">
        <v>51.82</v>
      </c>
      <c r="R402" s="11" t="n">
        <v>981</v>
      </c>
      <c r="S402" s="11" t="n">
        <f aca="false">K402*R402</f>
        <v>50835.42</v>
      </c>
      <c r="T402" s="8" t="n">
        <v>49.11</v>
      </c>
      <c r="U402" s="8" t="n">
        <v>56.16</v>
      </c>
      <c r="V402" s="12" t="n">
        <f aca="false">IF(U402-T402=0,"",(K402-T402)/(U402-T402))</f>
        <v>0.384397163120568</v>
      </c>
      <c r="W402" s="13" t="n">
        <f aca="false">IF(U402=0,"",K402/U402-1)</f>
        <v>-0.0772792022792023</v>
      </c>
      <c r="X402" s="11"/>
      <c r="Y402" s="5" t="s">
        <v>253</v>
      </c>
      <c r="Z402" s="5" t="s">
        <v>254</v>
      </c>
      <c r="AA402" s="5" t="s">
        <v>251</v>
      </c>
      <c r="AB402" s="5"/>
      <c r="AC402" s="5" t="s">
        <v>1328</v>
      </c>
      <c r="AD402" s="14" t="n">
        <v>46288.771875</v>
      </c>
    </row>
    <row r="403" customFormat="false" ht="15" hidden="false" customHeight="false" outlineLevel="0" collapsed="false">
      <c r="A403" s="5" t="s">
        <v>1329</v>
      </c>
      <c r="B403" s="5" t="s">
        <v>1330</v>
      </c>
      <c r="C403" s="5" t="s">
        <v>248</v>
      </c>
      <c r="D403" s="5" t="s">
        <v>249</v>
      </c>
      <c r="E403" s="5" t="s">
        <v>250</v>
      </c>
      <c r="F403" s="5" t="s">
        <v>251</v>
      </c>
      <c r="G403" s="5" t="s">
        <v>59</v>
      </c>
      <c r="H403" s="5" t="s">
        <v>60</v>
      </c>
      <c r="I403" s="6" t="n">
        <v>0.5</v>
      </c>
      <c r="J403" s="7" t="n">
        <f aca="false">IF(I403="","",1/I403)</f>
        <v>2</v>
      </c>
      <c r="K403" s="8" t="n">
        <v>73.02</v>
      </c>
      <c r="L403" s="9" t="n">
        <v>-0.66</v>
      </c>
      <c r="M403" s="10" t="n">
        <v>-0.009</v>
      </c>
      <c r="N403" s="8" t="n">
        <v>73.38</v>
      </c>
      <c r="O403" s="8" t="n">
        <v>72.99</v>
      </c>
      <c r="P403" s="8" t="n">
        <v>73.38</v>
      </c>
      <c r="Q403" s="8" t="n">
        <v>73.02</v>
      </c>
      <c r="R403" s="11" t="n">
        <v>420</v>
      </c>
      <c r="S403" s="11" t="n">
        <f aca="false">K403*R403</f>
        <v>30668.4</v>
      </c>
      <c r="T403" s="8" t="n">
        <v>52.2</v>
      </c>
      <c r="U403" s="8" t="n">
        <v>87.58</v>
      </c>
      <c r="V403" s="12" t="n">
        <f aca="false">IF(U403-T403=0,"",(K403-T403)/(U403-T403))</f>
        <v>0.588468061051441</v>
      </c>
      <c r="W403" s="13" t="n">
        <f aca="false">IF(U403=0,"",K403/U403-1)</f>
        <v>-0.166248001826901</v>
      </c>
      <c r="X403" s="11"/>
      <c r="Y403" s="5" t="s">
        <v>253</v>
      </c>
      <c r="Z403" s="5" t="s">
        <v>254</v>
      </c>
      <c r="AA403" s="5" t="s">
        <v>251</v>
      </c>
      <c r="AB403" s="5"/>
      <c r="AC403" s="5" t="s">
        <v>1331</v>
      </c>
      <c r="AD403" s="14" t="n">
        <v>46288.771875</v>
      </c>
    </row>
    <row r="404" customFormat="false" ht="15" hidden="false" customHeight="false" outlineLevel="0" collapsed="false">
      <c r="A404" s="5" t="s">
        <v>1332</v>
      </c>
      <c r="B404" s="5" t="s">
        <v>1333</v>
      </c>
      <c r="C404" s="5" t="s">
        <v>55</v>
      </c>
      <c r="D404" s="5" t="s">
        <v>56</v>
      </c>
      <c r="E404" s="5" t="s">
        <v>90</v>
      </c>
      <c r="F404" s="5" t="s">
        <v>91</v>
      </c>
      <c r="G404" s="5" t="s">
        <v>59</v>
      </c>
      <c r="H404" s="5" t="s">
        <v>60</v>
      </c>
      <c r="I404" s="6" t="n">
        <v>1</v>
      </c>
      <c r="J404" s="7" t="n">
        <f aca="false">IF(I404="","",1/I404)</f>
        <v>1</v>
      </c>
      <c r="K404" s="8" t="n">
        <v>595.31</v>
      </c>
      <c r="L404" s="9" t="n">
        <v>-4.69</v>
      </c>
      <c r="M404" s="10" t="n">
        <v>-0.0078</v>
      </c>
      <c r="N404" s="8" t="n">
        <v>595.31</v>
      </c>
      <c r="O404" s="8" t="n">
        <v>595.31</v>
      </c>
      <c r="P404" s="8" t="n">
        <v>595.31</v>
      </c>
      <c r="Q404" s="8" t="n">
        <v>595.31</v>
      </c>
      <c r="R404" s="11" t="n">
        <v>5</v>
      </c>
      <c r="S404" s="11" t="n">
        <f aca="false">K404*R404</f>
        <v>2976.55</v>
      </c>
      <c r="T404" s="8" t="n">
        <v>595.31</v>
      </c>
      <c r="U404" s="8" t="n">
        <v>703.8</v>
      </c>
      <c r="V404" s="12" t="n">
        <f aca="false">IF(U404-T404=0,"",(K404-T404)/(U404-T404))</f>
        <v>0</v>
      </c>
      <c r="W404" s="13" t="n">
        <f aca="false">IF(U404=0,"",K404/U404-1)</f>
        <v>-0.154148905939187</v>
      </c>
      <c r="X404" s="11" t="n">
        <v>464110</v>
      </c>
      <c r="Y404" s="5" t="s">
        <v>90</v>
      </c>
      <c r="Z404" s="5" t="s">
        <v>92</v>
      </c>
      <c r="AA404" s="5" t="s">
        <v>91</v>
      </c>
      <c r="AB404" s="5"/>
      <c r="AC404" s="5" t="s">
        <v>1334</v>
      </c>
      <c r="AD404" s="14" t="n">
        <v>46288.771875</v>
      </c>
    </row>
    <row r="405" customFormat="false" ht="15" hidden="false" customHeight="false" outlineLevel="0" collapsed="false">
      <c r="A405" s="5" t="s">
        <v>1335</v>
      </c>
      <c r="B405" s="5" t="s">
        <v>1336</v>
      </c>
      <c r="C405" s="5" t="s">
        <v>55</v>
      </c>
      <c r="D405" s="5" t="s">
        <v>56</v>
      </c>
      <c r="E405" s="5" t="s">
        <v>115</v>
      </c>
      <c r="F405" s="5" t="s">
        <v>116</v>
      </c>
      <c r="G405" s="5" t="s">
        <v>178</v>
      </c>
      <c r="H405" s="5" t="s">
        <v>60</v>
      </c>
      <c r="I405" s="6" t="n">
        <v>0.03125</v>
      </c>
      <c r="J405" s="7" t="n">
        <f aca="false">IF(I405="","",1/I405)</f>
        <v>32</v>
      </c>
      <c r="K405" s="8" t="n">
        <v>23.82</v>
      </c>
      <c r="L405" s="9" t="n">
        <v>0.24</v>
      </c>
      <c r="M405" s="10" t="n">
        <v>0.0102</v>
      </c>
      <c r="N405" s="8" t="n">
        <v>23.58</v>
      </c>
      <c r="O405" s="8" t="n">
        <v>23.56</v>
      </c>
      <c r="P405" s="8" t="n">
        <v>23.84</v>
      </c>
      <c r="Q405" s="8" t="n">
        <v>23.82</v>
      </c>
      <c r="R405" s="11" t="n">
        <v>43</v>
      </c>
      <c r="S405" s="11" t="n">
        <f aca="false">K405*R405</f>
        <v>1024.26</v>
      </c>
      <c r="T405" s="8" t="n">
        <v>13.78</v>
      </c>
      <c r="U405" s="8" t="n">
        <v>58.96</v>
      </c>
      <c r="V405" s="12" t="n">
        <f aca="false">IF(U405-T405=0,"",(K405-T405)/(U405-T405))</f>
        <v>0.222222222222222</v>
      </c>
      <c r="W405" s="13" t="n">
        <f aca="false">IF(U405=0,"",K405/U405-1)</f>
        <v>-0.595997286295794</v>
      </c>
      <c r="X405" s="11" t="n">
        <v>35367</v>
      </c>
      <c r="Y405" s="5" t="s">
        <v>115</v>
      </c>
      <c r="Z405" s="5" t="s">
        <v>117</v>
      </c>
      <c r="AA405" s="5" t="s">
        <v>116</v>
      </c>
      <c r="AB405" s="5"/>
      <c r="AC405" s="5" t="s">
        <v>1337</v>
      </c>
      <c r="AD405" s="14" t="n">
        <v>46288.771875</v>
      </c>
    </row>
    <row r="406" customFormat="false" ht="15" hidden="false" customHeight="false" outlineLevel="0" collapsed="false">
      <c r="A406" s="5" t="s">
        <v>1338</v>
      </c>
      <c r="B406" s="5" t="s">
        <v>1339</v>
      </c>
      <c r="C406" s="5" t="s">
        <v>55</v>
      </c>
      <c r="D406" s="5" t="s">
        <v>56</v>
      </c>
      <c r="E406" s="5" t="s">
        <v>242</v>
      </c>
      <c r="F406" s="5" t="s">
        <v>243</v>
      </c>
      <c r="G406" s="5" t="s">
        <v>59</v>
      </c>
      <c r="H406" s="5" t="s">
        <v>60</v>
      </c>
      <c r="I406" s="6" t="n">
        <v>1</v>
      </c>
      <c r="J406" s="7" t="n">
        <f aca="false">IF(I406="","",1/I406)</f>
        <v>1</v>
      </c>
      <c r="K406" s="8" t="n">
        <v>945.06</v>
      </c>
      <c r="L406" s="9" t="n">
        <v>7.41</v>
      </c>
      <c r="M406" s="10" t="n">
        <v>0.0079</v>
      </c>
      <c r="N406" s="8" t="n">
        <v>930.6</v>
      </c>
      <c r="O406" s="8" t="n">
        <v>930.6</v>
      </c>
      <c r="P406" s="8" t="n">
        <v>955.98</v>
      </c>
      <c r="Q406" s="8" t="n">
        <v>945.06</v>
      </c>
      <c r="R406" s="11" t="n">
        <v>15</v>
      </c>
      <c r="S406" s="11" t="n">
        <f aca="false">K406*R406</f>
        <v>14175.9</v>
      </c>
      <c r="T406" s="8" t="n">
        <v>546.63</v>
      </c>
      <c r="U406" s="8" t="n">
        <v>1253.26</v>
      </c>
      <c r="V406" s="12" t="n">
        <f aca="false">IF(U406-T406=0,"",(K406-T406)/(U406-T406))</f>
        <v>0.563845293859587</v>
      </c>
      <c r="W406" s="13" t="n">
        <f aca="false">IF(U406=0,"",K406/U406-1)</f>
        <v>-0.245918644175989</v>
      </c>
      <c r="X406" s="11" t="n">
        <v>59986</v>
      </c>
      <c r="Y406" s="5" t="s">
        <v>242</v>
      </c>
      <c r="Z406" s="5" t="s">
        <v>244</v>
      </c>
      <c r="AA406" s="5" t="s">
        <v>243</v>
      </c>
      <c r="AB406" s="5"/>
      <c r="AC406" s="5" t="s">
        <v>1340</v>
      </c>
      <c r="AD406" s="14" t="n">
        <v>46288.771875</v>
      </c>
    </row>
    <row r="407" customFormat="false" ht="15" hidden="false" customHeight="false" outlineLevel="0" collapsed="false">
      <c r="A407" s="5" t="s">
        <v>1341</v>
      </c>
      <c r="B407" s="5" t="s">
        <v>1342</v>
      </c>
      <c r="C407" s="5" t="s">
        <v>55</v>
      </c>
      <c r="D407" s="5" t="s">
        <v>56</v>
      </c>
      <c r="E407" s="5" t="s">
        <v>65</v>
      </c>
      <c r="F407" s="5" t="s">
        <v>66</v>
      </c>
      <c r="G407" s="5" t="s">
        <v>59</v>
      </c>
      <c r="H407" s="5" t="s">
        <v>60</v>
      </c>
      <c r="I407" s="6" t="n">
        <v>0.05</v>
      </c>
      <c r="J407" s="7" t="n">
        <f aca="false">IF(I407="","",1/I407)</f>
        <v>20</v>
      </c>
      <c r="K407" s="8" t="n">
        <v>71.82</v>
      </c>
      <c r="L407" s="9" t="n">
        <v>2.52</v>
      </c>
      <c r="M407" s="10" t="n">
        <v>0.0364</v>
      </c>
      <c r="N407" s="8" t="n">
        <v>71.82</v>
      </c>
      <c r="O407" s="8" t="n">
        <v>71.82</v>
      </c>
      <c r="P407" s="8" t="n">
        <v>71.82</v>
      </c>
      <c r="Q407" s="8" t="n">
        <v>71.82</v>
      </c>
      <c r="R407" s="11" t="n">
        <v>4</v>
      </c>
      <c r="S407" s="11" t="n">
        <f aca="false">K407*R407</f>
        <v>287.28</v>
      </c>
      <c r="T407" s="8" t="n">
        <v>63.68</v>
      </c>
      <c r="U407" s="8" t="n">
        <v>74.632</v>
      </c>
      <c r="V407" s="12" t="n">
        <f aca="false">IF(U407-T407=0,"",(K407-T407)/(U407-T407))</f>
        <v>0.743243243243242</v>
      </c>
      <c r="W407" s="13" t="n">
        <f aca="false">IF(U407=0,"",K407/U407-1)</f>
        <v>-0.0376782077393077</v>
      </c>
      <c r="X407" s="11" t="n">
        <v>396276</v>
      </c>
      <c r="Y407" s="5" t="s">
        <v>65</v>
      </c>
      <c r="Z407" s="5" t="s">
        <v>67</v>
      </c>
      <c r="AA407" s="5" t="s">
        <v>66</v>
      </c>
      <c r="AB407" s="5"/>
      <c r="AC407" s="5" t="s">
        <v>1343</v>
      </c>
      <c r="AD407" s="14" t="n">
        <v>46288.771875</v>
      </c>
    </row>
    <row r="408" customFormat="false" ht="15" hidden="false" customHeight="false" outlineLevel="0" collapsed="false">
      <c r="A408" s="5" t="s">
        <v>1344</v>
      </c>
      <c r="B408" s="5" t="s">
        <v>1345</v>
      </c>
      <c r="C408" s="5" t="s">
        <v>55</v>
      </c>
      <c r="D408" s="5" t="s">
        <v>56</v>
      </c>
      <c r="E408" s="5" t="s">
        <v>160</v>
      </c>
      <c r="F408" s="5" t="s">
        <v>161</v>
      </c>
      <c r="G408" s="5" t="s">
        <v>59</v>
      </c>
      <c r="H408" s="5" t="s">
        <v>86</v>
      </c>
      <c r="I408" s="6" t="n">
        <v>0.5</v>
      </c>
      <c r="J408" s="7" t="n">
        <f aca="false">IF(I408="","",1/I408)</f>
        <v>2</v>
      </c>
      <c r="K408" s="8" t="n">
        <v>43.2</v>
      </c>
      <c r="L408" s="9" t="n">
        <v>-0.07</v>
      </c>
      <c r="M408" s="10" t="n">
        <v>-0.0016</v>
      </c>
      <c r="N408" s="8" t="n">
        <v>43.32</v>
      </c>
      <c r="O408" s="8" t="n">
        <v>43.12</v>
      </c>
      <c r="P408" s="8" t="n">
        <v>43.56</v>
      </c>
      <c r="Q408" s="8" t="n">
        <v>43.2</v>
      </c>
      <c r="R408" s="11" t="n">
        <v>163</v>
      </c>
      <c r="S408" s="11" t="n">
        <f aca="false">K408*R408</f>
        <v>7041.6</v>
      </c>
      <c r="T408" s="8" t="n">
        <v>23.16</v>
      </c>
      <c r="U408" s="8" t="n">
        <v>49</v>
      </c>
      <c r="V408" s="12" t="n">
        <f aca="false">IF(U408-T408=0,"",(K408-T408)/(U408-T408))</f>
        <v>0.775541795665635</v>
      </c>
      <c r="W408" s="13" t="n">
        <f aca="false">IF(U408=0,"",K408/U408-1)</f>
        <v>-0.118367346938775</v>
      </c>
      <c r="X408" s="11" t="n">
        <v>177917</v>
      </c>
      <c r="Y408" s="5" t="s">
        <v>160</v>
      </c>
      <c r="Z408" s="5" t="s">
        <v>162</v>
      </c>
      <c r="AA408" s="5" t="s">
        <v>161</v>
      </c>
      <c r="AB408" s="5"/>
      <c r="AC408" s="5" t="s">
        <v>1346</v>
      </c>
      <c r="AD408" s="14" t="n">
        <v>46288.771875</v>
      </c>
    </row>
    <row r="409" customFormat="false" ht="15" hidden="false" customHeight="false" outlineLevel="0" collapsed="false">
      <c r="A409" s="5" t="s">
        <v>1347</v>
      </c>
      <c r="B409" s="5" t="s">
        <v>1348</v>
      </c>
      <c r="C409" s="5" t="s">
        <v>55</v>
      </c>
      <c r="D409" s="5" t="s">
        <v>56</v>
      </c>
      <c r="E409" s="5" t="s">
        <v>90</v>
      </c>
      <c r="F409" s="5" t="s">
        <v>91</v>
      </c>
      <c r="G409" s="5" t="s">
        <v>59</v>
      </c>
      <c r="H409" s="5"/>
      <c r="I409" s="6"/>
      <c r="J409" s="7" t="str">
        <f aca="false">IF(I409="","",1/I409)</f>
        <v/>
      </c>
      <c r="K409" s="8" t="n">
        <v>275.67</v>
      </c>
      <c r="L409" s="9" t="n">
        <v>-5.95</v>
      </c>
      <c r="M409" s="10" t="n">
        <v>-0.0211</v>
      </c>
      <c r="N409" s="8" t="n">
        <v>277.99</v>
      </c>
      <c r="O409" s="8" t="n">
        <v>275.67</v>
      </c>
      <c r="P409" s="8" t="n">
        <v>277.99</v>
      </c>
      <c r="Q409" s="8" t="n">
        <v>275.67</v>
      </c>
      <c r="R409" s="11" t="n">
        <v>100</v>
      </c>
      <c r="S409" s="11" t="n">
        <f aca="false">K409*R409</f>
        <v>27567</v>
      </c>
      <c r="T409" s="8" t="n">
        <v>258.16</v>
      </c>
      <c r="U409" s="8" t="n">
        <v>292.61</v>
      </c>
      <c r="V409" s="12" t="n">
        <f aca="false">IF(U409-T409=0,"",(K409-T409)/(U409-T409))</f>
        <v>0.508272859216255</v>
      </c>
      <c r="W409" s="13" t="n">
        <f aca="false">IF(U409=0,"",K409/U409-1)</f>
        <v>-0.0578927582789378</v>
      </c>
      <c r="X409" s="11" t="n">
        <v>195845</v>
      </c>
      <c r="Y409" s="5" t="s">
        <v>90</v>
      </c>
      <c r="Z409" s="5" t="s">
        <v>92</v>
      </c>
      <c r="AA409" s="5" t="s">
        <v>91</v>
      </c>
      <c r="AB409" s="5" t="s">
        <v>111</v>
      </c>
      <c r="AC409" s="5" t="s">
        <v>1349</v>
      </c>
      <c r="AD409" s="14" t="n">
        <v>46288.771875</v>
      </c>
    </row>
    <row r="410" customFormat="false" ht="15" hidden="false" customHeight="false" outlineLevel="0" collapsed="false">
      <c r="A410" s="5" t="s">
        <v>1350</v>
      </c>
      <c r="B410" s="5" t="s">
        <v>1351</v>
      </c>
      <c r="C410" s="5" t="s">
        <v>55</v>
      </c>
      <c r="D410" s="5" t="s">
        <v>56</v>
      </c>
      <c r="E410" s="5" t="s">
        <v>182</v>
      </c>
      <c r="F410" s="5" t="s">
        <v>183</v>
      </c>
      <c r="G410" s="5" t="s">
        <v>59</v>
      </c>
      <c r="H410" s="5" t="s">
        <v>86</v>
      </c>
      <c r="I410" s="6" t="n">
        <v>0.0666</v>
      </c>
      <c r="J410" s="7" t="n">
        <f aca="false">IF(I410="","",1/I410)</f>
        <v>15.015015015015</v>
      </c>
      <c r="K410" s="8" t="n">
        <v>19.14</v>
      </c>
      <c r="L410" s="9" t="n">
        <v>0.24</v>
      </c>
      <c r="M410" s="10" t="n">
        <v>0.0127</v>
      </c>
      <c r="N410" s="8" t="n">
        <v>19.14</v>
      </c>
      <c r="O410" s="8" t="n">
        <v>19.14</v>
      </c>
      <c r="P410" s="8" t="n">
        <v>19.14</v>
      </c>
      <c r="Q410" s="8" t="n">
        <v>19.14</v>
      </c>
      <c r="R410" s="11" t="n">
        <v>1</v>
      </c>
      <c r="S410" s="11" t="n">
        <f aca="false">K410*R410</f>
        <v>19.14</v>
      </c>
      <c r="T410" s="8" t="n">
        <v>15.4</v>
      </c>
      <c r="U410" s="8" t="n">
        <v>22.09</v>
      </c>
      <c r="V410" s="12" t="n">
        <f aca="false">IF(U410-T410=0,"",(K410-T410)/(U410-T410))</f>
        <v>0.559043348281017</v>
      </c>
      <c r="W410" s="13" t="n">
        <f aca="false">IF(U410=0,"",K410/U410-1)</f>
        <v>-0.133544590312359</v>
      </c>
      <c r="X410" s="11" t="n">
        <v>44490</v>
      </c>
      <c r="Y410" s="5" t="s">
        <v>182</v>
      </c>
      <c r="Z410" s="5" t="s">
        <v>184</v>
      </c>
      <c r="AA410" s="5" t="s">
        <v>183</v>
      </c>
      <c r="AB410" s="5"/>
      <c r="AC410" s="5" t="s">
        <v>1352</v>
      </c>
      <c r="AD410" s="14" t="n">
        <v>46288.771875</v>
      </c>
    </row>
    <row r="411" customFormat="false" ht="15" hidden="false" customHeight="false" outlineLevel="0" collapsed="false">
      <c r="A411" s="5" t="s">
        <v>1353</v>
      </c>
      <c r="B411" s="5" t="s">
        <v>1354</v>
      </c>
      <c r="C411" s="5" t="s">
        <v>55</v>
      </c>
      <c r="D411" s="5" t="s">
        <v>56</v>
      </c>
      <c r="E411" s="5" t="s">
        <v>90</v>
      </c>
      <c r="F411" s="5" t="s">
        <v>91</v>
      </c>
      <c r="G411" s="5" t="s">
        <v>59</v>
      </c>
      <c r="H411" s="5"/>
      <c r="I411" s="6"/>
      <c r="J411" s="7" t="str">
        <f aca="false">IF(I411="","",1/I411)</f>
        <v/>
      </c>
      <c r="K411" s="8" t="n">
        <v>142.24</v>
      </c>
      <c r="L411" s="9" t="n">
        <v>-0.76</v>
      </c>
      <c r="M411" s="10" t="n">
        <v>-0.0053</v>
      </c>
      <c r="N411" s="8" t="n">
        <v>142.24</v>
      </c>
      <c r="O411" s="8" t="n">
        <v>142.24</v>
      </c>
      <c r="P411" s="8" t="n">
        <v>142.24</v>
      </c>
      <c r="Q411" s="8" t="n">
        <v>142.24</v>
      </c>
      <c r="R411" s="11" t="n">
        <v>100</v>
      </c>
      <c r="S411" s="11" t="n">
        <f aca="false">K411*R411</f>
        <v>14224</v>
      </c>
      <c r="T411" s="8" t="n">
        <v>138</v>
      </c>
      <c r="U411" s="8" t="n">
        <v>208.8</v>
      </c>
      <c r="V411" s="12" t="n">
        <f aca="false">IF(U411-T411=0,"",(K411-T411)/(U411-T411))</f>
        <v>0.0598870056497176</v>
      </c>
      <c r="W411" s="13" t="n">
        <f aca="false">IF(U411=0,"",K411/U411-1)</f>
        <v>-0.318773946360153</v>
      </c>
      <c r="X411" s="11" t="n">
        <v>108414</v>
      </c>
      <c r="Y411" s="5" t="s">
        <v>90</v>
      </c>
      <c r="Z411" s="5" t="s">
        <v>92</v>
      </c>
      <c r="AA411" s="5" t="s">
        <v>91</v>
      </c>
      <c r="AB411" s="5" t="s">
        <v>111</v>
      </c>
      <c r="AC411" s="5" t="s">
        <v>1355</v>
      </c>
      <c r="AD411" s="14" t="n">
        <v>46288.771875</v>
      </c>
    </row>
    <row r="412" customFormat="false" ht="15" hidden="false" customHeight="false" outlineLevel="0" collapsed="false">
      <c r="A412" s="5" t="s">
        <v>1356</v>
      </c>
      <c r="B412" s="5" t="s">
        <v>1357</v>
      </c>
      <c r="C412" s="5" t="s">
        <v>55</v>
      </c>
      <c r="D412" s="5" t="s">
        <v>56</v>
      </c>
      <c r="E412" s="5" t="s">
        <v>65</v>
      </c>
      <c r="F412" s="5" t="s">
        <v>66</v>
      </c>
      <c r="G412" s="5" t="s">
        <v>59</v>
      </c>
      <c r="H412" s="5" t="s">
        <v>60</v>
      </c>
      <c r="I412" s="6" t="n">
        <v>0.5</v>
      </c>
      <c r="J412" s="7" t="n">
        <f aca="false">IF(I412="","",1/I412)</f>
        <v>2</v>
      </c>
      <c r="K412" s="8" t="n">
        <v>171.75</v>
      </c>
      <c r="L412" s="9" t="n">
        <v>-6.09</v>
      </c>
      <c r="M412" s="10" t="n">
        <v>-0.0342</v>
      </c>
      <c r="N412" s="8" t="n">
        <v>171.86</v>
      </c>
      <c r="O412" s="8" t="n">
        <v>171.75</v>
      </c>
      <c r="P412" s="8" t="n">
        <v>172.17</v>
      </c>
      <c r="Q412" s="8" t="n">
        <v>171.75</v>
      </c>
      <c r="R412" s="11" t="n">
        <v>639</v>
      </c>
      <c r="S412" s="11" t="n">
        <f aca="false">K412*R412</f>
        <v>109748.25</v>
      </c>
      <c r="T412" s="8" t="n">
        <v>160</v>
      </c>
      <c r="U412" s="8" t="n">
        <v>212.81</v>
      </c>
      <c r="V412" s="12" t="n">
        <f aca="false">IF(U412-T412=0,"",(K412-T412)/(U412-T412))</f>
        <v>0.222495739443287</v>
      </c>
      <c r="W412" s="13" t="n">
        <f aca="false">IF(U412=0,"",K412/U412-1)</f>
        <v>-0.192942060993374</v>
      </c>
      <c r="X412" s="11" t="n">
        <v>39259</v>
      </c>
      <c r="Y412" s="5" t="s">
        <v>65</v>
      </c>
      <c r="Z412" s="5" t="s">
        <v>67</v>
      </c>
      <c r="AA412" s="5" t="s">
        <v>66</v>
      </c>
      <c r="AB412" s="5"/>
      <c r="AC412" s="5" t="s">
        <v>1358</v>
      </c>
      <c r="AD412" s="14" t="n">
        <v>46288.771875</v>
      </c>
    </row>
    <row r="413" customFormat="false" ht="15" hidden="false" customHeight="false" outlineLevel="0" collapsed="false">
      <c r="A413" s="5" t="s">
        <v>1359</v>
      </c>
      <c r="B413" s="5" t="s">
        <v>1360</v>
      </c>
      <c r="C413" s="5" t="s">
        <v>55</v>
      </c>
      <c r="D413" s="5" t="s">
        <v>56</v>
      </c>
      <c r="E413" s="5" t="s">
        <v>77</v>
      </c>
      <c r="F413" s="5" t="s">
        <v>78</v>
      </c>
      <c r="G413" s="5" t="s">
        <v>59</v>
      </c>
      <c r="H413" s="5" t="s">
        <v>60</v>
      </c>
      <c r="I413" s="6" t="n">
        <v>0.083333</v>
      </c>
      <c r="J413" s="7" t="n">
        <f aca="false">IF(I413="","",1/I413)</f>
        <v>12.000048000192</v>
      </c>
      <c r="K413" s="8" t="n">
        <v>65.64</v>
      </c>
      <c r="L413" s="9" t="n">
        <v>0.8</v>
      </c>
      <c r="M413" s="10" t="n">
        <v>0.0123</v>
      </c>
      <c r="N413" s="8" t="n">
        <v>65.64</v>
      </c>
      <c r="O413" s="8" t="n">
        <v>65.64</v>
      </c>
      <c r="P413" s="8" t="n">
        <v>65.64</v>
      </c>
      <c r="Q413" s="8" t="n">
        <v>65.64</v>
      </c>
      <c r="R413" s="11" t="n">
        <v>200</v>
      </c>
      <c r="S413" s="11" t="n">
        <f aca="false">K413*R413</f>
        <v>13128</v>
      </c>
      <c r="T413" s="8" t="n">
        <v>55.0549978</v>
      </c>
      <c r="U413" s="8" t="n">
        <v>72.5</v>
      </c>
      <c r="V413" s="12" t="n">
        <f aca="false">IF(U413-T413=0,"",(K413-T413)/(U413-T413))</f>
        <v>0.606764165383711</v>
      </c>
      <c r="W413" s="13" t="n">
        <f aca="false">IF(U413=0,"",K413/U413-1)</f>
        <v>-0.0946206896551725</v>
      </c>
      <c r="X413" s="11" t="n">
        <v>440160</v>
      </c>
      <c r="Y413" s="5" t="s">
        <v>77</v>
      </c>
      <c r="Z413" s="5" t="s">
        <v>79</v>
      </c>
      <c r="AA413" s="5" t="s">
        <v>78</v>
      </c>
      <c r="AB413" s="5"/>
      <c r="AC413" s="5" t="s">
        <v>1361</v>
      </c>
      <c r="AD413" s="14" t="n">
        <v>46288.771875</v>
      </c>
    </row>
    <row r="414" customFormat="false" ht="15" hidden="false" customHeight="false" outlineLevel="0" collapsed="false">
      <c r="A414" s="5" t="s">
        <v>1362</v>
      </c>
      <c r="B414" s="5" t="s">
        <v>1363</v>
      </c>
      <c r="C414" s="5" t="s">
        <v>55</v>
      </c>
      <c r="D414" s="5" t="s">
        <v>56</v>
      </c>
      <c r="E414" s="5" t="s">
        <v>160</v>
      </c>
      <c r="F414" s="5" t="s">
        <v>161</v>
      </c>
      <c r="G414" s="5" t="s">
        <v>59</v>
      </c>
      <c r="H414" s="5" t="s">
        <v>60</v>
      </c>
      <c r="I414" s="6" t="n">
        <v>0.1</v>
      </c>
      <c r="J414" s="7" t="n">
        <f aca="false">IF(I414="","",1/I414)</f>
        <v>10</v>
      </c>
      <c r="K414" s="8" t="n">
        <v>72.5</v>
      </c>
      <c r="L414" s="9" t="n">
        <v>-2.11</v>
      </c>
      <c r="M414" s="10" t="n">
        <v>-0.0283</v>
      </c>
      <c r="N414" s="8" t="n">
        <v>72.03</v>
      </c>
      <c r="O414" s="8" t="n">
        <v>72.03</v>
      </c>
      <c r="P414" s="8" t="n">
        <v>72.5</v>
      </c>
      <c r="Q414" s="8" t="n">
        <v>72.5</v>
      </c>
      <c r="R414" s="11" t="n">
        <v>52</v>
      </c>
      <c r="S414" s="11" t="n">
        <f aca="false">K414*R414</f>
        <v>3770</v>
      </c>
      <c r="T414" s="8" t="n">
        <v>56.672</v>
      </c>
      <c r="U414" s="8" t="n">
        <v>79.22</v>
      </c>
      <c r="V414" s="12" t="n">
        <f aca="false">IF(U414-T414=0,"",(K414-T414)/(U414-T414))</f>
        <v>0.701969132517297</v>
      </c>
      <c r="W414" s="13" t="n">
        <f aca="false">IF(U414=0,"",K414/U414-1)</f>
        <v>-0.0848270638727594</v>
      </c>
      <c r="X414" s="11" t="n">
        <v>374526</v>
      </c>
      <c r="Y414" s="5" t="s">
        <v>160</v>
      </c>
      <c r="Z414" s="5" t="s">
        <v>162</v>
      </c>
      <c r="AA414" s="5" t="s">
        <v>161</v>
      </c>
      <c r="AB414" s="5"/>
      <c r="AC414" s="5" t="s">
        <v>1364</v>
      </c>
      <c r="AD414" s="14" t="n">
        <v>46288.771875</v>
      </c>
    </row>
    <row r="415" customFormat="false" ht="15" hidden="false" customHeight="false" outlineLevel="0" collapsed="false">
      <c r="A415" s="5" t="s">
        <v>1365</v>
      </c>
      <c r="B415" s="5" t="s">
        <v>1366</v>
      </c>
      <c r="C415" s="5" t="s">
        <v>55</v>
      </c>
      <c r="D415" s="5" t="s">
        <v>56</v>
      </c>
      <c r="E415" s="5" t="s">
        <v>160</v>
      </c>
      <c r="F415" s="5" t="s">
        <v>161</v>
      </c>
      <c r="G415" s="5" t="s">
        <v>59</v>
      </c>
      <c r="H415" s="5" t="s">
        <v>86</v>
      </c>
      <c r="I415" s="6" t="n">
        <v>0.5</v>
      </c>
      <c r="J415" s="7" t="n">
        <f aca="false">IF(I415="","",1/I415)</f>
        <v>2</v>
      </c>
      <c r="K415" s="8" t="n">
        <v>110.55</v>
      </c>
      <c r="L415" s="9" t="n">
        <v>3.52</v>
      </c>
      <c r="M415" s="10" t="n">
        <v>0.0329</v>
      </c>
      <c r="N415" s="8" t="n">
        <v>108.66</v>
      </c>
      <c r="O415" s="8" t="n">
        <v>108.66</v>
      </c>
      <c r="P415" s="8" t="n">
        <v>110.55</v>
      </c>
      <c r="Q415" s="8" t="n">
        <v>110.55</v>
      </c>
      <c r="R415" s="11" t="n">
        <v>78</v>
      </c>
      <c r="S415" s="11" t="n">
        <f aca="false">K415*R415</f>
        <v>8622.9</v>
      </c>
      <c r="T415" s="8" t="n">
        <v>58.5</v>
      </c>
      <c r="U415" s="8" t="n">
        <v>119.35</v>
      </c>
      <c r="V415" s="12" t="n">
        <f aca="false">IF(U415-T415=0,"",(K415-T415)/(U415-T415))</f>
        <v>0.855382087099425</v>
      </c>
      <c r="W415" s="13" t="n">
        <f aca="false">IF(U415=0,"",K415/U415-1)</f>
        <v>-0.0737327188940092</v>
      </c>
      <c r="X415" s="11" t="n">
        <v>515463</v>
      </c>
      <c r="Y415" s="5" t="s">
        <v>160</v>
      </c>
      <c r="Z415" s="5" t="s">
        <v>162</v>
      </c>
      <c r="AA415" s="5" t="s">
        <v>161</v>
      </c>
      <c r="AB415" s="5"/>
      <c r="AC415" s="5" t="s">
        <v>1367</v>
      </c>
      <c r="AD415" s="14" t="n">
        <v>46288.771875</v>
      </c>
    </row>
    <row r="416" customFormat="false" ht="15" hidden="false" customHeight="false" outlineLevel="0" collapsed="false">
      <c r="A416" s="5" t="s">
        <v>1368</v>
      </c>
      <c r="B416" s="5" t="s">
        <v>1369</v>
      </c>
      <c r="C416" s="5" t="s">
        <v>55</v>
      </c>
      <c r="D416" s="5" t="s">
        <v>56</v>
      </c>
      <c r="E416" s="5" t="s">
        <v>77</v>
      </c>
      <c r="F416" s="5" t="s">
        <v>78</v>
      </c>
      <c r="G416" s="5" t="s">
        <v>59</v>
      </c>
      <c r="H416" s="5" t="s">
        <v>86</v>
      </c>
      <c r="I416" s="6" t="n">
        <v>0.5</v>
      </c>
      <c r="J416" s="7" t="n">
        <f aca="false">IF(I416="","",1/I416)</f>
        <v>2</v>
      </c>
      <c r="K416" s="8" t="n">
        <v>25.11</v>
      </c>
      <c r="L416" s="9" t="n">
        <v>-0.9</v>
      </c>
      <c r="M416" s="10" t="n">
        <v>-0.0346</v>
      </c>
      <c r="N416" s="8" t="n">
        <v>25.11</v>
      </c>
      <c r="O416" s="8" t="n">
        <v>25.03</v>
      </c>
      <c r="P416" s="8" t="n">
        <v>25.26</v>
      </c>
      <c r="Q416" s="8" t="n">
        <v>25.11</v>
      </c>
      <c r="R416" s="11" t="n">
        <v>14</v>
      </c>
      <c r="S416" s="11" t="n">
        <f aca="false">K416*R416</f>
        <v>351.54</v>
      </c>
      <c r="T416" s="8" t="n">
        <v>20</v>
      </c>
      <c r="U416" s="8" t="n">
        <v>34.5</v>
      </c>
      <c r="V416" s="12" t="n">
        <f aca="false">IF(U416-T416=0,"",(K416-T416)/(U416-T416))</f>
        <v>0.352413793103448</v>
      </c>
      <c r="W416" s="13" t="n">
        <f aca="false">IF(U416=0,"",K416/U416-1)</f>
        <v>-0.272173913043478</v>
      </c>
      <c r="X416" s="11" t="n">
        <v>166843</v>
      </c>
      <c r="Y416" s="5" t="s">
        <v>77</v>
      </c>
      <c r="Z416" s="5" t="s">
        <v>79</v>
      </c>
      <c r="AA416" s="5" t="s">
        <v>78</v>
      </c>
      <c r="AB416" s="5"/>
      <c r="AC416" s="5" t="s">
        <v>1370</v>
      </c>
      <c r="AD416" s="14" t="n">
        <v>46288.771875</v>
      </c>
    </row>
    <row r="417" customFormat="false" ht="15" hidden="false" customHeight="false" outlineLevel="0" collapsed="false">
      <c r="A417" s="5" t="s">
        <v>1371</v>
      </c>
      <c r="B417" s="5" t="s">
        <v>1372</v>
      </c>
      <c r="C417" s="5" t="s">
        <v>55</v>
      </c>
      <c r="D417" s="5" t="s">
        <v>56</v>
      </c>
      <c r="E417" s="5" t="s">
        <v>71</v>
      </c>
      <c r="F417" s="5" t="s">
        <v>72</v>
      </c>
      <c r="G417" s="5" t="s">
        <v>59</v>
      </c>
      <c r="H417" s="5" t="s">
        <v>60</v>
      </c>
      <c r="I417" s="6" t="n">
        <v>0.1</v>
      </c>
      <c r="J417" s="7" t="n">
        <f aca="false">IF(I417="","",1/I417)</f>
        <v>10</v>
      </c>
      <c r="K417" s="8" t="n">
        <v>140.84</v>
      </c>
      <c r="L417" s="9" t="n">
        <v>3.22</v>
      </c>
      <c r="M417" s="10" t="n">
        <v>0.0234</v>
      </c>
      <c r="N417" s="8" t="n">
        <v>140.84</v>
      </c>
      <c r="O417" s="8" t="n">
        <v>140.84</v>
      </c>
      <c r="P417" s="8" t="n">
        <v>140.84</v>
      </c>
      <c r="Q417" s="8" t="n">
        <v>140.84</v>
      </c>
      <c r="R417" s="11" t="n">
        <v>10</v>
      </c>
      <c r="S417" s="11" t="n">
        <f aca="false">K417*R417</f>
        <v>1408.4</v>
      </c>
      <c r="T417" s="8" t="n">
        <v>123.76</v>
      </c>
      <c r="U417" s="8" t="n">
        <v>153.82</v>
      </c>
      <c r="V417" s="12" t="n">
        <f aca="false">IF(U417-T417=0,"",(K417-T417)/(U417-T417))</f>
        <v>0.568196939454425</v>
      </c>
      <c r="W417" s="13" t="n">
        <f aca="false">IF(U417=0,"",K417/U417-1)</f>
        <v>-0.0843843453387075</v>
      </c>
      <c r="X417" s="11" t="n">
        <v>90371</v>
      </c>
      <c r="Y417" s="5" t="s">
        <v>71</v>
      </c>
      <c r="Z417" s="5" t="s">
        <v>73</v>
      </c>
      <c r="AA417" s="5" t="s">
        <v>72</v>
      </c>
      <c r="AB417" s="5"/>
      <c r="AC417" s="5" t="s">
        <v>1373</v>
      </c>
      <c r="AD417" s="14" t="n">
        <v>46288.771875</v>
      </c>
    </row>
    <row r="418" customFormat="false" ht="15" hidden="false" customHeight="false" outlineLevel="0" collapsed="false">
      <c r="A418" s="5" t="s">
        <v>1374</v>
      </c>
      <c r="B418" s="5" t="s">
        <v>1375</v>
      </c>
      <c r="C418" s="5" t="s">
        <v>55</v>
      </c>
      <c r="D418" s="5" t="s">
        <v>56</v>
      </c>
      <c r="E418" s="5" t="s">
        <v>142</v>
      </c>
      <c r="F418" s="5" t="s">
        <v>143</v>
      </c>
      <c r="G418" s="5" t="s">
        <v>59</v>
      </c>
      <c r="H418" s="5" t="s">
        <v>60</v>
      </c>
      <c r="I418" s="6" t="n">
        <v>0.0714286</v>
      </c>
      <c r="J418" s="7" t="n">
        <f aca="false">IF(I418="","",1/I418)</f>
        <v>13.9999944000022</v>
      </c>
      <c r="K418" s="8" t="n">
        <v>161.29</v>
      </c>
      <c r="L418" s="9" t="n">
        <v>0.33</v>
      </c>
      <c r="M418" s="10" t="n">
        <v>0.0021</v>
      </c>
      <c r="N418" s="8" t="n">
        <v>160.62</v>
      </c>
      <c r="O418" s="8" t="n">
        <v>160.17</v>
      </c>
      <c r="P418" s="8" t="n">
        <v>162.55</v>
      </c>
      <c r="Q418" s="8" t="n">
        <v>161.29</v>
      </c>
      <c r="R418" s="11" t="n">
        <v>1062</v>
      </c>
      <c r="S418" s="11" t="n">
        <f aca="false">K418*R418</f>
        <v>171289.98</v>
      </c>
      <c r="T418" s="8" t="n">
        <v>122.01</v>
      </c>
      <c r="U418" s="8" t="n">
        <v>174.29</v>
      </c>
      <c r="V418" s="12" t="n">
        <f aca="false">IF(U418-T418=0,"",(K418-T418)/(U418-T418))</f>
        <v>0.751338944146901</v>
      </c>
      <c r="W418" s="13" t="n">
        <f aca="false">IF(U418=0,"",K418/U418-1)</f>
        <v>-0.0745883297951689</v>
      </c>
      <c r="X418" s="11" t="n">
        <v>879545</v>
      </c>
      <c r="Y418" s="5" t="s">
        <v>142</v>
      </c>
      <c r="Z418" s="5" t="s">
        <v>144</v>
      </c>
      <c r="AA418" s="5" t="s">
        <v>143</v>
      </c>
      <c r="AB418" s="5"/>
      <c r="AC418" s="5" t="s">
        <v>1376</v>
      </c>
      <c r="AD418" s="14" t="n">
        <v>46288.771875</v>
      </c>
    </row>
    <row r="419" customFormat="false" ht="15" hidden="false" customHeight="false" outlineLevel="0" collapsed="false">
      <c r="A419" s="5" t="s">
        <v>1377</v>
      </c>
      <c r="B419" s="5" t="s">
        <v>1378</v>
      </c>
      <c r="C419" s="5" t="s">
        <v>55</v>
      </c>
      <c r="D419" s="5" t="s">
        <v>56</v>
      </c>
      <c r="E419" s="5" t="s">
        <v>99</v>
      </c>
      <c r="F419" s="5" t="s">
        <v>100</v>
      </c>
      <c r="G419" s="5" t="s">
        <v>59</v>
      </c>
      <c r="H419" s="5" t="s">
        <v>60</v>
      </c>
      <c r="I419" s="6" t="n">
        <v>0.25</v>
      </c>
      <c r="J419" s="7" t="n">
        <f aca="false">IF(I419="","",1/I419)</f>
        <v>4</v>
      </c>
      <c r="K419" s="8" t="n">
        <v>113.96</v>
      </c>
      <c r="L419" s="9" t="n">
        <v>2.97</v>
      </c>
      <c r="M419" s="10" t="n">
        <v>0.0268</v>
      </c>
      <c r="N419" s="8" t="n">
        <v>113.96</v>
      </c>
      <c r="O419" s="8" t="n">
        <v>113.96</v>
      </c>
      <c r="P419" s="8" t="n">
        <v>113.96</v>
      </c>
      <c r="Q419" s="8" t="n">
        <v>113.96</v>
      </c>
      <c r="R419" s="11" t="n">
        <v>8</v>
      </c>
      <c r="S419" s="11" t="n">
        <f aca="false">K419*R419</f>
        <v>911.68</v>
      </c>
      <c r="T419" s="8" t="n">
        <v>94.3</v>
      </c>
      <c r="U419" s="8" t="n">
        <v>122.51</v>
      </c>
      <c r="V419" s="12" t="n">
        <f aca="false">IF(U419-T419=0,"",(K419-T419)/(U419-T419))</f>
        <v>0.696915987238568</v>
      </c>
      <c r="W419" s="13" t="n">
        <f aca="false">IF(U419=0,"",K419/U419-1)</f>
        <v>-0.0697902212064322</v>
      </c>
      <c r="X419" s="11" t="n">
        <v>261887</v>
      </c>
      <c r="Y419" s="5" t="s">
        <v>99</v>
      </c>
      <c r="Z419" s="5" t="s">
        <v>101</v>
      </c>
      <c r="AA419" s="5" t="s">
        <v>100</v>
      </c>
      <c r="AB419" s="5"/>
      <c r="AC419" s="5" t="s">
        <v>1379</v>
      </c>
      <c r="AD419" s="14" t="n">
        <v>46288.771875</v>
      </c>
    </row>
    <row r="420" customFormat="false" ht="15" hidden="false" customHeight="false" outlineLevel="0" collapsed="false">
      <c r="A420" s="5" t="s">
        <v>1380</v>
      </c>
      <c r="B420" s="5" t="s">
        <v>1381</v>
      </c>
      <c r="C420" s="5" t="s">
        <v>55</v>
      </c>
      <c r="D420" s="5" t="s">
        <v>56</v>
      </c>
      <c r="E420" s="5" t="s">
        <v>90</v>
      </c>
      <c r="F420" s="5" t="s">
        <v>91</v>
      </c>
      <c r="G420" s="5" t="s">
        <v>59</v>
      </c>
      <c r="H420" s="5" t="s">
        <v>60</v>
      </c>
      <c r="I420" s="6" t="n">
        <v>0.25</v>
      </c>
      <c r="J420" s="7" t="n">
        <f aca="false">IF(I420="","",1/I420)</f>
        <v>4</v>
      </c>
      <c r="K420" s="8" t="n">
        <v>52.85</v>
      </c>
      <c r="L420" s="9" t="n">
        <v>-1.85</v>
      </c>
      <c r="M420" s="10" t="n">
        <v>-0.0338</v>
      </c>
      <c r="N420" s="8" t="n">
        <v>52.45</v>
      </c>
      <c r="O420" s="8" t="n">
        <v>52.45</v>
      </c>
      <c r="P420" s="8" t="n">
        <v>52.85</v>
      </c>
      <c r="Q420" s="8" t="n">
        <v>52.85</v>
      </c>
      <c r="R420" s="11" t="n">
        <v>201</v>
      </c>
      <c r="S420" s="11" t="n">
        <f aca="false">K420*R420</f>
        <v>10622.85</v>
      </c>
      <c r="T420" s="8" t="n">
        <v>52.45</v>
      </c>
      <c r="U420" s="8" t="n">
        <v>65.5425</v>
      </c>
      <c r="V420" s="12" t="n">
        <f aca="false">IF(U420-T420=0,"",(K420-T420)/(U420-T420))</f>
        <v>0.0305518426580102</v>
      </c>
      <c r="W420" s="13" t="n">
        <f aca="false">IF(U420=0,"",K420/U420-1)</f>
        <v>-0.193652973261624</v>
      </c>
      <c r="X420" s="11" t="n">
        <v>220820</v>
      </c>
      <c r="Y420" s="5" t="s">
        <v>90</v>
      </c>
      <c r="Z420" s="5" t="s">
        <v>92</v>
      </c>
      <c r="AA420" s="5" t="s">
        <v>91</v>
      </c>
      <c r="AB420" s="5"/>
      <c r="AC420" s="5" t="s">
        <v>1382</v>
      </c>
      <c r="AD420" s="14" t="n">
        <v>46288.771875</v>
      </c>
    </row>
    <row r="421" customFormat="false" ht="15" hidden="false" customHeight="false" outlineLevel="0" collapsed="false">
      <c r="A421" s="5" t="s">
        <v>1383</v>
      </c>
      <c r="B421" s="5" t="s">
        <v>1384</v>
      </c>
      <c r="C421" s="5" t="s">
        <v>55</v>
      </c>
      <c r="D421" s="5" t="s">
        <v>56</v>
      </c>
      <c r="E421" s="5" t="s">
        <v>71</v>
      </c>
      <c r="F421" s="5" t="s">
        <v>72</v>
      </c>
      <c r="G421" s="5" t="s">
        <v>59</v>
      </c>
      <c r="H421" s="5" t="s">
        <v>60</v>
      </c>
      <c r="I421" s="6" t="n">
        <v>0.25</v>
      </c>
      <c r="J421" s="7" t="n">
        <f aca="false">IF(I421="","",1/I421)</f>
        <v>4</v>
      </c>
      <c r="K421" s="8" t="n">
        <v>58.62</v>
      </c>
      <c r="L421" s="9" t="n">
        <v>-0.12</v>
      </c>
      <c r="M421" s="10" t="n">
        <v>-0.002</v>
      </c>
      <c r="N421" s="8" t="n">
        <v>58.62</v>
      </c>
      <c r="O421" s="8" t="n">
        <v>58.62</v>
      </c>
      <c r="P421" s="8" t="n">
        <v>58.62</v>
      </c>
      <c r="Q421" s="8" t="n">
        <v>58.62</v>
      </c>
      <c r="R421" s="11" t="n">
        <v>1</v>
      </c>
      <c r="S421" s="11" t="n">
        <f aca="false">K421*R421</f>
        <v>58.62</v>
      </c>
      <c r="T421" s="8" t="n">
        <v>56.38333277</v>
      </c>
      <c r="U421" s="8" t="n">
        <v>67.79999932</v>
      </c>
      <c r="V421" s="12" t="n">
        <f aca="false">IF(U421-T421=0,"",(K421-T421)/(U421-T421))</f>
        <v>0.195912460104215</v>
      </c>
      <c r="W421" s="13" t="n">
        <f aca="false">IF(U421=0,"",K421/U421-1)</f>
        <v>-0.135398221416973</v>
      </c>
      <c r="X421" s="11" t="n">
        <v>145953</v>
      </c>
      <c r="Y421" s="5" t="s">
        <v>71</v>
      </c>
      <c r="Z421" s="5" t="s">
        <v>73</v>
      </c>
      <c r="AA421" s="5" t="s">
        <v>72</v>
      </c>
      <c r="AB421" s="5"/>
      <c r="AC421" s="5" t="s">
        <v>1385</v>
      </c>
      <c r="AD421" s="14" t="n">
        <v>46288.771875</v>
      </c>
    </row>
    <row r="422" customFormat="false" ht="15" hidden="false" customHeight="false" outlineLevel="0" collapsed="false">
      <c r="A422" s="5" t="s">
        <v>1386</v>
      </c>
      <c r="B422" s="5" t="s">
        <v>1387</v>
      </c>
      <c r="C422" s="5" t="s">
        <v>55</v>
      </c>
      <c r="D422" s="5" t="s">
        <v>56</v>
      </c>
      <c r="E422" s="5" t="s">
        <v>1388</v>
      </c>
      <c r="F422" s="5" t="s">
        <v>1389</v>
      </c>
      <c r="G422" s="5" t="s">
        <v>59</v>
      </c>
      <c r="H422" s="5" t="s">
        <v>60</v>
      </c>
      <c r="I422" s="6" t="n">
        <v>0.00666667</v>
      </c>
      <c r="J422" s="7" t="n">
        <f aca="false">IF(I422="","",1/I422)</f>
        <v>149.999925000037</v>
      </c>
      <c r="K422" s="8" t="n">
        <v>2.26</v>
      </c>
      <c r="L422" s="9" t="n">
        <v>0.03</v>
      </c>
      <c r="M422" s="10" t="n">
        <v>0.0135</v>
      </c>
      <c r="N422" s="8" t="n">
        <v>2.18</v>
      </c>
      <c r="O422" s="8" t="n">
        <v>2.18</v>
      </c>
      <c r="P422" s="8" t="n">
        <v>2.26</v>
      </c>
      <c r="Q422" s="8" t="n">
        <v>2.26</v>
      </c>
      <c r="R422" s="11" t="n">
        <v>113</v>
      </c>
      <c r="S422" s="11" t="n">
        <f aca="false">K422*R422</f>
        <v>255.38</v>
      </c>
      <c r="T422" s="8" t="n">
        <v>2.16</v>
      </c>
      <c r="U422" s="8" t="n">
        <v>3.23</v>
      </c>
      <c r="V422" s="12" t="n">
        <f aca="false">IF(U422-T422=0,"",(K422-T422)/(U422-T422))</f>
        <v>0.0934579439252333</v>
      </c>
      <c r="W422" s="13" t="n">
        <f aca="false">IF(U422=0,"",K422/U422-1)</f>
        <v>-0.30030959752322</v>
      </c>
      <c r="X422" s="11" t="n">
        <v>12574</v>
      </c>
      <c r="Y422" s="5" t="s">
        <v>1388</v>
      </c>
      <c r="Z422" s="5" t="s">
        <v>1390</v>
      </c>
      <c r="AA422" s="5" t="s">
        <v>1389</v>
      </c>
      <c r="AB422" s="5"/>
      <c r="AC422" s="5" t="s">
        <v>1391</v>
      </c>
      <c r="AD422" s="14" t="n">
        <v>46288.771875</v>
      </c>
    </row>
    <row r="423" customFormat="false" ht="15" hidden="false" customHeight="false" outlineLevel="0" collapsed="false">
      <c r="A423" s="5" t="s">
        <v>1392</v>
      </c>
      <c r="B423" s="5" t="s">
        <v>1393</v>
      </c>
      <c r="C423" s="5" t="s">
        <v>55</v>
      </c>
      <c r="D423" s="5" t="s">
        <v>56</v>
      </c>
      <c r="E423" s="5" t="s">
        <v>99</v>
      </c>
      <c r="F423" s="5" t="s">
        <v>100</v>
      </c>
      <c r="G423" s="5" t="s">
        <v>59</v>
      </c>
      <c r="H423" s="5" t="s">
        <v>60</v>
      </c>
      <c r="I423" s="6" t="n">
        <v>0.25</v>
      </c>
      <c r="J423" s="7" t="n">
        <f aca="false">IF(I423="","",1/I423)</f>
        <v>4</v>
      </c>
      <c r="K423" s="8" t="n">
        <v>23.48</v>
      </c>
      <c r="L423" s="9" t="n">
        <v>1.03</v>
      </c>
      <c r="M423" s="10" t="n">
        <v>0.0459</v>
      </c>
      <c r="N423" s="8" t="n">
        <v>23.48</v>
      </c>
      <c r="O423" s="8" t="n">
        <v>23.48</v>
      </c>
      <c r="P423" s="8" t="n">
        <v>23.48</v>
      </c>
      <c r="Q423" s="8" t="n">
        <v>23.48</v>
      </c>
      <c r="R423" s="11" t="n">
        <v>10</v>
      </c>
      <c r="S423" s="11" t="n">
        <f aca="false">K423*R423</f>
        <v>234.8</v>
      </c>
      <c r="T423" s="8" t="n">
        <v>22.45</v>
      </c>
      <c r="U423" s="8" t="n">
        <v>40.44</v>
      </c>
      <c r="V423" s="12" t="n">
        <f aca="false">IF(U423-T423=0,"",(K423-T423)/(U423-T423))</f>
        <v>0.057254030016676</v>
      </c>
      <c r="W423" s="13" t="n">
        <f aca="false">IF(U423=0,"",K423/U423-1)</f>
        <v>-0.419386745796241</v>
      </c>
      <c r="X423" s="11" t="n">
        <v>5428</v>
      </c>
      <c r="Y423" s="5" t="s">
        <v>99</v>
      </c>
      <c r="Z423" s="5" t="s">
        <v>101</v>
      </c>
      <c r="AA423" s="5" t="s">
        <v>100</v>
      </c>
      <c r="AB423" s="5"/>
      <c r="AC423" s="5" t="s">
        <v>1394</v>
      </c>
      <c r="AD423" s="14" t="n">
        <v>46288.771875</v>
      </c>
    </row>
    <row r="424" customFormat="false" ht="15" hidden="false" customHeight="false" outlineLevel="0" collapsed="false">
      <c r="A424" s="5" t="s">
        <v>1395</v>
      </c>
      <c r="B424" s="5" t="s">
        <v>1396</v>
      </c>
      <c r="C424" s="5" t="s">
        <v>55</v>
      </c>
      <c r="D424" s="5" t="s">
        <v>56</v>
      </c>
      <c r="E424" s="5" t="s">
        <v>142</v>
      </c>
      <c r="F424" s="5" t="s">
        <v>143</v>
      </c>
      <c r="G424" s="5" t="s">
        <v>59</v>
      </c>
      <c r="H424" s="5" t="s">
        <v>60</v>
      </c>
      <c r="I424" s="6" t="n">
        <v>0.04</v>
      </c>
      <c r="J424" s="7" t="n">
        <f aca="false">IF(I424="","",1/I424)</f>
        <v>25</v>
      </c>
      <c r="K424" s="8" t="n">
        <v>6.8</v>
      </c>
      <c r="L424" s="9" t="n">
        <v>-0.27</v>
      </c>
      <c r="M424" s="10" t="n">
        <v>-0.0382</v>
      </c>
      <c r="N424" s="8" t="n">
        <v>7.08</v>
      </c>
      <c r="O424" s="8" t="n">
        <v>6.8</v>
      </c>
      <c r="P424" s="8" t="n">
        <v>7.1</v>
      </c>
      <c r="Q424" s="8" t="n">
        <v>6.8</v>
      </c>
      <c r="R424" s="11" t="n">
        <v>1976</v>
      </c>
      <c r="S424" s="11" t="n">
        <f aca="false">K424*R424</f>
        <v>13436.8</v>
      </c>
      <c r="T424" s="8" t="n">
        <v>5.6</v>
      </c>
      <c r="U424" s="8" t="n">
        <v>15.4</v>
      </c>
      <c r="V424" s="12" t="n">
        <f aca="false">IF(U424-T424=0,"",(K424-T424)/(U424-T424))</f>
        <v>0.122448979591837</v>
      </c>
      <c r="W424" s="13" t="n">
        <f aca="false">IF(U424=0,"",K424/U424-1)</f>
        <v>-0.558441558441559</v>
      </c>
      <c r="X424" s="11" t="n">
        <v>23277</v>
      </c>
      <c r="Y424" s="5" t="s">
        <v>142</v>
      </c>
      <c r="Z424" s="5" t="s">
        <v>144</v>
      </c>
      <c r="AA424" s="5" t="s">
        <v>143</v>
      </c>
      <c r="AB424" s="5"/>
      <c r="AC424" s="5" t="s">
        <v>1397</v>
      </c>
      <c r="AD424" s="14" t="n">
        <v>46288.771875</v>
      </c>
    </row>
    <row r="425" customFormat="false" ht="15" hidden="false" customHeight="false" outlineLevel="0" collapsed="false">
      <c r="A425" s="5" t="s">
        <v>1398</v>
      </c>
      <c r="B425" s="5" t="s">
        <v>1399</v>
      </c>
      <c r="C425" s="5" t="s">
        <v>55</v>
      </c>
      <c r="D425" s="5" t="s">
        <v>56</v>
      </c>
      <c r="E425" s="5" t="s">
        <v>142</v>
      </c>
      <c r="F425" s="5" t="s">
        <v>143</v>
      </c>
      <c r="G425" s="5" t="s">
        <v>59</v>
      </c>
      <c r="H425" s="5" t="s">
        <v>60</v>
      </c>
      <c r="I425" s="6" t="n">
        <v>0.055555</v>
      </c>
      <c r="J425" s="7" t="n">
        <f aca="false">IF(I425="","",1/I425)</f>
        <v>18.0001800018</v>
      </c>
      <c r="K425" s="8" t="n">
        <v>40.28</v>
      </c>
      <c r="L425" s="9" t="n">
        <v>-0.56</v>
      </c>
      <c r="M425" s="10" t="n">
        <v>-0.0137</v>
      </c>
      <c r="N425" s="8" t="n">
        <v>40.28</v>
      </c>
      <c r="O425" s="8" t="n">
        <v>40.28</v>
      </c>
      <c r="P425" s="8" t="n">
        <v>40.28</v>
      </c>
      <c r="Q425" s="8" t="n">
        <v>40.28</v>
      </c>
      <c r="R425" s="11" t="n">
        <v>45</v>
      </c>
      <c r="S425" s="11" t="n">
        <f aca="false">K425*R425</f>
        <v>1812.6</v>
      </c>
      <c r="T425" s="8" t="n">
        <v>22.26</v>
      </c>
      <c r="U425" s="8" t="n">
        <v>52.56</v>
      </c>
      <c r="V425" s="12" t="n">
        <f aca="false">IF(U425-T425=0,"",(K425-T425)/(U425-T425))</f>
        <v>0.594719471947195</v>
      </c>
      <c r="W425" s="13" t="n">
        <f aca="false">IF(U425=0,"",K425/U425-1)</f>
        <v>-0.233637747336377</v>
      </c>
      <c r="X425" s="11" t="n">
        <v>118166</v>
      </c>
      <c r="Y425" s="5" t="s">
        <v>142</v>
      </c>
      <c r="Z425" s="5" t="s">
        <v>144</v>
      </c>
      <c r="AA425" s="5" t="s">
        <v>143</v>
      </c>
      <c r="AB425" s="5"/>
      <c r="AC425" s="5" t="s">
        <v>1400</v>
      </c>
      <c r="AD425" s="14" t="n">
        <v>46288.771875</v>
      </c>
    </row>
    <row r="426" customFormat="false" ht="15" hidden="false" customHeight="false" outlineLevel="0" collapsed="false">
      <c r="A426" s="5" t="s">
        <v>1401</v>
      </c>
      <c r="B426" s="5" t="s">
        <v>1402</v>
      </c>
      <c r="C426" s="5" t="s">
        <v>55</v>
      </c>
      <c r="D426" s="5" t="s">
        <v>56</v>
      </c>
      <c r="E426" s="5" t="s">
        <v>115</v>
      </c>
      <c r="F426" s="5" t="s">
        <v>116</v>
      </c>
      <c r="G426" s="5" t="s">
        <v>59</v>
      </c>
      <c r="H426" s="5" t="s">
        <v>60</v>
      </c>
      <c r="I426" s="6" t="n">
        <v>0.0166667</v>
      </c>
      <c r="J426" s="7" t="n">
        <f aca="false">IF(I426="","",1/I426)</f>
        <v>59.99988000024</v>
      </c>
      <c r="K426" s="8" t="n">
        <v>9.68</v>
      </c>
      <c r="L426" s="9" t="n">
        <v>-0.51</v>
      </c>
      <c r="M426" s="10" t="n">
        <v>-0.05</v>
      </c>
      <c r="N426" s="8" t="n">
        <v>9.76</v>
      </c>
      <c r="O426" s="8" t="n">
        <v>9.68</v>
      </c>
      <c r="P426" s="8" t="n">
        <v>9.81</v>
      </c>
      <c r="Q426" s="8" t="n">
        <v>9.68</v>
      </c>
      <c r="R426" s="11" t="n">
        <v>5211</v>
      </c>
      <c r="S426" s="11" t="n">
        <f aca="false">K426*R426</f>
        <v>50442.48</v>
      </c>
      <c r="T426" s="8" t="n">
        <v>6.24</v>
      </c>
      <c r="U426" s="8" t="n">
        <v>19.62</v>
      </c>
      <c r="V426" s="12" t="n">
        <f aca="false">IF(U426-T426=0,"",(K426-T426)/(U426-T426))</f>
        <v>0.257100149476831</v>
      </c>
      <c r="W426" s="13" t="n">
        <f aca="false">IF(U426=0,"",K426/U426-1)</f>
        <v>-0.506625891946993</v>
      </c>
      <c r="X426" s="11" t="n">
        <v>29447</v>
      </c>
      <c r="Y426" s="5" t="s">
        <v>115</v>
      </c>
      <c r="Z426" s="5" t="s">
        <v>117</v>
      </c>
      <c r="AA426" s="5" t="s">
        <v>116</v>
      </c>
      <c r="AB426" s="5"/>
      <c r="AC426" s="5" t="s">
        <v>1403</v>
      </c>
      <c r="AD426" s="14" t="n">
        <v>46288.771875</v>
      </c>
    </row>
    <row r="427" customFormat="false" ht="15" hidden="false" customHeight="false" outlineLevel="0" collapsed="false">
      <c r="A427" s="5" t="s">
        <v>1404</v>
      </c>
      <c r="B427" s="5" t="s">
        <v>1405</v>
      </c>
      <c r="C427" s="5" t="s">
        <v>55</v>
      </c>
      <c r="D427" s="5" t="s">
        <v>56</v>
      </c>
      <c r="E427" s="5" t="s">
        <v>115</v>
      </c>
      <c r="F427" s="5" t="s">
        <v>116</v>
      </c>
      <c r="G427" s="5" t="s">
        <v>59</v>
      </c>
      <c r="H427" s="5" t="s">
        <v>60</v>
      </c>
      <c r="I427" s="6" t="n">
        <v>0.833333333</v>
      </c>
      <c r="J427" s="7" t="n">
        <f aca="false">IF(I427="","",1/I427)</f>
        <v>1.20000000048</v>
      </c>
      <c r="K427" s="8" t="n">
        <v>37.84</v>
      </c>
      <c r="L427" s="9" t="n">
        <v>0</v>
      </c>
      <c r="M427" s="10" t="n">
        <v>0</v>
      </c>
      <c r="N427" s="8" t="n">
        <v>37.84</v>
      </c>
      <c r="O427" s="8" t="n">
        <v>37.84</v>
      </c>
      <c r="P427" s="8" t="n">
        <v>37.84</v>
      </c>
      <c r="Q427" s="8" t="n">
        <v>37.84</v>
      </c>
      <c r="R427" s="11" t="n">
        <v>2</v>
      </c>
      <c r="S427" s="11" t="n">
        <f aca="false">K427*R427</f>
        <v>75.68</v>
      </c>
      <c r="T427" s="8" t="n">
        <v>17.88</v>
      </c>
      <c r="U427" s="8" t="n">
        <v>50.91</v>
      </c>
      <c r="V427" s="12" t="n">
        <f aca="false">IF(U427-T427=0,"",(K427-T427)/(U427-T427))</f>
        <v>0.604299122010294</v>
      </c>
      <c r="W427" s="13" t="n">
        <f aca="false">IF(U427=0,"",K427/U427-1)</f>
        <v>-0.256727558436456</v>
      </c>
      <c r="X427" s="11" t="n">
        <v>47939</v>
      </c>
      <c r="Y427" s="5" t="s">
        <v>115</v>
      </c>
      <c r="Z427" s="5" t="s">
        <v>117</v>
      </c>
      <c r="AA427" s="5" t="s">
        <v>116</v>
      </c>
      <c r="AB427" s="5"/>
      <c r="AC427" s="5" t="s">
        <v>1406</v>
      </c>
      <c r="AD427" s="14" t="n">
        <v>46288.771875</v>
      </c>
    </row>
    <row r="428" customFormat="false" ht="15" hidden="false" customHeight="false" outlineLevel="0" collapsed="false">
      <c r="A428" s="5" t="s">
        <v>1407</v>
      </c>
      <c r="B428" s="5" t="s">
        <v>1408</v>
      </c>
      <c r="C428" s="5" t="s">
        <v>55</v>
      </c>
      <c r="D428" s="5" t="s">
        <v>56</v>
      </c>
      <c r="E428" s="5" t="s">
        <v>57</v>
      </c>
      <c r="F428" s="5" t="s">
        <v>58</v>
      </c>
      <c r="G428" s="5" t="s">
        <v>59</v>
      </c>
      <c r="H428" s="5" t="s">
        <v>60</v>
      </c>
      <c r="I428" s="6" t="n">
        <v>0.066666667</v>
      </c>
      <c r="J428" s="7" t="n">
        <f aca="false">IF(I428="","",1/I428)</f>
        <v>14.999999925</v>
      </c>
      <c r="K428" s="8" t="n">
        <v>25.3</v>
      </c>
      <c r="L428" s="9" t="n">
        <v>0.4</v>
      </c>
      <c r="M428" s="10" t="n">
        <v>0.0161</v>
      </c>
      <c r="N428" s="8" t="n">
        <v>25.3</v>
      </c>
      <c r="O428" s="8" t="n">
        <v>25.3</v>
      </c>
      <c r="P428" s="8" t="n">
        <v>25.3</v>
      </c>
      <c r="Q428" s="8" t="n">
        <v>25.3</v>
      </c>
      <c r="R428" s="11" t="n">
        <v>100</v>
      </c>
      <c r="S428" s="11" t="n">
        <f aca="false">K428*R428</f>
        <v>2530</v>
      </c>
      <c r="T428" s="8" t="n">
        <v>15.96</v>
      </c>
      <c r="U428" s="8" t="n">
        <v>29.46</v>
      </c>
      <c r="V428" s="12" t="n">
        <f aca="false">IF(U428-T428=0,"",(K428-T428)/(U428-T428))</f>
        <v>0.691851851851852</v>
      </c>
      <c r="W428" s="13" t="n">
        <f aca="false">IF(U428=0,"",K428/U428-1)</f>
        <v>-0.141208418194162</v>
      </c>
      <c r="X428" s="11" t="n">
        <v>35294</v>
      </c>
      <c r="Y428" s="5" t="s">
        <v>57</v>
      </c>
      <c r="Z428" s="5" t="s">
        <v>61</v>
      </c>
      <c r="AA428" s="5" t="s">
        <v>58</v>
      </c>
      <c r="AB428" s="5"/>
      <c r="AC428" s="5" t="s">
        <v>1409</v>
      </c>
      <c r="AD428" s="14" t="n">
        <v>46288.771875</v>
      </c>
    </row>
    <row r="429" customFormat="false" ht="15" hidden="false" customHeight="false" outlineLevel="0" collapsed="false">
      <c r="A429" s="5" t="s">
        <v>1410</v>
      </c>
      <c r="B429" s="5" t="s">
        <v>1411</v>
      </c>
      <c r="C429" s="5" t="s">
        <v>248</v>
      </c>
      <c r="D429" s="5" t="s">
        <v>249</v>
      </c>
      <c r="E429" s="5" t="s">
        <v>988</v>
      </c>
      <c r="F429" s="5" t="s">
        <v>989</v>
      </c>
      <c r="G429" s="5" t="s">
        <v>59</v>
      </c>
      <c r="H429" s="5" t="s">
        <v>60</v>
      </c>
      <c r="I429" s="6" t="n">
        <v>0.25</v>
      </c>
      <c r="J429" s="7" t="n">
        <f aca="false">IF(I429="","",1/I429)</f>
        <v>4</v>
      </c>
      <c r="K429" s="8" t="n">
        <v>37.2</v>
      </c>
      <c r="L429" s="9" t="n">
        <v>-0.32</v>
      </c>
      <c r="M429" s="10" t="n">
        <v>-0.0085</v>
      </c>
      <c r="N429" s="8" t="n">
        <v>39.4</v>
      </c>
      <c r="O429" s="8" t="n">
        <v>36.72</v>
      </c>
      <c r="P429" s="8" t="n">
        <v>39.4</v>
      </c>
      <c r="Q429" s="8" t="n">
        <v>37.2</v>
      </c>
      <c r="R429" s="11" t="n">
        <v>405</v>
      </c>
      <c r="S429" s="11" t="n">
        <f aca="false">K429*R429</f>
        <v>15066</v>
      </c>
      <c r="T429" s="8" t="n">
        <v>32.75</v>
      </c>
      <c r="U429" s="8" t="n">
        <v>42</v>
      </c>
      <c r="V429" s="12" t="n">
        <f aca="false">IF(U429-T429=0,"",(K429-T429)/(U429-T429))</f>
        <v>0.481081081081081</v>
      </c>
      <c r="W429" s="13" t="n">
        <f aca="false">IF(U429=0,"",K429/U429-1)</f>
        <v>-0.114285714285714</v>
      </c>
      <c r="X429" s="11"/>
      <c r="Y429" s="5" t="s">
        <v>253</v>
      </c>
      <c r="Z429" s="5" t="s">
        <v>254</v>
      </c>
      <c r="AA429" s="5" t="s">
        <v>988</v>
      </c>
      <c r="AB429" s="5"/>
      <c r="AC429" s="5" t="s">
        <v>1412</v>
      </c>
      <c r="AD429" s="14" t="n">
        <v>46288.771875</v>
      </c>
    </row>
    <row r="430" customFormat="false" ht="15" hidden="false" customHeight="false" outlineLevel="0" collapsed="false">
      <c r="A430" s="5" t="s">
        <v>1413</v>
      </c>
      <c r="B430" s="5" t="s">
        <v>1414</v>
      </c>
      <c r="C430" s="5" t="s">
        <v>55</v>
      </c>
      <c r="D430" s="5" t="s">
        <v>56</v>
      </c>
      <c r="E430" s="5" t="s">
        <v>57</v>
      </c>
      <c r="F430" s="5" t="s">
        <v>58</v>
      </c>
      <c r="G430" s="5" t="s">
        <v>59</v>
      </c>
      <c r="H430" s="5"/>
      <c r="I430" s="6"/>
      <c r="J430" s="7" t="str">
        <f aca="false">IF(I430="","",1/I430)</f>
        <v/>
      </c>
      <c r="K430" s="8" t="n">
        <v>275.8</v>
      </c>
      <c r="L430" s="9" t="n">
        <v>-12.2</v>
      </c>
      <c r="M430" s="10" t="n">
        <v>-0.0424</v>
      </c>
      <c r="N430" s="8" t="n">
        <v>275.53</v>
      </c>
      <c r="O430" s="8" t="n">
        <v>275.53</v>
      </c>
      <c r="P430" s="8" t="n">
        <v>275.8</v>
      </c>
      <c r="Q430" s="8" t="n">
        <v>275.8</v>
      </c>
      <c r="R430" s="11" t="n">
        <v>111</v>
      </c>
      <c r="S430" s="11" t="n">
        <f aca="false">K430*R430</f>
        <v>30613.8</v>
      </c>
      <c r="T430" s="8" t="n">
        <v>207.73</v>
      </c>
      <c r="U430" s="8" t="n">
        <v>301.59</v>
      </c>
      <c r="V430" s="12" t="n">
        <f aca="false">IF(U430-T430=0,"",(K430-T430)/(U430-T430))</f>
        <v>0.725229064564245</v>
      </c>
      <c r="W430" s="13" t="n">
        <f aca="false">IF(U430=0,"",K430/U430-1)</f>
        <v>-0.0855134454060147</v>
      </c>
      <c r="X430" s="11" t="n">
        <v>248872</v>
      </c>
      <c r="Y430" s="5" t="s">
        <v>57</v>
      </c>
      <c r="Z430" s="5" t="s">
        <v>61</v>
      </c>
      <c r="AA430" s="5" t="s">
        <v>58</v>
      </c>
      <c r="AB430" s="5" t="s">
        <v>111</v>
      </c>
      <c r="AC430" s="5" t="s">
        <v>1415</v>
      </c>
      <c r="AD430" s="14" t="n">
        <v>46288.771875</v>
      </c>
    </row>
    <row r="431" customFormat="false" ht="15" hidden="false" customHeight="false" outlineLevel="0" collapsed="false">
      <c r="A431" s="5" t="s">
        <v>1416</v>
      </c>
      <c r="B431" s="5" t="s">
        <v>1417</v>
      </c>
      <c r="C431" s="5" t="s">
        <v>248</v>
      </c>
      <c r="D431" s="5" t="s">
        <v>249</v>
      </c>
      <c r="E431" s="5" t="s">
        <v>250</v>
      </c>
      <c r="F431" s="5" t="s">
        <v>251</v>
      </c>
      <c r="G431" s="5" t="s">
        <v>59</v>
      </c>
      <c r="H431" s="5" t="s">
        <v>60</v>
      </c>
      <c r="I431" s="6" t="n">
        <v>0.5</v>
      </c>
      <c r="J431" s="7" t="n">
        <f aca="false">IF(I431="","",1/I431)</f>
        <v>2</v>
      </c>
      <c r="K431" s="8" t="n">
        <v>31.35</v>
      </c>
      <c r="L431" s="9" t="n">
        <v>-1.23</v>
      </c>
      <c r="M431" s="10" t="n">
        <v>-0.0378</v>
      </c>
      <c r="N431" s="8" t="n">
        <v>31.35</v>
      </c>
      <c r="O431" s="8" t="n">
        <v>31.35</v>
      </c>
      <c r="P431" s="8" t="n">
        <v>31.35</v>
      </c>
      <c r="Q431" s="8" t="n">
        <v>31.35</v>
      </c>
      <c r="R431" s="11" t="n">
        <v>660</v>
      </c>
      <c r="S431" s="11" t="n">
        <f aca="false">K431*R431</f>
        <v>20691</v>
      </c>
      <c r="T431" s="8" t="n">
        <v>28.12</v>
      </c>
      <c r="U431" s="8" t="n">
        <v>55</v>
      </c>
      <c r="V431" s="12" t="n">
        <f aca="false">IF(U431-T431=0,"",(K431-T431)/(U431-T431))</f>
        <v>0.120163690476191</v>
      </c>
      <c r="W431" s="13" t="n">
        <f aca="false">IF(U431=0,"",K431/U431-1)</f>
        <v>-0.43</v>
      </c>
      <c r="X431" s="11"/>
      <c r="Y431" s="5" t="s">
        <v>253</v>
      </c>
      <c r="Z431" s="5" t="s">
        <v>254</v>
      </c>
      <c r="AA431" s="5" t="s">
        <v>251</v>
      </c>
      <c r="AB431" s="5"/>
      <c r="AC431" s="5" t="s">
        <v>1418</v>
      </c>
      <c r="AD431" s="14" t="n">
        <v>46288.771875</v>
      </c>
    </row>
    <row r="432" customFormat="false" ht="15" hidden="false" customHeight="false" outlineLevel="0" collapsed="false">
      <c r="A432" s="5" t="s">
        <v>1419</v>
      </c>
      <c r="B432" s="5" t="s">
        <v>1420</v>
      </c>
      <c r="C432" s="5" t="s">
        <v>55</v>
      </c>
      <c r="D432" s="5" t="s">
        <v>56</v>
      </c>
      <c r="E432" s="5" t="s">
        <v>273</v>
      </c>
      <c r="F432" s="5" t="s">
        <v>274</v>
      </c>
      <c r="G432" s="5" t="s">
        <v>59</v>
      </c>
      <c r="H432" s="5"/>
      <c r="I432" s="6"/>
      <c r="J432" s="7" t="str">
        <f aca="false">IF(I432="","",1/I432)</f>
        <v/>
      </c>
      <c r="K432" s="8" t="n">
        <v>21.28</v>
      </c>
      <c r="L432" s="9" t="n">
        <v>1.14</v>
      </c>
      <c r="M432" s="10" t="n">
        <v>0.0566</v>
      </c>
      <c r="N432" s="8" t="n">
        <v>21.18</v>
      </c>
      <c r="O432" s="8" t="n">
        <v>20.94</v>
      </c>
      <c r="P432" s="8" t="n">
        <v>21.41</v>
      </c>
      <c r="Q432" s="8" t="n">
        <v>21.28</v>
      </c>
      <c r="R432" s="11" t="n">
        <v>31</v>
      </c>
      <c r="S432" s="11" t="n">
        <f aca="false">K432*R432</f>
        <v>659.68</v>
      </c>
      <c r="T432" s="8" t="n">
        <v>14.5</v>
      </c>
      <c r="U432" s="8" t="n">
        <v>28.35</v>
      </c>
      <c r="V432" s="12" t="n">
        <f aca="false">IF(U432-T432=0,"",(K432-T432)/(U432-T432))</f>
        <v>0.489530685920578</v>
      </c>
      <c r="W432" s="13" t="n">
        <f aca="false">IF(U432=0,"",K432/U432-1)</f>
        <v>-0.249382716049383</v>
      </c>
      <c r="X432" s="11" t="n">
        <v>185695</v>
      </c>
      <c r="Y432" s="5" t="s">
        <v>273</v>
      </c>
      <c r="Z432" s="5" t="s">
        <v>275</v>
      </c>
      <c r="AA432" s="5" t="s">
        <v>274</v>
      </c>
      <c r="AB432" s="5" t="s">
        <v>111</v>
      </c>
      <c r="AC432" s="5" t="s">
        <v>1421</v>
      </c>
      <c r="AD432" s="14" t="n">
        <v>46288.771875</v>
      </c>
    </row>
    <row r="433" customFormat="false" ht="15" hidden="false" customHeight="false" outlineLevel="0" collapsed="false">
      <c r="A433" s="5" t="s">
        <v>1422</v>
      </c>
      <c r="B433" s="5" t="s">
        <v>1423</v>
      </c>
      <c r="C433" s="5" t="s">
        <v>55</v>
      </c>
      <c r="D433" s="5" t="s">
        <v>56</v>
      </c>
      <c r="E433" s="5" t="s">
        <v>71</v>
      </c>
      <c r="F433" s="5" t="s">
        <v>72</v>
      </c>
      <c r="G433" s="5" t="s">
        <v>59</v>
      </c>
      <c r="H433" s="5" t="s">
        <v>60</v>
      </c>
      <c r="I433" s="6" t="n">
        <v>0.0125</v>
      </c>
      <c r="J433" s="7" t="n">
        <f aca="false">IF(I433="","",1/I433)</f>
        <v>80</v>
      </c>
      <c r="K433" s="8" t="n">
        <v>67.39</v>
      </c>
      <c r="L433" s="9" t="n">
        <v>-0.44</v>
      </c>
      <c r="M433" s="10" t="n">
        <v>-0.0065</v>
      </c>
      <c r="N433" s="8" t="n">
        <v>68.73</v>
      </c>
      <c r="O433" s="8" t="n">
        <v>66.99</v>
      </c>
      <c r="P433" s="8" t="n">
        <v>68.73</v>
      </c>
      <c r="Q433" s="8" t="n">
        <v>67.39</v>
      </c>
      <c r="R433" s="11" t="n">
        <v>199</v>
      </c>
      <c r="S433" s="11" t="n">
        <f aca="false">K433*R433</f>
        <v>13410.61</v>
      </c>
      <c r="T433" s="8" t="n">
        <v>47.96</v>
      </c>
      <c r="U433" s="8" t="n">
        <v>72.84</v>
      </c>
      <c r="V433" s="12" t="n">
        <f aca="false">IF(U433-T433=0,"",(K433-T433)/(U433-T433))</f>
        <v>0.780948553054662</v>
      </c>
      <c r="W433" s="13" t="n">
        <f aca="false">IF(U433=0,"",K433/U433-1)</f>
        <v>-0.0748215266337178</v>
      </c>
      <c r="X433" s="11" t="n">
        <v>534897</v>
      </c>
      <c r="Y433" s="5" t="s">
        <v>71</v>
      </c>
      <c r="Z433" s="5" t="s">
        <v>73</v>
      </c>
      <c r="AA433" s="5" t="s">
        <v>72</v>
      </c>
      <c r="AB433" s="5"/>
      <c r="AC433" s="5" t="s">
        <v>1424</v>
      </c>
      <c r="AD433" s="14" t="n">
        <v>46288.771875</v>
      </c>
    </row>
    <row r="434" customFormat="false" ht="15" hidden="false" customHeight="false" outlineLevel="0" collapsed="false">
      <c r="A434" s="5" t="s">
        <v>1425</v>
      </c>
      <c r="B434" s="5" t="s">
        <v>1426</v>
      </c>
      <c r="C434" s="5" t="s">
        <v>248</v>
      </c>
      <c r="D434" s="5" t="s">
        <v>249</v>
      </c>
      <c r="E434" s="5" t="s">
        <v>250</v>
      </c>
      <c r="F434" s="5" t="s">
        <v>251</v>
      </c>
      <c r="G434" s="5" t="s">
        <v>59</v>
      </c>
      <c r="H434" s="5" t="s">
        <v>60</v>
      </c>
      <c r="I434" s="6" t="n">
        <v>0.33333333</v>
      </c>
      <c r="J434" s="7" t="n">
        <f aca="false">IF(I434="","",1/I434)</f>
        <v>3.00000003</v>
      </c>
      <c r="K434" s="8" t="n">
        <v>34.64</v>
      </c>
      <c r="L434" s="9" t="n">
        <v>-0.65</v>
      </c>
      <c r="M434" s="10" t="n">
        <v>-0.0184</v>
      </c>
      <c r="N434" s="8" t="n">
        <v>34.93</v>
      </c>
      <c r="O434" s="8" t="n">
        <v>34.25</v>
      </c>
      <c r="P434" s="8" t="n">
        <v>35.23</v>
      </c>
      <c r="Q434" s="8" t="n">
        <v>34.64</v>
      </c>
      <c r="R434" s="11" t="n">
        <v>1997</v>
      </c>
      <c r="S434" s="11" t="n">
        <f aca="false">K434*R434</f>
        <v>69176.08</v>
      </c>
      <c r="T434" s="8" t="n">
        <v>19.94</v>
      </c>
      <c r="U434" s="8" t="n">
        <v>63.88</v>
      </c>
      <c r="V434" s="12" t="n">
        <f aca="false">IF(U434-T434=0,"",(K434-T434)/(U434-T434))</f>
        <v>0.334547109695039</v>
      </c>
      <c r="W434" s="13" t="n">
        <f aca="false">IF(U434=0,"",K434/U434-1)</f>
        <v>-0.457733249843457</v>
      </c>
      <c r="X434" s="11"/>
      <c r="Y434" s="5" t="s">
        <v>253</v>
      </c>
      <c r="Z434" s="5" t="s">
        <v>254</v>
      </c>
      <c r="AA434" s="5" t="s">
        <v>251</v>
      </c>
      <c r="AB434" s="5"/>
      <c r="AC434" s="5" t="s">
        <v>1427</v>
      </c>
      <c r="AD434" s="14" t="n">
        <v>46288.771875</v>
      </c>
    </row>
    <row r="435" customFormat="false" ht="15" hidden="false" customHeight="false" outlineLevel="0" collapsed="false">
      <c r="A435" s="5" t="s">
        <v>1428</v>
      </c>
      <c r="B435" s="5" t="s">
        <v>1429</v>
      </c>
      <c r="C435" s="5" t="s">
        <v>248</v>
      </c>
      <c r="D435" s="5" t="s">
        <v>249</v>
      </c>
      <c r="E435" s="5" t="s">
        <v>988</v>
      </c>
      <c r="F435" s="5" t="s">
        <v>989</v>
      </c>
      <c r="G435" s="5" t="s">
        <v>59</v>
      </c>
      <c r="H435" s="5"/>
      <c r="I435" s="6"/>
      <c r="J435" s="7" t="str">
        <f aca="false">IF(I435="","",1/I435)</f>
        <v/>
      </c>
      <c r="K435" s="8" t="n">
        <v>12.56</v>
      </c>
      <c r="L435" s="9" t="n">
        <v>0</v>
      </c>
      <c r="M435" s="10" t="n">
        <v>0</v>
      </c>
      <c r="N435" s="8" t="n">
        <v>12.56</v>
      </c>
      <c r="O435" s="8" t="n">
        <v>12.56</v>
      </c>
      <c r="P435" s="8" t="n">
        <v>12.56</v>
      </c>
      <c r="Q435" s="8" t="n">
        <v>12.56</v>
      </c>
      <c r="R435" s="11" t="n">
        <v>10</v>
      </c>
      <c r="S435" s="11" t="n">
        <f aca="false">K435*R435</f>
        <v>125.6</v>
      </c>
      <c r="T435" s="8" t="n">
        <v>12.56</v>
      </c>
      <c r="U435" s="8" t="n">
        <v>12.56</v>
      </c>
      <c r="V435" s="12" t="str">
        <f aca="false">IF(U435-T435=0,"",(K435-T435)/(U435-T435))</f>
        <v/>
      </c>
      <c r="W435" s="13" t="n">
        <f aca="false">IF(U435=0,"",K435/U435-1)</f>
        <v>0</v>
      </c>
      <c r="X435" s="11"/>
      <c r="Y435" s="5" t="s">
        <v>253</v>
      </c>
      <c r="Z435" s="5" t="s">
        <v>254</v>
      </c>
      <c r="AA435" s="5" t="s">
        <v>988</v>
      </c>
      <c r="AB435" s="5" t="s">
        <v>1430</v>
      </c>
      <c r="AC435" s="5" t="s">
        <v>1431</v>
      </c>
      <c r="AD435" s="14" t="n">
        <v>46288.771875</v>
      </c>
    </row>
    <row r="436" customFormat="false" ht="15" hidden="false" customHeight="false" outlineLevel="0" collapsed="false">
      <c r="A436" s="5" t="s">
        <v>1432</v>
      </c>
      <c r="B436" s="5" t="s">
        <v>1433</v>
      </c>
      <c r="C436" s="5" t="s">
        <v>55</v>
      </c>
      <c r="D436" s="5" t="s">
        <v>1434</v>
      </c>
      <c r="E436" s="5" t="s">
        <v>77</v>
      </c>
      <c r="F436" s="5" t="s">
        <v>78</v>
      </c>
      <c r="G436" s="5" t="s">
        <v>59</v>
      </c>
      <c r="H436" s="5" t="s">
        <v>60</v>
      </c>
      <c r="I436" s="6" t="n">
        <v>1</v>
      </c>
      <c r="J436" s="7" t="n">
        <f aca="false">IF(I436="","",1/I436)</f>
        <v>1</v>
      </c>
      <c r="K436" s="8" t="n">
        <v>11.35</v>
      </c>
      <c r="L436" s="9" t="n">
        <v>0.02</v>
      </c>
      <c r="M436" s="10" t="n">
        <v>0.0018</v>
      </c>
      <c r="N436" s="8" t="n">
        <v>11.3</v>
      </c>
      <c r="O436" s="8" t="n">
        <v>10.67</v>
      </c>
      <c r="P436" s="8" t="n">
        <v>11.35</v>
      </c>
      <c r="Q436" s="8" t="n">
        <v>11.35</v>
      </c>
      <c r="R436" s="11" t="n">
        <v>18679</v>
      </c>
      <c r="S436" s="11" t="n">
        <f aca="false">K436*R436</f>
        <v>212006.65</v>
      </c>
      <c r="T436" s="8" t="n">
        <v>10.5</v>
      </c>
      <c r="U436" s="8" t="n">
        <v>31.9</v>
      </c>
      <c r="V436" s="12" t="n">
        <f aca="false">IF(U436-T436=0,"",(K436-T436)/(U436-T436))</f>
        <v>0.0397196261682243</v>
      </c>
      <c r="W436" s="13" t="n">
        <f aca="false">IF(U436=0,"",K436/U436-1)</f>
        <v>-0.644200626959248</v>
      </c>
      <c r="X436" s="11" t="n">
        <v>3834</v>
      </c>
      <c r="Y436" s="5" t="s">
        <v>77</v>
      </c>
      <c r="Z436" s="5" t="s">
        <v>79</v>
      </c>
      <c r="AA436" s="5" t="s">
        <v>78</v>
      </c>
      <c r="AB436" s="5"/>
      <c r="AC436" s="5" t="s">
        <v>1435</v>
      </c>
      <c r="AD436" s="14" t="n">
        <v>46288.771875</v>
      </c>
    </row>
    <row r="437" customFormat="false" ht="15" hidden="false" customHeight="false" outlineLevel="0" collapsed="false">
      <c r="A437" s="5" t="s">
        <v>1436</v>
      </c>
      <c r="B437" s="5" t="s">
        <v>1437</v>
      </c>
      <c r="C437" s="5" t="s">
        <v>55</v>
      </c>
      <c r="D437" s="5" t="s">
        <v>1434</v>
      </c>
      <c r="E437" s="5" t="s">
        <v>1388</v>
      </c>
      <c r="F437" s="5" t="s">
        <v>1389</v>
      </c>
      <c r="G437" s="5" t="s">
        <v>1438</v>
      </c>
      <c r="H437" s="5" t="s">
        <v>60</v>
      </c>
      <c r="I437" s="6" t="n">
        <v>1</v>
      </c>
      <c r="J437" s="7" t="n">
        <f aca="false">IF(I437="","",1/I437)</f>
        <v>1</v>
      </c>
      <c r="K437" s="8" t="n">
        <v>141.82</v>
      </c>
      <c r="L437" s="9" t="n">
        <v>-1.54</v>
      </c>
      <c r="M437" s="10" t="n">
        <v>-0.0107</v>
      </c>
      <c r="N437" s="8" t="n">
        <v>141.97</v>
      </c>
      <c r="O437" s="8" t="n">
        <v>141.82</v>
      </c>
      <c r="P437" s="8" t="n">
        <v>141.98</v>
      </c>
      <c r="Q437" s="8" t="n">
        <v>141.82</v>
      </c>
      <c r="R437" s="11" t="n">
        <v>9</v>
      </c>
      <c r="S437" s="11" t="n">
        <f aca="false">K437*R437</f>
        <v>1276.38</v>
      </c>
      <c r="T437" s="8" t="n">
        <v>107.41</v>
      </c>
      <c r="U437" s="8" t="n">
        <v>183.89</v>
      </c>
      <c r="V437" s="12" t="n">
        <f aca="false">IF(U437-T437=0,"",(K437-T437)/(U437-T437))</f>
        <v>0.449921548117155</v>
      </c>
      <c r="W437" s="13" t="n">
        <f aca="false">IF(U437=0,"",K437/U437-1)</f>
        <v>-0.228778073848496</v>
      </c>
      <c r="X437" s="11" t="n">
        <v>8532</v>
      </c>
      <c r="Y437" s="5" t="s">
        <v>1388</v>
      </c>
      <c r="Z437" s="5" t="s">
        <v>1390</v>
      </c>
      <c r="AA437" s="5" t="s">
        <v>1389</v>
      </c>
      <c r="AB437" s="5"/>
      <c r="AC437" s="5" t="s">
        <v>1439</v>
      </c>
      <c r="AD437" s="14" t="n">
        <v>46288.771875</v>
      </c>
    </row>
    <row r="438" customFormat="false" ht="15" hidden="false" customHeight="false" outlineLevel="0" collapsed="false">
      <c r="A438" s="5" t="s">
        <v>1440</v>
      </c>
      <c r="B438" s="5" t="s">
        <v>1441</v>
      </c>
      <c r="C438" s="5" t="s">
        <v>248</v>
      </c>
      <c r="D438" s="5" t="s">
        <v>249</v>
      </c>
      <c r="E438" s="5" t="s">
        <v>250</v>
      </c>
      <c r="F438" s="5" t="s">
        <v>251</v>
      </c>
      <c r="G438" s="5" t="s">
        <v>59</v>
      </c>
      <c r="H438" s="5" t="s">
        <v>60</v>
      </c>
      <c r="I438" s="6" t="n">
        <v>0.25</v>
      </c>
      <c r="J438" s="7" t="n">
        <f aca="false">IF(I438="","",1/I438)</f>
        <v>4</v>
      </c>
      <c r="K438" s="8" t="n">
        <v>63</v>
      </c>
      <c r="L438" s="9" t="n">
        <v>-0.6</v>
      </c>
      <c r="M438" s="10" t="n">
        <v>-0.0094</v>
      </c>
      <c r="N438" s="8" t="n">
        <v>63</v>
      </c>
      <c r="O438" s="8" t="n">
        <v>63</v>
      </c>
      <c r="P438" s="8" t="n">
        <v>63</v>
      </c>
      <c r="Q438" s="8" t="n">
        <v>63</v>
      </c>
      <c r="R438" s="11" t="n">
        <v>4</v>
      </c>
      <c r="S438" s="11" t="n">
        <f aca="false">K438*R438</f>
        <v>252</v>
      </c>
      <c r="T438" s="8" t="n">
        <v>51.67</v>
      </c>
      <c r="U438" s="8" t="n">
        <v>65.99</v>
      </c>
      <c r="V438" s="12" t="n">
        <f aca="false">IF(U438-T438=0,"",(K438-T438)/(U438-T438))</f>
        <v>0.791201117318436</v>
      </c>
      <c r="W438" s="13" t="n">
        <f aca="false">IF(U438=0,"",K438/U438-1)</f>
        <v>-0.0453098954387028</v>
      </c>
      <c r="X438" s="11"/>
      <c r="Y438" s="5" t="s">
        <v>253</v>
      </c>
      <c r="Z438" s="5" t="s">
        <v>254</v>
      </c>
      <c r="AA438" s="5" t="s">
        <v>251</v>
      </c>
      <c r="AB438" s="5"/>
      <c r="AC438" s="5" t="s">
        <v>1442</v>
      </c>
      <c r="AD438" s="14" t="n">
        <v>46288.771875</v>
      </c>
    </row>
    <row r="439" customFormat="false" ht="15" hidden="false" customHeight="false" outlineLevel="0" collapsed="false">
      <c r="A439" s="5" t="s">
        <v>1443</v>
      </c>
      <c r="B439" s="5" t="s">
        <v>1444</v>
      </c>
      <c r="C439" s="5" t="s">
        <v>55</v>
      </c>
      <c r="D439" s="5" t="s">
        <v>56</v>
      </c>
      <c r="E439" s="5" t="s">
        <v>182</v>
      </c>
      <c r="F439" s="5" t="s">
        <v>183</v>
      </c>
      <c r="G439" s="5" t="s">
        <v>59</v>
      </c>
      <c r="H439" s="5"/>
      <c r="I439" s="6"/>
      <c r="J439" s="7" t="str">
        <f aca="false">IF(I439="","",1/I439)</f>
        <v/>
      </c>
      <c r="K439" s="8" t="n">
        <v>672.48</v>
      </c>
      <c r="L439" s="9" t="n">
        <v>-45.36</v>
      </c>
      <c r="M439" s="10" t="n">
        <v>-0.0632</v>
      </c>
      <c r="N439" s="8" t="n">
        <v>712.88</v>
      </c>
      <c r="O439" s="8" t="n">
        <v>663.85</v>
      </c>
      <c r="P439" s="8" t="n">
        <v>712.88</v>
      </c>
      <c r="Q439" s="8" t="n">
        <v>672.48</v>
      </c>
      <c r="R439" s="11" t="n">
        <v>77</v>
      </c>
      <c r="S439" s="11" t="n">
        <f aca="false">K439*R439</f>
        <v>51780.96</v>
      </c>
      <c r="T439" s="8" t="n">
        <v>534.27</v>
      </c>
      <c r="U439" s="8" t="n">
        <v>900</v>
      </c>
      <c r="V439" s="12" t="n">
        <f aca="false">IF(U439-T439=0,"",(K439-T439)/(U439-T439))</f>
        <v>0.377901730785005</v>
      </c>
      <c r="W439" s="13" t="n">
        <f aca="false">IF(U439=0,"",K439/U439-1)</f>
        <v>-0.2528</v>
      </c>
      <c r="X439" s="11" t="n">
        <v>172412</v>
      </c>
      <c r="Y439" s="5" t="s">
        <v>182</v>
      </c>
      <c r="Z439" s="5" t="s">
        <v>184</v>
      </c>
      <c r="AA439" s="5" t="s">
        <v>183</v>
      </c>
      <c r="AB439" s="5" t="s">
        <v>111</v>
      </c>
      <c r="AC439" s="5" t="s">
        <v>1445</v>
      </c>
      <c r="AD439" s="14" t="n">
        <v>46288.771875</v>
      </c>
    </row>
    <row r="440" customFormat="false" ht="15" hidden="false" customHeight="false" outlineLevel="0" collapsed="false">
      <c r="A440" s="5" t="s">
        <v>1446</v>
      </c>
      <c r="B440" s="5" t="s">
        <v>1447</v>
      </c>
      <c r="C440" s="5" t="s">
        <v>55</v>
      </c>
      <c r="D440" s="5" t="s">
        <v>56</v>
      </c>
      <c r="E440" s="5" t="s">
        <v>160</v>
      </c>
      <c r="F440" s="5" t="s">
        <v>161</v>
      </c>
      <c r="G440" s="5" t="s">
        <v>59</v>
      </c>
      <c r="H440" s="5" t="s">
        <v>60</v>
      </c>
      <c r="I440" s="6" t="n">
        <v>0.125</v>
      </c>
      <c r="J440" s="7" t="n">
        <f aca="false">IF(I440="","",1/I440)</f>
        <v>8</v>
      </c>
      <c r="K440" s="8" t="n">
        <v>103.49</v>
      </c>
      <c r="L440" s="9" t="n">
        <v>2.48</v>
      </c>
      <c r="M440" s="10" t="n">
        <v>0.0246</v>
      </c>
      <c r="N440" s="8" t="n">
        <v>102.39</v>
      </c>
      <c r="O440" s="8" t="n">
        <v>101.93</v>
      </c>
      <c r="P440" s="8" t="n">
        <v>104.52</v>
      </c>
      <c r="Q440" s="8" t="n">
        <v>103.94</v>
      </c>
      <c r="R440" s="11" t="n">
        <v>27990</v>
      </c>
      <c r="S440" s="11" t="n">
        <f aca="false">K440*R440</f>
        <v>2896685.1</v>
      </c>
      <c r="T440" s="8" t="n">
        <v>74.15</v>
      </c>
      <c r="U440" s="8" t="n">
        <v>115.41</v>
      </c>
      <c r="V440" s="12" t="n">
        <f aca="false">IF(U440-T440=0,"",(K440-T440)/(U440-T440))</f>
        <v>0.711100339311682</v>
      </c>
      <c r="W440" s="13" t="n">
        <f aca="false">IF(U440=0,"",K440/U440-1)</f>
        <v>-0.103283944198943</v>
      </c>
      <c r="X440" s="11" t="n">
        <v>3339824</v>
      </c>
      <c r="Y440" s="5" t="s">
        <v>160</v>
      </c>
      <c r="Z440" s="5" t="s">
        <v>162</v>
      </c>
      <c r="AA440" s="5" t="s">
        <v>161</v>
      </c>
      <c r="AB440" s="5"/>
      <c r="AC440" s="5" t="s">
        <v>1448</v>
      </c>
      <c r="AD440" s="14" t="n">
        <v>46288.771875</v>
      </c>
    </row>
    <row r="441" customFormat="false" ht="15" hidden="false" customHeight="false" outlineLevel="0" collapsed="false">
      <c r="A441" s="5" t="s">
        <v>1449</v>
      </c>
      <c r="B441" s="5" t="s">
        <v>1450</v>
      </c>
      <c r="C441" s="5" t="s">
        <v>55</v>
      </c>
      <c r="D441" s="5" t="s">
        <v>56</v>
      </c>
      <c r="E441" s="5" t="s">
        <v>160</v>
      </c>
      <c r="F441" s="5" t="s">
        <v>161</v>
      </c>
      <c r="G441" s="5" t="s">
        <v>59</v>
      </c>
      <c r="H441" s="5" t="s">
        <v>60</v>
      </c>
      <c r="I441" s="6" t="n">
        <v>0.0625</v>
      </c>
      <c r="J441" s="7" t="n">
        <f aca="false">IF(I441="","",1/I441)</f>
        <v>16</v>
      </c>
      <c r="K441" s="8" t="n">
        <v>60.05</v>
      </c>
      <c r="L441" s="9" t="n">
        <v>0.11</v>
      </c>
      <c r="M441" s="10" t="n">
        <v>0.0018</v>
      </c>
      <c r="N441" s="8" t="n">
        <v>60.05</v>
      </c>
      <c r="O441" s="8" t="n">
        <v>60.05</v>
      </c>
      <c r="P441" s="8" t="n">
        <v>60.05</v>
      </c>
      <c r="Q441" s="8" t="n">
        <v>60.05</v>
      </c>
      <c r="R441" s="11" t="n">
        <v>210</v>
      </c>
      <c r="S441" s="11" t="n">
        <f aca="false">K441*R441</f>
        <v>12610.5</v>
      </c>
      <c r="T441" s="8" t="n">
        <v>47.36875</v>
      </c>
      <c r="U441" s="8" t="n">
        <v>67.68</v>
      </c>
      <c r="V441" s="12" t="n">
        <f aca="false">IF(U441-T441=0,"",(K441-T441)/(U441-T441))</f>
        <v>0.624346113606991</v>
      </c>
      <c r="W441" s="13" t="n">
        <f aca="false">IF(U441=0,"",K441/U441-1)</f>
        <v>-0.112736406619385</v>
      </c>
      <c r="X441" s="11" t="n">
        <v>264404</v>
      </c>
      <c r="Y441" s="5" t="s">
        <v>160</v>
      </c>
      <c r="Z441" s="5" t="s">
        <v>162</v>
      </c>
      <c r="AA441" s="5" t="s">
        <v>161</v>
      </c>
      <c r="AB441" s="5"/>
      <c r="AC441" s="5" t="s">
        <v>1451</v>
      </c>
      <c r="AD441" s="14" t="n">
        <v>46288.771875</v>
      </c>
    </row>
    <row r="442" customFormat="false" ht="15" hidden="false" customHeight="false" outlineLevel="0" collapsed="false">
      <c r="A442" s="5" t="s">
        <v>1452</v>
      </c>
      <c r="B442" s="5" t="s">
        <v>1453</v>
      </c>
      <c r="C442" s="5" t="s">
        <v>55</v>
      </c>
      <c r="D442" s="5" t="s">
        <v>56</v>
      </c>
      <c r="E442" s="5" t="s">
        <v>90</v>
      </c>
      <c r="F442" s="5" t="s">
        <v>91</v>
      </c>
      <c r="G442" s="5" t="s">
        <v>59</v>
      </c>
      <c r="H442" s="5" t="s">
        <v>60</v>
      </c>
      <c r="I442" s="6" t="n">
        <v>0.25</v>
      </c>
      <c r="J442" s="7" t="n">
        <f aca="false">IF(I442="","",1/I442)</f>
        <v>4</v>
      </c>
      <c r="K442" s="8" t="n">
        <v>58.98</v>
      </c>
      <c r="L442" s="9" t="n">
        <v>-0.18</v>
      </c>
      <c r="M442" s="10" t="n">
        <v>-0.003</v>
      </c>
      <c r="N442" s="8" t="n">
        <v>58.86</v>
      </c>
      <c r="O442" s="8" t="n">
        <v>58.86</v>
      </c>
      <c r="P442" s="8" t="n">
        <v>58.98</v>
      </c>
      <c r="Q442" s="8" t="n">
        <v>58.98</v>
      </c>
      <c r="R442" s="11" t="n">
        <v>2</v>
      </c>
      <c r="S442" s="11" t="n">
        <f aca="false">K442*R442</f>
        <v>117.96</v>
      </c>
      <c r="T442" s="8" t="n">
        <v>58.86</v>
      </c>
      <c r="U442" s="8" t="n">
        <v>65.4575</v>
      </c>
      <c r="V442" s="12" t="n">
        <f aca="false">IF(U442-T442=0,"",(K442-T442)/(U442-T442))</f>
        <v>0.0181887078438799</v>
      </c>
      <c r="W442" s="13" t="n">
        <f aca="false">IF(U442=0,"",K442/U442-1)</f>
        <v>-0.0989573387312378</v>
      </c>
      <c r="X442" s="11" t="n">
        <v>132459</v>
      </c>
      <c r="Y442" s="5" t="s">
        <v>90</v>
      </c>
      <c r="Z442" s="5" t="s">
        <v>92</v>
      </c>
      <c r="AA442" s="5" t="s">
        <v>91</v>
      </c>
      <c r="AB442" s="5"/>
      <c r="AC442" s="5" t="s">
        <v>1454</v>
      </c>
      <c r="AD442" s="14" t="n">
        <v>46288.771875</v>
      </c>
    </row>
    <row r="443" customFormat="false" ht="15" hidden="false" customHeight="false" outlineLevel="0" collapsed="false">
      <c r="A443" s="5" t="s">
        <v>1455</v>
      </c>
      <c r="B443" s="5" t="s">
        <v>1456</v>
      </c>
      <c r="C443" s="5" t="s">
        <v>55</v>
      </c>
      <c r="D443" s="5" t="s">
        <v>56</v>
      </c>
      <c r="E443" s="5" t="s">
        <v>1388</v>
      </c>
      <c r="F443" s="5" t="s">
        <v>1389</v>
      </c>
      <c r="G443" s="5" t="s">
        <v>59</v>
      </c>
      <c r="H443" s="5"/>
      <c r="I443" s="6"/>
      <c r="J443" s="7" t="str">
        <f aca="false">IF(I443="","",1/I443)</f>
        <v/>
      </c>
      <c r="K443" s="8" t="n">
        <v>119.28</v>
      </c>
      <c r="L443" s="9" t="n">
        <v>1.32</v>
      </c>
      <c r="M443" s="10" t="n">
        <v>0.0112</v>
      </c>
      <c r="N443" s="8" t="n">
        <v>118.2</v>
      </c>
      <c r="O443" s="8" t="n">
        <v>118.2</v>
      </c>
      <c r="P443" s="8" t="n">
        <v>119.28</v>
      </c>
      <c r="Q443" s="8" t="n">
        <v>119.28</v>
      </c>
      <c r="R443" s="11" t="n">
        <v>11</v>
      </c>
      <c r="S443" s="11" t="n">
        <f aca="false">K443*R443</f>
        <v>1312.08</v>
      </c>
      <c r="T443" s="8" t="n">
        <v>117.96</v>
      </c>
      <c r="U443" s="8" t="n">
        <v>348.6</v>
      </c>
      <c r="V443" s="12" t="n">
        <f aca="false">IF(U443-T443=0,"",(K443-T443)/(U443-T443))</f>
        <v>0.00572320499479712</v>
      </c>
      <c r="W443" s="13" t="n">
        <f aca="false">IF(U443=0,"",K443/U443-1)</f>
        <v>-0.657831325301205</v>
      </c>
      <c r="X443" s="11" t="n">
        <v>125458</v>
      </c>
      <c r="Y443" s="5" t="s">
        <v>1388</v>
      </c>
      <c r="Z443" s="5" t="s">
        <v>1390</v>
      </c>
      <c r="AA443" s="5" t="s">
        <v>1389</v>
      </c>
      <c r="AB443" s="5" t="s">
        <v>111</v>
      </c>
      <c r="AC443" s="5" t="s">
        <v>1457</v>
      </c>
      <c r="AD443" s="14" t="n">
        <v>46288.771875</v>
      </c>
    </row>
    <row r="444" customFormat="false" ht="15" hidden="false" customHeight="false" outlineLevel="0" collapsed="false">
      <c r="A444" s="5" t="s">
        <v>1458</v>
      </c>
      <c r="B444" s="5" t="s">
        <v>1459</v>
      </c>
      <c r="C444" s="5" t="s">
        <v>55</v>
      </c>
      <c r="D444" s="5" t="s">
        <v>56</v>
      </c>
      <c r="E444" s="5" t="s">
        <v>142</v>
      </c>
      <c r="F444" s="5" t="s">
        <v>143</v>
      </c>
      <c r="G444" s="5" t="s">
        <v>59</v>
      </c>
      <c r="H444" s="5" t="s">
        <v>60</v>
      </c>
      <c r="I444" s="6" t="n">
        <v>1</v>
      </c>
      <c r="J444" s="7" t="n">
        <f aca="false">IF(I444="","",1/I444)</f>
        <v>1</v>
      </c>
      <c r="K444" s="8" t="n">
        <v>379.5</v>
      </c>
      <c r="L444" s="9" t="n">
        <v>-3</v>
      </c>
      <c r="M444" s="10" t="n">
        <v>-0.0078</v>
      </c>
      <c r="N444" s="8" t="n">
        <v>379.5</v>
      </c>
      <c r="O444" s="8" t="n">
        <v>379.5</v>
      </c>
      <c r="P444" s="8" t="n">
        <v>379.5</v>
      </c>
      <c r="Q444" s="8" t="n">
        <v>379.5</v>
      </c>
      <c r="R444" s="11" t="n">
        <v>1</v>
      </c>
      <c r="S444" s="11" t="n">
        <f aca="false">K444*R444</f>
        <v>379.5</v>
      </c>
      <c r="T444" s="8" t="n">
        <v>379.5</v>
      </c>
      <c r="U444" s="8" t="n">
        <v>421.06</v>
      </c>
      <c r="V444" s="12" t="n">
        <f aca="false">IF(U444-T444=0,"",(K444-T444)/(U444-T444))</f>
        <v>0</v>
      </c>
      <c r="W444" s="13" t="n">
        <f aca="false">IF(U444=0,"",K444/U444-1)</f>
        <v>-0.0987032726927278</v>
      </c>
      <c r="X444" s="11" t="n">
        <v>49433</v>
      </c>
      <c r="Y444" s="5" t="s">
        <v>142</v>
      </c>
      <c r="Z444" s="5" t="s">
        <v>144</v>
      </c>
      <c r="AA444" s="5" t="s">
        <v>143</v>
      </c>
      <c r="AB444" s="5"/>
      <c r="AC444" s="5" t="s">
        <v>1460</v>
      </c>
      <c r="AD444" s="14" t="n">
        <v>46288.771875</v>
      </c>
    </row>
    <row r="445" customFormat="false" ht="15" hidden="false" customHeight="false" outlineLevel="0" collapsed="false">
      <c r="A445" s="5" t="s">
        <v>1461</v>
      </c>
      <c r="B445" s="5" t="s">
        <v>1462</v>
      </c>
      <c r="C445" s="5" t="s">
        <v>55</v>
      </c>
      <c r="D445" s="5" t="s">
        <v>56</v>
      </c>
      <c r="E445" s="5" t="s">
        <v>65</v>
      </c>
      <c r="F445" s="5" t="s">
        <v>66</v>
      </c>
      <c r="G445" s="5" t="s">
        <v>59</v>
      </c>
      <c r="H445" s="5" t="s">
        <v>60</v>
      </c>
      <c r="I445" s="6" t="n">
        <v>0.5</v>
      </c>
      <c r="J445" s="7" t="n">
        <f aca="false">IF(I445="","",1/I445)</f>
        <v>2</v>
      </c>
      <c r="K445" s="8" t="n">
        <v>26.36</v>
      </c>
      <c r="L445" s="9" t="n">
        <v>-1</v>
      </c>
      <c r="M445" s="10" t="n">
        <v>-0.0365</v>
      </c>
      <c r="N445" s="8" t="n">
        <v>26.34</v>
      </c>
      <c r="O445" s="8" t="n">
        <v>26.34</v>
      </c>
      <c r="P445" s="8" t="n">
        <v>26.36</v>
      </c>
      <c r="Q445" s="8" t="n">
        <v>26.36</v>
      </c>
      <c r="R445" s="11" t="n">
        <v>548</v>
      </c>
      <c r="S445" s="11" t="n">
        <f aca="false">K445*R445</f>
        <v>14445.28</v>
      </c>
      <c r="T445" s="8" t="n">
        <v>25.5</v>
      </c>
      <c r="U445" s="8" t="n">
        <v>90.61</v>
      </c>
      <c r="V445" s="12" t="n">
        <f aca="false">IF(U445-T445=0,"",(K445-T445)/(U445-T445))</f>
        <v>0.0132084165258793</v>
      </c>
      <c r="W445" s="13" t="n">
        <f aca="false">IF(U445=0,"",K445/U445-1)</f>
        <v>-0.709082882684031</v>
      </c>
      <c r="X445" s="11" t="n">
        <v>6774</v>
      </c>
      <c r="Y445" s="5" t="s">
        <v>65</v>
      </c>
      <c r="Z445" s="5" t="s">
        <v>67</v>
      </c>
      <c r="AA445" s="5" t="s">
        <v>66</v>
      </c>
      <c r="AB445" s="5"/>
      <c r="AC445" s="5" t="s">
        <v>1463</v>
      </c>
      <c r="AD445" s="14" t="n">
        <v>46288.771875</v>
      </c>
    </row>
    <row r="446" customFormat="false" ht="15" hidden="false" customHeight="false" outlineLevel="0" collapsed="false">
      <c r="A446" s="5" t="s">
        <v>1464</v>
      </c>
      <c r="B446" s="5" t="s">
        <v>1465</v>
      </c>
      <c r="C446" s="5" t="s">
        <v>55</v>
      </c>
      <c r="D446" s="5" t="s">
        <v>56</v>
      </c>
      <c r="E446" s="5" t="s">
        <v>115</v>
      </c>
      <c r="F446" s="5" t="s">
        <v>116</v>
      </c>
      <c r="G446" s="5" t="s">
        <v>59</v>
      </c>
      <c r="H446" s="5" t="s">
        <v>60</v>
      </c>
      <c r="I446" s="6" t="n">
        <v>0.0625</v>
      </c>
      <c r="J446" s="7" t="n">
        <f aca="false">IF(I446="","",1/I446)</f>
        <v>16</v>
      </c>
      <c r="K446" s="8" t="n">
        <v>11.25</v>
      </c>
      <c r="L446" s="9" t="n">
        <v>0.09</v>
      </c>
      <c r="M446" s="10" t="n">
        <v>0.0081</v>
      </c>
      <c r="N446" s="8" t="n">
        <v>11.07</v>
      </c>
      <c r="O446" s="8" t="n">
        <v>11.07</v>
      </c>
      <c r="P446" s="8" t="n">
        <v>11.32</v>
      </c>
      <c r="Q446" s="8" t="n">
        <v>11.25</v>
      </c>
      <c r="R446" s="11" t="n">
        <v>146</v>
      </c>
      <c r="S446" s="11" t="n">
        <f aca="false">K446*R446</f>
        <v>1642.5</v>
      </c>
      <c r="T446" s="8" t="n">
        <v>11.01</v>
      </c>
      <c r="U446" s="8" t="n">
        <v>25.2</v>
      </c>
      <c r="V446" s="12" t="n">
        <f aca="false">IF(U446-T446=0,"",(K446-T446)/(U446-T446))</f>
        <v>0.0169133192389007</v>
      </c>
      <c r="W446" s="13" t="n">
        <f aca="false">IF(U446=0,"",K446/U446-1)</f>
        <v>-0.553571428571429</v>
      </c>
      <c r="X446" s="11" t="n">
        <v>92268</v>
      </c>
      <c r="Y446" s="5" t="s">
        <v>115</v>
      </c>
      <c r="Z446" s="5" t="s">
        <v>117</v>
      </c>
      <c r="AA446" s="5" t="s">
        <v>116</v>
      </c>
      <c r="AB446" s="5"/>
      <c r="AC446" s="5" t="s">
        <v>1466</v>
      </c>
      <c r="AD446" s="14" t="n">
        <v>46288.771875</v>
      </c>
    </row>
    <row r="447" customFormat="false" ht="15" hidden="false" customHeight="false" outlineLevel="0" collapsed="false">
      <c r="A447" s="5" t="s">
        <v>1467</v>
      </c>
      <c r="B447" s="5" t="s">
        <v>1468</v>
      </c>
      <c r="C447" s="5" t="s">
        <v>55</v>
      </c>
      <c r="D447" s="5" t="s">
        <v>56</v>
      </c>
      <c r="E447" s="5" t="s">
        <v>71</v>
      </c>
      <c r="F447" s="5" t="s">
        <v>72</v>
      </c>
      <c r="G447" s="5" t="s">
        <v>59</v>
      </c>
      <c r="H447" s="5" t="s">
        <v>60</v>
      </c>
      <c r="I447" s="6" t="n">
        <v>1</v>
      </c>
      <c r="J447" s="7" t="n">
        <f aca="false">IF(I447="","",1/I447)</f>
        <v>1</v>
      </c>
      <c r="K447" s="8" t="n">
        <v>170.51</v>
      </c>
      <c r="L447" s="9" t="n">
        <v>0.51</v>
      </c>
      <c r="M447" s="10" t="n">
        <v>0.003</v>
      </c>
      <c r="N447" s="8" t="n">
        <v>170.51</v>
      </c>
      <c r="O447" s="8" t="n">
        <v>170.51</v>
      </c>
      <c r="P447" s="8" t="n">
        <v>170.51</v>
      </c>
      <c r="Q447" s="8" t="n">
        <v>170.51</v>
      </c>
      <c r="R447" s="11" t="n">
        <v>1</v>
      </c>
      <c r="S447" s="11" t="n">
        <f aca="false">K447*R447</f>
        <v>170.51</v>
      </c>
      <c r="T447" s="8" t="n">
        <v>117.12</v>
      </c>
      <c r="U447" s="8" t="n">
        <v>178.25</v>
      </c>
      <c r="V447" s="12" t="n">
        <f aca="false">IF(U447-T447=0,"",(K447-T447)/(U447-T447))</f>
        <v>0.873384590217569</v>
      </c>
      <c r="W447" s="13" t="n">
        <f aca="false">IF(U447=0,"",K447/U447-1)</f>
        <v>-0.0434221598877981</v>
      </c>
      <c r="X447" s="11" t="n">
        <v>86144</v>
      </c>
      <c r="Y447" s="5" t="s">
        <v>71</v>
      </c>
      <c r="Z447" s="5" t="s">
        <v>73</v>
      </c>
      <c r="AA447" s="5" t="s">
        <v>72</v>
      </c>
      <c r="AB447" s="5"/>
      <c r="AC447" s="5" t="s">
        <v>1469</v>
      </c>
      <c r="AD447" s="14" t="n">
        <v>46288.771875</v>
      </c>
    </row>
    <row r="448" customFormat="false" ht="15" hidden="false" customHeight="false" outlineLevel="0" collapsed="false">
      <c r="A448" s="5" t="s">
        <v>1470</v>
      </c>
      <c r="B448" s="5" t="s">
        <v>1471</v>
      </c>
      <c r="C448" s="5" t="s">
        <v>55</v>
      </c>
      <c r="D448" s="5" t="s">
        <v>56</v>
      </c>
      <c r="E448" s="5" t="s">
        <v>115</v>
      </c>
      <c r="F448" s="5" t="s">
        <v>116</v>
      </c>
      <c r="G448" s="5" t="s">
        <v>59</v>
      </c>
      <c r="H448" s="5" t="s">
        <v>60</v>
      </c>
      <c r="I448" s="6" t="n">
        <v>0.1</v>
      </c>
      <c r="J448" s="7" t="n">
        <f aca="false">IF(I448="","",1/I448)</f>
        <v>10</v>
      </c>
      <c r="K448" s="8" t="n">
        <v>15.59</v>
      </c>
      <c r="L448" s="9" t="n">
        <v>2.3</v>
      </c>
      <c r="M448" s="10" t="n">
        <v>0.1731</v>
      </c>
      <c r="N448" s="8" t="n">
        <v>14.58</v>
      </c>
      <c r="O448" s="8" t="n">
        <v>14.58</v>
      </c>
      <c r="P448" s="8" t="n">
        <v>16</v>
      </c>
      <c r="Q448" s="8" t="n">
        <v>15.59</v>
      </c>
      <c r="R448" s="11" t="n">
        <v>4200</v>
      </c>
      <c r="S448" s="11" t="n">
        <f aca="false">K448*R448</f>
        <v>65478</v>
      </c>
      <c r="T448" s="8" t="n">
        <v>4.17</v>
      </c>
      <c r="U448" s="8" t="n">
        <v>18.19</v>
      </c>
      <c r="V448" s="12" t="n">
        <f aca="false">IF(U448-T448=0,"",(K448-T448)/(U448-T448))</f>
        <v>0.814550641940086</v>
      </c>
      <c r="W448" s="13" t="n">
        <f aca="false">IF(U448=0,"",K448/U448-1)</f>
        <v>-0.142935678944475</v>
      </c>
      <c r="X448" s="11" t="n">
        <v>21262</v>
      </c>
      <c r="Y448" s="5" t="s">
        <v>115</v>
      </c>
      <c r="Z448" s="5" t="s">
        <v>117</v>
      </c>
      <c r="AA448" s="5" t="s">
        <v>116</v>
      </c>
      <c r="AB448" s="5"/>
      <c r="AC448" s="5" t="s">
        <v>1472</v>
      </c>
      <c r="AD448" s="14" t="n">
        <v>46288.771875</v>
      </c>
    </row>
    <row r="449" customFormat="false" ht="15" hidden="false" customHeight="false" outlineLevel="0" collapsed="false">
      <c r="A449" s="5" t="s">
        <v>1473</v>
      </c>
      <c r="B449" s="5" t="s">
        <v>1474</v>
      </c>
      <c r="C449" s="5" t="s">
        <v>55</v>
      </c>
      <c r="D449" s="5" t="s">
        <v>56</v>
      </c>
      <c r="E449" s="5" t="s">
        <v>115</v>
      </c>
      <c r="F449" s="5" t="s">
        <v>116</v>
      </c>
      <c r="G449" s="5" t="s">
        <v>59</v>
      </c>
      <c r="H449" s="5" t="s">
        <v>60</v>
      </c>
      <c r="I449" s="6" t="n">
        <v>0.083333</v>
      </c>
      <c r="J449" s="7" t="n">
        <f aca="false">IF(I449="","",1/I449)</f>
        <v>12.000048000192</v>
      </c>
      <c r="K449" s="8" t="n">
        <v>76.5</v>
      </c>
      <c r="L449" s="9" t="n">
        <v>3.39</v>
      </c>
      <c r="M449" s="10" t="n">
        <v>0.0464</v>
      </c>
      <c r="N449" s="8" t="n">
        <v>75.45</v>
      </c>
      <c r="O449" s="8" t="n">
        <v>74.79</v>
      </c>
      <c r="P449" s="8" t="n">
        <v>77.2</v>
      </c>
      <c r="Q449" s="8" t="n">
        <v>77.17</v>
      </c>
      <c r="R449" s="11" t="n">
        <v>37242</v>
      </c>
      <c r="S449" s="11" t="n">
        <f aca="false">K449*R449</f>
        <v>2849013</v>
      </c>
      <c r="T449" s="8" t="n">
        <v>32.00000064</v>
      </c>
      <c r="U449" s="8" t="n">
        <v>77.2</v>
      </c>
      <c r="V449" s="12" t="n">
        <f aca="false">IF(U449-T449=0,"",(K449-T449)/(U449-T449))</f>
        <v>0.984513274117002</v>
      </c>
      <c r="W449" s="13" t="n">
        <f aca="false">IF(U449=0,"",K449/U449-1)</f>
        <v>-0.0090673575129534</v>
      </c>
      <c r="X449" s="11" t="n">
        <v>654334</v>
      </c>
      <c r="Y449" s="5" t="s">
        <v>115</v>
      </c>
      <c r="Z449" s="5" t="s">
        <v>117</v>
      </c>
      <c r="AA449" s="5" t="s">
        <v>116</v>
      </c>
      <c r="AB449" s="5"/>
      <c r="AC449" s="5" t="s">
        <v>1475</v>
      </c>
      <c r="AD449" s="14" t="n">
        <v>46288.771875</v>
      </c>
    </row>
    <row r="450" customFormat="false" ht="15" hidden="false" customHeight="false" outlineLevel="0" collapsed="false">
      <c r="A450" s="5" t="s">
        <v>1476</v>
      </c>
      <c r="B450" s="5" t="s">
        <v>1477</v>
      </c>
      <c r="C450" s="5" t="s">
        <v>55</v>
      </c>
      <c r="D450" s="5" t="s">
        <v>56</v>
      </c>
      <c r="E450" s="5" t="s">
        <v>1388</v>
      </c>
      <c r="F450" s="5" t="s">
        <v>1389</v>
      </c>
      <c r="G450" s="5" t="s">
        <v>59</v>
      </c>
      <c r="H450" s="5" t="s">
        <v>60</v>
      </c>
      <c r="I450" s="6" t="n">
        <v>0.022222</v>
      </c>
      <c r="J450" s="7" t="n">
        <f aca="false">IF(I450="","",1/I450)</f>
        <v>45.0004500045</v>
      </c>
      <c r="K450" s="8" t="n">
        <v>101.39</v>
      </c>
      <c r="L450" s="9" t="n">
        <v>-3.8</v>
      </c>
      <c r="M450" s="10" t="n">
        <v>-0.0361</v>
      </c>
      <c r="N450" s="8" t="n">
        <v>101.5</v>
      </c>
      <c r="O450" s="8" t="n">
        <v>101.39</v>
      </c>
      <c r="P450" s="8" t="n">
        <v>101.5</v>
      </c>
      <c r="Q450" s="8" t="n">
        <v>101.39</v>
      </c>
      <c r="R450" s="11" t="n">
        <v>215</v>
      </c>
      <c r="S450" s="11" t="n">
        <f aca="false">K450*R450</f>
        <v>21798.85</v>
      </c>
      <c r="T450" s="8" t="n">
        <v>96.52</v>
      </c>
      <c r="U450" s="8" t="n">
        <v>227.8</v>
      </c>
      <c r="V450" s="12" t="n">
        <f aca="false">IF(U450-T450=0,"",(K450-T450)/(U450-T450))</f>
        <v>0.0370962827544181</v>
      </c>
      <c r="W450" s="13" t="n">
        <f aca="false">IF(U450=0,"",K450/U450-1)</f>
        <v>-0.554916593503073</v>
      </c>
      <c r="X450" s="11" t="n">
        <v>101078</v>
      </c>
      <c r="Y450" s="5" t="s">
        <v>1388</v>
      </c>
      <c r="Z450" s="5" t="s">
        <v>1390</v>
      </c>
      <c r="AA450" s="5" t="s">
        <v>1389</v>
      </c>
      <c r="AB450" s="5"/>
      <c r="AC450" s="5" t="s">
        <v>1478</v>
      </c>
      <c r="AD450" s="14" t="n">
        <v>46288.771875</v>
      </c>
    </row>
    <row r="451" customFormat="false" ht="15" hidden="false" customHeight="false" outlineLevel="0" collapsed="false">
      <c r="A451" s="5" t="s">
        <v>1479</v>
      </c>
      <c r="B451" s="5" t="s">
        <v>1480</v>
      </c>
      <c r="C451" s="5" t="s">
        <v>55</v>
      </c>
      <c r="D451" s="5" t="s">
        <v>56</v>
      </c>
      <c r="E451" s="5" t="s">
        <v>115</v>
      </c>
      <c r="F451" s="5" t="s">
        <v>116</v>
      </c>
      <c r="G451" s="5" t="s">
        <v>59</v>
      </c>
      <c r="H451" s="5" t="s">
        <v>60</v>
      </c>
      <c r="I451" s="6" t="n">
        <v>0.066666</v>
      </c>
      <c r="J451" s="7" t="n">
        <f aca="false">IF(I451="","",1/I451)</f>
        <v>15.0001500015</v>
      </c>
      <c r="K451" s="8" t="n">
        <v>11.79</v>
      </c>
      <c r="L451" s="9" t="n">
        <v>0.57</v>
      </c>
      <c r="M451" s="10" t="n">
        <v>0.0508</v>
      </c>
      <c r="N451" s="8" t="n">
        <v>11.7</v>
      </c>
      <c r="O451" s="8" t="n">
        <v>11.7</v>
      </c>
      <c r="P451" s="8" t="n">
        <v>11.79</v>
      </c>
      <c r="Q451" s="8" t="n">
        <v>11.79</v>
      </c>
      <c r="R451" s="11" t="n">
        <v>2745</v>
      </c>
      <c r="S451" s="11" t="n">
        <f aca="false">K451*R451</f>
        <v>32363.55</v>
      </c>
      <c r="T451" s="8" t="n">
        <v>4.5</v>
      </c>
      <c r="U451" s="8" t="n">
        <v>11.79</v>
      </c>
      <c r="V451" s="12" t="n">
        <f aca="false">IF(U451-T451=0,"",(K451-T451)/(U451-T451))</f>
        <v>1</v>
      </c>
      <c r="W451" s="13" t="n">
        <f aca="false">IF(U451=0,"",K451/U451-1)</f>
        <v>0</v>
      </c>
      <c r="X451" s="11" t="n">
        <v>14780</v>
      </c>
      <c r="Y451" s="5" t="s">
        <v>115</v>
      </c>
      <c r="Z451" s="5" t="s">
        <v>117</v>
      </c>
      <c r="AA451" s="5" t="s">
        <v>116</v>
      </c>
      <c r="AB451" s="5"/>
      <c r="AC451" s="5" t="s">
        <v>1481</v>
      </c>
      <c r="AD451" s="14" t="n">
        <v>46288.771875</v>
      </c>
    </row>
    <row r="452" customFormat="false" ht="15" hidden="false" customHeight="false" outlineLevel="0" collapsed="false">
      <c r="A452" s="5" t="s">
        <v>1482</v>
      </c>
      <c r="B452" s="5" t="s">
        <v>1483</v>
      </c>
      <c r="C452" s="5" t="s">
        <v>55</v>
      </c>
      <c r="D452" s="5" t="s">
        <v>56</v>
      </c>
      <c r="E452" s="5" t="s">
        <v>312</v>
      </c>
      <c r="F452" s="5" t="s">
        <v>313</v>
      </c>
      <c r="G452" s="5" t="s">
        <v>59</v>
      </c>
      <c r="H452" s="5" t="s">
        <v>60</v>
      </c>
      <c r="I452" s="6" t="n">
        <v>0.0055556</v>
      </c>
      <c r="J452" s="7" t="n">
        <f aca="false">IF(I452="","",1/I452)</f>
        <v>179.99856001152</v>
      </c>
      <c r="K452" s="8" t="n">
        <v>7.44</v>
      </c>
      <c r="L452" s="9" t="n">
        <v>-0.22</v>
      </c>
      <c r="M452" s="10" t="n">
        <v>-0.0287</v>
      </c>
      <c r="N452" s="8" t="n">
        <v>7.42</v>
      </c>
      <c r="O452" s="8" t="n">
        <v>7.42</v>
      </c>
      <c r="P452" s="8" t="n">
        <v>7.45</v>
      </c>
      <c r="Q452" s="8" t="n">
        <v>7.44</v>
      </c>
      <c r="R452" s="11" t="n">
        <v>1003</v>
      </c>
      <c r="S452" s="11" t="n">
        <f aca="false">K452*R452</f>
        <v>7462.32</v>
      </c>
      <c r="T452" s="8" t="n">
        <v>5.38</v>
      </c>
      <c r="U452" s="8" t="n">
        <v>8.6</v>
      </c>
      <c r="V452" s="12" t="n">
        <f aca="false">IF(U452-T452=0,"",(K452-T452)/(U452-T452))</f>
        <v>0.639751552795031</v>
      </c>
      <c r="W452" s="13" t="n">
        <f aca="false">IF(U452=0,"",K452/U452-1)</f>
        <v>-0.134883720930233</v>
      </c>
      <c r="X452" s="11" t="n">
        <v>263871</v>
      </c>
      <c r="Y452" s="5" t="s">
        <v>312</v>
      </c>
      <c r="Z452" s="5" t="s">
        <v>314</v>
      </c>
      <c r="AA452" s="5" t="s">
        <v>313</v>
      </c>
      <c r="AB452" s="5"/>
      <c r="AC452" s="5" t="s">
        <v>1484</v>
      </c>
      <c r="AD452" s="14" t="n">
        <v>46288.771875</v>
      </c>
    </row>
    <row r="453" customFormat="false" ht="15" hidden="false" customHeight="false" outlineLevel="0" collapsed="false">
      <c r="A453" s="5" t="s">
        <v>1485</v>
      </c>
      <c r="B453" s="5" t="s">
        <v>1486</v>
      </c>
      <c r="C453" s="5" t="s">
        <v>55</v>
      </c>
      <c r="D453" s="5" t="s">
        <v>56</v>
      </c>
      <c r="E453" s="5" t="s">
        <v>115</v>
      </c>
      <c r="F453" s="5" t="s">
        <v>116</v>
      </c>
      <c r="G453" s="5" t="s">
        <v>59</v>
      </c>
      <c r="H453" s="5" t="s">
        <v>60</v>
      </c>
      <c r="I453" s="6" t="n">
        <v>0.3333</v>
      </c>
      <c r="J453" s="7" t="n">
        <f aca="false">IF(I453="","",1/I453)</f>
        <v>3.000300030003</v>
      </c>
      <c r="K453" s="8" t="n">
        <v>22.04</v>
      </c>
      <c r="L453" s="9" t="n">
        <v>0.4</v>
      </c>
      <c r="M453" s="10" t="n">
        <v>0.0185</v>
      </c>
      <c r="N453" s="8" t="n">
        <v>21.66</v>
      </c>
      <c r="O453" s="8" t="n">
        <v>21.66</v>
      </c>
      <c r="P453" s="8" t="n">
        <v>22.04</v>
      </c>
      <c r="Q453" s="8" t="n">
        <v>22.04</v>
      </c>
      <c r="R453" s="11" t="n">
        <v>400</v>
      </c>
      <c r="S453" s="11" t="n">
        <f aca="false">K453*R453</f>
        <v>8816</v>
      </c>
      <c r="T453" s="8" t="n">
        <v>11.92</v>
      </c>
      <c r="U453" s="8" t="n">
        <v>23.98</v>
      </c>
      <c r="V453" s="12" t="n">
        <f aca="false">IF(U453-T453=0,"",(K453-T453)/(U453-T453))</f>
        <v>0.839137645107794</v>
      </c>
      <c r="W453" s="13" t="n">
        <f aca="false">IF(U453=0,"",K453/U453-1)</f>
        <v>-0.0809007506255213</v>
      </c>
      <c r="X453" s="11" t="n">
        <v>16585</v>
      </c>
      <c r="Y453" s="5" t="s">
        <v>115</v>
      </c>
      <c r="Z453" s="5" t="s">
        <v>117</v>
      </c>
      <c r="AA453" s="5" t="s">
        <v>116</v>
      </c>
      <c r="AB453" s="5"/>
      <c r="AC453" s="5" t="s">
        <v>1487</v>
      </c>
      <c r="AD453" s="14" t="n">
        <v>46288.771875</v>
      </c>
    </row>
    <row r="454" customFormat="false" ht="15" hidden="false" customHeight="false" outlineLevel="0" collapsed="false">
      <c r="A454" s="5" t="s">
        <v>1488</v>
      </c>
      <c r="B454" s="5" t="s">
        <v>1489</v>
      </c>
      <c r="C454" s="5" t="s">
        <v>55</v>
      </c>
      <c r="D454" s="5" t="s">
        <v>56</v>
      </c>
      <c r="E454" s="5" t="s">
        <v>115</v>
      </c>
      <c r="F454" s="5" t="s">
        <v>116</v>
      </c>
      <c r="G454" s="5" t="s">
        <v>59</v>
      </c>
      <c r="H454" s="5" t="s">
        <v>60</v>
      </c>
      <c r="I454" s="6" t="n">
        <v>0.05</v>
      </c>
      <c r="J454" s="7" t="n">
        <f aca="false">IF(I454="","",1/I454)</f>
        <v>20</v>
      </c>
      <c r="K454" s="8" t="n">
        <v>2.2</v>
      </c>
      <c r="L454" s="9" t="n">
        <v>-0.01</v>
      </c>
      <c r="M454" s="10" t="n">
        <v>-0.0045</v>
      </c>
      <c r="N454" s="8" t="n">
        <v>2.2</v>
      </c>
      <c r="O454" s="8" t="n">
        <v>2.2</v>
      </c>
      <c r="P454" s="8" t="n">
        <v>2.2</v>
      </c>
      <c r="Q454" s="8" t="n">
        <v>2.2</v>
      </c>
      <c r="R454" s="11" t="n">
        <v>5</v>
      </c>
      <c r="S454" s="11" t="n">
        <f aca="false">K454*R454</f>
        <v>11</v>
      </c>
      <c r="T454" s="8" t="n">
        <v>2.17</v>
      </c>
      <c r="U454" s="8" t="n">
        <v>7.5</v>
      </c>
      <c r="V454" s="12" t="n">
        <f aca="false">IF(U454-T454=0,"",(K454-T454)/(U454-T454))</f>
        <v>0.00562851782363982</v>
      </c>
      <c r="W454" s="13" t="n">
        <f aca="false">IF(U454=0,"",K454/U454-1)</f>
        <v>-0.706666666666667</v>
      </c>
      <c r="X454" s="11" t="n">
        <v>1595</v>
      </c>
      <c r="Y454" s="5" t="s">
        <v>115</v>
      </c>
      <c r="Z454" s="5" t="s">
        <v>117</v>
      </c>
      <c r="AA454" s="5" t="s">
        <v>116</v>
      </c>
      <c r="AB454" s="5"/>
      <c r="AC454" s="5" t="s">
        <v>1490</v>
      </c>
      <c r="AD454" s="14" t="n">
        <v>46288.771875</v>
      </c>
    </row>
    <row r="455" customFormat="false" ht="15" hidden="false" customHeight="false" outlineLevel="0" collapsed="false">
      <c r="A455" s="5" t="s">
        <v>1491</v>
      </c>
      <c r="B455" s="5" t="s">
        <v>1492</v>
      </c>
      <c r="C455" s="5" t="s">
        <v>55</v>
      </c>
      <c r="D455" s="5" t="s">
        <v>56</v>
      </c>
      <c r="E455" s="5" t="s">
        <v>312</v>
      </c>
      <c r="F455" s="5" t="s">
        <v>313</v>
      </c>
      <c r="G455" s="5" t="s">
        <v>59</v>
      </c>
      <c r="H455" s="5" t="s">
        <v>60</v>
      </c>
      <c r="I455" s="6" t="n">
        <v>0.3333333</v>
      </c>
      <c r="J455" s="7" t="n">
        <f aca="false">IF(I455="","",1/I455)</f>
        <v>3.00000030000003</v>
      </c>
      <c r="K455" s="8" t="n">
        <v>125.42</v>
      </c>
      <c r="L455" s="9" t="n">
        <v>-2.57</v>
      </c>
      <c r="M455" s="10" t="n">
        <v>-0.0201</v>
      </c>
      <c r="N455" s="8" t="n">
        <v>123.7</v>
      </c>
      <c r="O455" s="8" t="n">
        <v>122.31</v>
      </c>
      <c r="P455" s="8" t="n">
        <v>125.42</v>
      </c>
      <c r="Q455" s="8" t="n">
        <v>125.42</v>
      </c>
      <c r="R455" s="11" t="n">
        <v>4097</v>
      </c>
      <c r="S455" s="11" t="n">
        <f aca="false">K455*R455</f>
        <v>513845.74</v>
      </c>
      <c r="T455" s="8" t="n">
        <v>62.89</v>
      </c>
      <c r="U455" s="8" t="n">
        <v>137.68</v>
      </c>
      <c r="V455" s="12" t="n">
        <f aca="false">IF(U455-T455=0,"",(K455-T455)/(U455-T455))</f>
        <v>0.836074341489504</v>
      </c>
      <c r="W455" s="13" t="n">
        <f aca="false">IF(U455=0,"",K455/U455-1)</f>
        <v>-0.0890470656595003</v>
      </c>
      <c r="X455" s="11" t="n">
        <v>546407</v>
      </c>
      <c r="Y455" s="5" t="s">
        <v>312</v>
      </c>
      <c r="Z455" s="5" t="s">
        <v>314</v>
      </c>
      <c r="AA455" s="5" t="s">
        <v>313</v>
      </c>
      <c r="AB455" s="5"/>
      <c r="AC455" s="5" t="s">
        <v>1493</v>
      </c>
      <c r="AD455" s="14" t="n">
        <v>46288.771875</v>
      </c>
    </row>
    <row r="456" customFormat="false" ht="15" hidden="false" customHeight="false" outlineLevel="0" collapsed="false">
      <c r="A456" s="5" t="s">
        <v>1494</v>
      </c>
      <c r="B456" s="5" t="s">
        <v>1495</v>
      </c>
      <c r="C456" s="5" t="s">
        <v>55</v>
      </c>
      <c r="D456" s="5" t="s">
        <v>56</v>
      </c>
      <c r="E456" s="5" t="s">
        <v>105</v>
      </c>
      <c r="F456" s="5" t="s">
        <v>106</v>
      </c>
      <c r="G456" s="5" t="s">
        <v>59</v>
      </c>
      <c r="H456" s="5" t="s">
        <v>60</v>
      </c>
      <c r="I456" s="6" t="n">
        <v>1</v>
      </c>
      <c r="J456" s="7" t="n">
        <f aca="false">IF(I456="","",1/I456)</f>
        <v>1</v>
      </c>
      <c r="K456" s="8" t="n">
        <v>67</v>
      </c>
      <c r="L456" s="9" t="n">
        <v>-0.12</v>
      </c>
      <c r="M456" s="10" t="n">
        <v>-0.0018</v>
      </c>
      <c r="N456" s="8" t="n">
        <v>67.74</v>
      </c>
      <c r="O456" s="8" t="n">
        <v>66.43</v>
      </c>
      <c r="P456" s="8" t="n">
        <v>67.74</v>
      </c>
      <c r="Q456" s="8" t="n">
        <v>67</v>
      </c>
      <c r="R456" s="11" t="n">
        <v>98</v>
      </c>
      <c r="S456" s="11" t="n">
        <f aca="false">K456*R456</f>
        <v>6566</v>
      </c>
      <c r="T456" s="8" t="n">
        <v>56.82</v>
      </c>
      <c r="U456" s="8" t="n">
        <v>89.83</v>
      </c>
      <c r="V456" s="12" t="n">
        <f aca="false">IF(U456-T456=0,"",(K456-T456)/(U456-T456))</f>
        <v>0.308391396546501</v>
      </c>
      <c r="W456" s="13" t="n">
        <f aca="false">IF(U456=0,"",K456/U456-1)</f>
        <v>-0.254146721585216</v>
      </c>
      <c r="X456" s="11" t="n">
        <v>267336</v>
      </c>
      <c r="Y456" s="5" t="s">
        <v>105</v>
      </c>
      <c r="Z456" s="5" t="s">
        <v>107</v>
      </c>
      <c r="AA456" s="5" t="s">
        <v>106</v>
      </c>
      <c r="AB456" s="5"/>
      <c r="AC456" s="5" t="s">
        <v>1496</v>
      </c>
      <c r="AD456" s="14" t="n">
        <v>46288.771875</v>
      </c>
    </row>
    <row r="457" customFormat="false" ht="15" hidden="false" customHeight="false" outlineLevel="0" collapsed="false">
      <c r="A457" s="5" t="s">
        <v>1497</v>
      </c>
      <c r="B457" s="5" t="s">
        <v>1498</v>
      </c>
      <c r="C457" s="5" t="s">
        <v>55</v>
      </c>
      <c r="D457" s="5" t="s">
        <v>56</v>
      </c>
      <c r="E457" s="5" t="s">
        <v>127</v>
      </c>
      <c r="F457" s="5" t="s">
        <v>128</v>
      </c>
      <c r="G457" s="5" t="s">
        <v>59</v>
      </c>
      <c r="H457" s="5" t="s">
        <v>60</v>
      </c>
      <c r="I457" s="6" t="n">
        <v>1</v>
      </c>
      <c r="J457" s="7" t="n">
        <f aca="false">IF(I457="","",1/I457)</f>
        <v>1</v>
      </c>
      <c r="K457" s="8" t="n">
        <v>1513.02</v>
      </c>
      <c r="L457" s="9" t="n">
        <v>-140.34</v>
      </c>
      <c r="M457" s="10" t="n">
        <v>-0.0849</v>
      </c>
      <c r="N457" s="8" t="n">
        <v>1629.99</v>
      </c>
      <c r="O457" s="8" t="n">
        <v>1513.02</v>
      </c>
      <c r="P457" s="8" t="n">
        <v>1629.99</v>
      </c>
      <c r="Q457" s="8" t="n">
        <v>1513.02</v>
      </c>
      <c r="R457" s="11" t="n">
        <v>5</v>
      </c>
      <c r="S457" s="11" t="n">
        <f aca="false">K457*R457</f>
        <v>7565.1</v>
      </c>
      <c r="T457" s="8" t="n">
        <v>1247.44</v>
      </c>
      <c r="U457" s="8" t="n">
        <v>2084.64</v>
      </c>
      <c r="V457" s="12" t="n">
        <f aca="false">IF(U457-T457=0,"",(K457-T457)/(U457-T457))</f>
        <v>0.317224080267559</v>
      </c>
      <c r="W457" s="13" t="n">
        <f aca="false">IF(U457=0,"",K457/U457-1)</f>
        <v>-0.274205618236242</v>
      </c>
      <c r="X457" s="11" t="n">
        <v>358446</v>
      </c>
      <c r="Y457" s="5" t="s">
        <v>127</v>
      </c>
      <c r="Z457" s="5" t="s">
        <v>129</v>
      </c>
      <c r="AA457" s="5" t="s">
        <v>128</v>
      </c>
      <c r="AB457" s="5"/>
      <c r="AC457" s="5" t="s">
        <v>1499</v>
      </c>
      <c r="AD457" s="14" t="n">
        <v>46288.771875</v>
      </c>
    </row>
    <row r="458" customFormat="false" ht="15" hidden="false" customHeight="false" outlineLevel="0" collapsed="false">
      <c r="A458" s="5" t="s">
        <v>1500</v>
      </c>
      <c r="B458" s="5" t="s">
        <v>1501</v>
      </c>
      <c r="C458" s="5" t="s">
        <v>55</v>
      </c>
      <c r="D458" s="5" t="s">
        <v>56</v>
      </c>
      <c r="E458" s="5" t="s">
        <v>242</v>
      </c>
      <c r="F458" s="5" t="s">
        <v>243</v>
      </c>
      <c r="G458" s="5" t="s">
        <v>59</v>
      </c>
      <c r="H458" s="5" t="s">
        <v>86</v>
      </c>
      <c r="I458" s="6" t="n">
        <v>1</v>
      </c>
      <c r="J458" s="7" t="n">
        <f aca="false">IF(I458="","",1/I458)</f>
        <v>1</v>
      </c>
      <c r="K458" s="8" t="n">
        <v>114</v>
      </c>
      <c r="L458" s="9" t="n">
        <v>-8.6</v>
      </c>
      <c r="M458" s="10" t="n">
        <v>-0.0701</v>
      </c>
      <c r="N458" s="8" t="n">
        <v>114</v>
      </c>
      <c r="O458" s="8" t="n">
        <v>114</v>
      </c>
      <c r="P458" s="8" t="n">
        <v>114</v>
      </c>
      <c r="Q458" s="8" t="n">
        <v>114</v>
      </c>
      <c r="R458" s="11" t="n">
        <v>330</v>
      </c>
      <c r="S458" s="11" t="n">
        <f aca="false">K458*R458</f>
        <v>37620</v>
      </c>
      <c r="T458" s="8" t="n">
        <v>105.05</v>
      </c>
      <c r="U458" s="8" t="n">
        <v>128.96</v>
      </c>
      <c r="V458" s="12" t="n">
        <f aca="false">IF(U458-T458=0,"",(K458-T458)/(U458-T458))</f>
        <v>0.374320368046842</v>
      </c>
      <c r="W458" s="13" t="n">
        <f aca="false">IF(U458=0,"",K458/U458-1)</f>
        <v>-0.116004962779156</v>
      </c>
      <c r="X458" s="11" t="n">
        <v>61179</v>
      </c>
      <c r="Y458" s="5" t="s">
        <v>242</v>
      </c>
      <c r="Z458" s="5" t="s">
        <v>244</v>
      </c>
      <c r="AA458" s="5" t="s">
        <v>243</v>
      </c>
      <c r="AB458" s="5"/>
      <c r="AC458" s="5" t="s">
        <v>1502</v>
      </c>
      <c r="AD458" s="14" t="n">
        <v>46288.771875</v>
      </c>
    </row>
    <row r="459" customFormat="false" ht="15" hidden="false" customHeight="false" outlineLevel="0" collapsed="false">
      <c r="A459" s="5" t="s">
        <v>1503</v>
      </c>
      <c r="B459" s="5" t="s">
        <v>1504</v>
      </c>
      <c r="C459" s="5" t="s">
        <v>55</v>
      </c>
      <c r="D459" s="5" t="s">
        <v>56</v>
      </c>
      <c r="E459" s="5" t="s">
        <v>77</v>
      </c>
      <c r="F459" s="5" t="s">
        <v>78</v>
      </c>
      <c r="G459" s="5" t="s">
        <v>59</v>
      </c>
      <c r="H459" s="5" t="s">
        <v>60</v>
      </c>
      <c r="I459" s="6" t="n">
        <v>0.05</v>
      </c>
      <c r="J459" s="7" t="n">
        <f aca="false">IF(I459="","",1/I459)</f>
        <v>20</v>
      </c>
      <c r="K459" s="8" t="n">
        <v>49.76</v>
      </c>
      <c r="L459" s="9" t="n">
        <v>-1.39</v>
      </c>
      <c r="M459" s="10" t="n">
        <v>-0.0272</v>
      </c>
      <c r="N459" s="8" t="n">
        <v>51.67</v>
      </c>
      <c r="O459" s="8" t="n">
        <v>49.76</v>
      </c>
      <c r="P459" s="8" t="n">
        <v>51.9</v>
      </c>
      <c r="Q459" s="8" t="n">
        <v>49.76</v>
      </c>
      <c r="R459" s="11" t="n">
        <v>98</v>
      </c>
      <c r="S459" s="11" t="n">
        <f aca="false">K459*R459</f>
        <v>4876.48</v>
      </c>
      <c r="T459" s="8" t="n">
        <v>46.905</v>
      </c>
      <c r="U459" s="8" t="n">
        <v>80.57</v>
      </c>
      <c r="V459" s="12" t="n">
        <f aca="false">IF(U459-T459=0,"",(K459-T459)/(U459-T459))</f>
        <v>0.0848061785236892</v>
      </c>
      <c r="W459" s="13" t="n">
        <f aca="false">IF(U459=0,"",K459/U459-1)</f>
        <v>-0.382400397170163</v>
      </c>
      <c r="X459" s="11" t="n">
        <v>110429</v>
      </c>
      <c r="Y459" s="5" t="s">
        <v>77</v>
      </c>
      <c r="Z459" s="5" t="s">
        <v>79</v>
      </c>
      <c r="AA459" s="5" t="s">
        <v>78</v>
      </c>
      <c r="AB459" s="5"/>
      <c r="AC459" s="5" t="s">
        <v>1505</v>
      </c>
      <c r="AD459" s="14" t="n">
        <v>46288.771875</v>
      </c>
    </row>
    <row r="460" customFormat="false" ht="15" hidden="false" customHeight="false" outlineLevel="0" collapsed="false">
      <c r="A460" s="5" t="s">
        <v>1506</v>
      </c>
      <c r="B460" s="5" t="s">
        <v>1507</v>
      </c>
      <c r="C460" s="5" t="s">
        <v>55</v>
      </c>
      <c r="D460" s="5" t="s">
        <v>56</v>
      </c>
      <c r="E460" s="5" t="s">
        <v>71</v>
      </c>
      <c r="F460" s="5" t="s">
        <v>72</v>
      </c>
      <c r="G460" s="5" t="s">
        <v>59</v>
      </c>
      <c r="H460" s="5" t="s">
        <v>60</v>
      </c>
      <c r="I460" s="6" t="n">
        <v>0.2</v>
      </c>
      <c r="J460" s="7" t="n">
        <f aca="false">IF(I460="","",1/I460)</f>
        <v>5</v>
      </c>
      <c r="K460" s="8" t="n">
        <v>40.72</v>
      </c>
      <c r="L460" s="9" t="n">
        <v>-0.4</v>
      </c>
      <c r="M460" s="10" t="n">
        <v>-0.0097</v>
      </c>
      <c r="N460" s="8" t="n">
        <v>40.68</v>
      </c>
      <c r="O460" s="8" t="n">
        <v>40.68</v>
      </c>
      <c r="P460" s="8" t="n">
        <v>40.72</v>
      </c>
      <c r="Q460" s="8" t="n">
        <v>40.72</v>
      </c>
      <c r="R460" s="11" t="n">
        <v>2000</v>
      </c>
      <c r="S460" s="11" t="n">
        <f aca="false">K460*R460</f>
        <v>81440</v>
      </c>
      <c r="T460" s="8" t="n">
        <v>40.68</v>
      </c>
      <c r="U460" s="8" t="n">
        <v>49.85</v>
      </c>
      <c r="V460" s="12" t="n">
        <f aca="false">IF(U460-T460=0,"",(K460-T460)/(U460-T460))</f>
        <v>0.00436205016357679</v>
      </c>
      <c r="W460" s="13" t="n">
        <f aca="false">IF(U460=0,"",K460/U460-1)</f>
        <v>-0.183149448345035</v>
      </c>
      <c r="X460" s="11" t="n">
        <v>59435</v>
      </c>
      <c r="Y460" s="5" t="s">
        <v>71</v>
      </c>
      <c r="Z460" s="5" t="s">
        <v>73</v>
      </c>
      <c r="AA460" s="5" t="s">
        <v>72</v>
      </c>
      <c r="AB460" s="5"/>
      <c r="AC460" s="5" t="s">
        <v>1508</v>
      </c>
      <c r="AD460" s="14" t="n">
        <v>46288.771875</v>
      </c>
    </row>
    <row r="461" customFormat="false" ht="15" hidden="false" customHeight="false" outlineLevel="0" collapsed="false">
      <c r="A461" s="5" t="s">
        <v>1509</v>
      </c>
      <c r="B461" s="5" t="s">
        <v>1510</v>
      </c>
      <c r="C461" s="5" t="s">
        <v>55</v>
      </c>
      <c r="D461" s="5" t="s">
        <v>56</v>
      </c>
      <c r="E461" s="5" t="s">
        <v>115</v>
      </c>
      <c r="F461" s="5" t="s">
        <v>116</v>
      </c>
      <c r="G461" s="5" t="s">
        <v>59</v>
      </c>
      <c r="H461" s="5" t="s">
        <v>60</v>
      </c>
      <c r="I461" s="6" t="n">
        <v>0.25</v>
      </c>
      <c r="J461" s="7" t="n">
        <f aca="false">IF(I461="","",1/I461)</f>
        <v>4</v>
      </c>
      <c r="K461" s="8" t="n">
        <v>240.1</v>
      </c>
      <c r="L461" s="9" t="n">
        <v>18.1</v>
      </c>
      <c r="M461" s="10" t="n">
        <v>0.0815</v>
      </c>
      <c r="N461" s="8" t="n">
        <v>240.1</v>
      </c>
      <c r="O461" s="8" t="n">
        <v>240.1</v>
      </c>
      <c r="P461" s="8" t="n">
        <v>240.1</v>
      </c>
      <c r="Q461" s="8" t="n">
        <v>240.1</v>
      </c>
      <c r="R461" s="11" t="n">
        <v>1</v>
      </c>
      <c r="S461" s="11" t="n">
        <f aca="false">K461*R461</f>
        <v>240.1</v>
      </c>
      <c r="T461" s="8" t="n">
        <v>161.4</v>
      </c>
      <c r="U461" s="8" t="n">
        <v>354.9</v>
      </c>
      <c r="V461" s="12" t="n">
        <f aca="false">IF(U461-T461=0,"",(K461-T461)/(U461-T461))</f>
        <v>0.40671834625323</v>
      </c>
      <c r="W461" s="13" t="n">
        <f aca="false">IF(U461=0,"",K461/U461-1)</f>
        <v>-0.323471400394477</v>
      </c>
      <c r="X461" s="11" t="n">
        <v>57768</v>
      </c>
      <c r="Y461" s="5" t="s">
        <v>115</v>
      </c>
      <c r="Z461" s="5" t="s">
        <v>117</v>
      </c>
      <c r="AA461" s="5" t="s">
        <v>116</v>
      </c>
      <c r="AB461" s="5"/>
      <c r="AC461" s="5" t="s">
        <v>1511</v>
      </c>
      <c r="AD461" s="14" t="n">
        <v>46288.771875</v>
      </c>
    </row>
    <row r="462" customFormat="false" ht="15" hidden="false" customHeight="false" outlineLevel="0" collapsed="false">
      <c r="A462" s="5" t="s">
        <v>1512</v>
      </c>
      <c r="B462" s="5" t="s">
        <v>1513</v>
      </c>
      <c r="C462" s="5" t="s">
        <v>55</v>
      </c>
      <c r="D462" s="5" t="s">
        <v>56</v>
      </c>
      <c r="E462" s="5" t="s">
        <v>115</v>
      </c>
      <c r="F462" s="5" t="s">
        <v>116</v>
      </c>
      <c r="G462" s="5" t="s">
        <v>59</v>
      </c>
      <c r="H462" s="5" t="s">
        <v>86</v>
      </c>
      <c r="I462" s="6" t="n">
        <v>0.1</v>
      </c>
      <c r="J462" s="7" t="n">
        <f aca="false">IF(I462="","",1/I462)</f>
        <v>10</v>
      </c>
      <c r="K462" s="8" t="n">
        <v>17.38</v>
      </c>
      <c r="L462" s="9" t="n">
        <v>-0.34</v>
      </c>
      <c r="M462" s="10" t="n">
        <v>-0.0192</v>
      </c>
      <c r="N462" s="8" t="n">
        <v>17.44</v>
      </c>
      <c r="O462" s="8" t="n">
        <v>17.34</v>
      </c>
      <c r="P462" s="8" t="n">
        <v>17.44</v>
      </c>
      <c r="Q462" s="8" t="n">
        <v>17.38</v>
      </c>
      <c r="R462" s="11" t="n">
        <v>87</v>
      </c>
      <c r="S462" s="11" t="n">
        <f aca="false">K462*R462</f>
        <v>1512.06</v>
      </c>
      <c r="T462" s="8" t="n">
        <v>14.66</v>
      </c>
      <c r="U462" s="8" t="n">
        <v>25.04</v>
      </c>
      <c r="V462" s="12" t="n">
        <f aca="false">IF(U462-T462=0,"",(K462-T462)/(U462-T462))</f>
        <v>0.262042389210019</v>
      </c>
      <c r="W462" s="13" t="n">
        <f aca="false">IF(U462=0,"",K462/U462-1)</f>
        <v>-0.30591054313099</v>
      </c>
      <c r="X462" s="11" t="n">
        <v>33749</v>
      </c>
      <c r="Y462" s="5" t="s">
        <v>115</v>
      </c>
      <c r="Z462" s="5" t="s">
        <v>117</v>
      </c>
      <c r="AA462" s="5" t="s">
        <v>116</v>
      </c>
      <c r="AB462" s="5"/>
      <c r="AC462" s="5" t="s">
        <v>1514</v>
      </c>
      <c r="AD462" s="14" t="n">
        <v>46288.771875</v>
      </c>
    </row>
    <row r="463" customFormat="false" ht="15" hidden="false" customHeight="false" outlineLevel="0" collapsed="false">
      <c r="A463" s="5" t="s">
        <v>1515</v>
      </c>
      <c r="B463" s="5" t="s">
        <v>1516</v>
      </c>
      <c r="C463" s="5" t="s">
        <v>55</v>
      </c>
      <c r="D463" s="5" t="s">
        <v>56</v>
      </c>
      <c r="E463" s="5" t="s">
        <v>312</v>
      </c>
      <c r="F463" s="5" t="s">
        <v>313</v>
      </c>
      <c r="G463" s="5" t="s">
        <v>59</v>
      </c>
      <c r="H463" s="5" t="s">
        <v>86</v>
      </c>
      <c r="I463" s="6" t="n">
        <v>0.5</v>
      </c>
      <c r="J463" s="7" t="n">
        <f aca="false">IF(I463="","",1/I463)</f>
        <v>2</v>
      </c>
      <c r="K463" s="8" t="n">
        <v>109.34</v>
      </c>
      <c r="L463" s="9" t="n">
        <v>0.33</v>
      </c>
      <c r="M463" s="10" t="n">
        <v>0.003</v>
      </c>
      <c r="N463" s="8" t="n">
        <v>106.84</v>
      </c>
      <c r="O463" s="8" t="n">
        <v>104.1</v>
      </c>
      <c r="P463" s="8" t="n">
        <v>109.34</v>
      </c>
      <c r="Q463" s="8" t="n">
        <v>105.16</v>
      </c>
      <c r="R463" s="11" t="n">
        <v>108</v>
      </c>
      <c r="S463" s="11" t="n">
        <f aca="false">K463*R463</f>
        <v>11808.72</v>
      </c>
      <c r="T463" s="8" t="n">
        <v>79.89</v>
      </c>
      <c r="U463" s="8" t="n">
        <v>160.05</v>
      </c>
      <c r="V463" s="12" t="n">
        <f aca="false">IF(U463-T463=0,"",(K463-T463)/(U463-T463))</f>
        <v>0.367390219560878</v>
      </c>
      <c r="W463" s="13" t="n">
        <f aca="false">IF(U463=0,"",K463/U463-1)</f>
        <v>-0.316838487972509</v>
      </c>
      <c r="X463" s="11" t="n">
        <v>191657</v>
      </c>
      <c r="Y463" s="5" t="s">
        <v>312</v>
      </c>
      <c r="Z463" s="5" t="s">
        <v>314</v>
      </c>
      <c r="AA463" s="5" t="s">
        <v>313</v>
      </c>
      <c r="AB463" s="5"/>
      <c r="AC463" s="5" t="s">
        <v>1517</v>
      </c>
      <c r="AD463" s="14" t="n">
        <v>46288.771875</v>
      </c>
    </row>
    <row r="464" customFormat="false" ht="15" hidden="false" customHeight="false" outlineLevel="0" collapsed="false">
      <c r="A464" s="5" t="s">
        <v>1518</v>
      </c>
      <c r="B464" s="5" t="s">
        <v>1519</v>
      </c>
      <c r="C464" s="5" t="s">
        <v>55</v>
      </c>
      <c r="D464" s="5" t="s">
        <v>56</v>
      </c>
      <c r="E464" s="5" t="s">
        <v>71</v>
      </c>
      <c r="F464" s="5" t="s">
        <v>72</v>
      </c>
      <c r="G464" s="5" t="s">
        <v>59</v>
      </c>
      <c r="H464" s="5" t="s">
        <v>60</v>
      </c>
      <c r="I464" s="6" t="n">
        <v>0.05</v>
      </c>
      <c r="J464" s="7" t="n">
        <f aca="false">IF(I464="","",1/I464)</f>
        <v>20</v>
      </c>
      <c r="K464" s="8" t="n">
        <v>43.84</v>
      </c>
      <c r="L464" s="9" t="n">
        <v>-0.32</v>
      </c>
      <c r="M464" s="10" t="n">
        <v>-0.0072</v>
      </c>
      <c r="N464" s="8" t="n">
        <v>43.84</v>
      </c>
      <c r="O464" s="8" t="n">
        <v>43.84</v>
      </c>
      <c r="P464" s="8" t="n">
        <v>43.84</v>
      </c>
      <c r="Q464" s="8" t="n">
        <v>43.84</v>
      </c>
      <c r="R464" s="11" t="n">
        <v>1</v>
      </c>
      <c r="S464" s="11" t="n">
        <f aca="false">K464*R464</f>
        <v>43.84</v>
      </c>
      <c r="T464" s="8" t="n">
        <v>34.24</v>
      </c>
      <c r="U464" s="8" t="n">
        <v>46.63</v>
      </c>
      <c r="V464" s="12" t="n">
        <f aca="false">IF(U464-T464=0,"",(K464-T464)/(U464-T464))</f>
        <v>0.774818401937046</v>
      </c>
      <c r="W464" s="13" t="n">
        <f aca="false">IF(U464=0,"",K464/U464-1)</f>
        <v>-0.0598327257130602</v>
      </c>
      <c r="X464" s="11" t="n">
        <v>66636</v>
      </c>
      <c r="Y464" s="5" t="s">
        <v>71</v>
      </c>
      <c r="Z464" s="5" t="s">
        <v>73</v>
      </c>
      <c r="AA464" s="5" t="s">
        <v>72</v>
      </c>
      <c r="AB464" s="5"/>
      <c r="AC464" s="5" t="s">
        <v>1520</v>
      </c>
      <c r="AD464" s="14" t="n">
        <v>46288.771875</v>
      </c>
    </row>
    <row r="465" customFormat="false" ht="15" hidden="false" customHeight="false" outlineLevel="0" collapsed="false">
      <c r="A465" s="5" t="s">
        <v>1521</v>
      </c>
      <c r="B465" s="5" t="s">
        <v>1522</v>
      </c>
      <c r="C465" s="5" t="s">
        <v>55</v>
      </c>
      <c r="D465" s="5" t="s">
        <v>56</v>
      </c>
      <c r="E465" s="5" t="s">
        <v>115</v>
      </c>
      <c r="F465" s="5" t="s">
        <v>116</v>
      </c>
      <c r="G465" s="5" t="s">
        <v>59</v>
      </c>
      <c r="H465" s="5" t="s">
        <v>60</v>
      </c>
      <c r="I465" s="6" t="n">
        <v>0.05</v>
      </c>
      <c r="J465" s="7" t="n">
        <f aca="false">IF(I465="","",1/I465)</f>
        <v>20</v>
      </c>
      <c r="K465" s="8" t="n">
        <v>9.27</v>
      </c>
      <c r="L465" s="9" t="n">
        <v>-0.04</v>
      </c>
      <c r="M465" s="10" t="n">
        <v>-0.0043</v>
      </c>
      <c r="N465" s="8" t="n">
        <v>9.27</v>
      </c>
      <c r="O465" s="8" t="n">
        <v>9.27</v>
      </c>
      <c r="P465" s="8" t="n">
        <v>9.27</v>
      </c>
      <c r="Q465" s="8" t="n">
        <v>9.27</v>
      </c>
      <c r="R465" s="11" t="n">
        <v>3</v>
      </c>
      <c r="S465" s="11" t="n">
        <f aca="false">K465*R465</f>
        <v>27.81</v>
      </c>
      <c r="T465" s="8" t="n">
        <v>7.18</v>
      </c>
      <c r="U465" s="8" t="n">
        <v>19.58</v>
      </c>
      <c r="V465" s="12" t="n">
        <f aca="false">IF(U465-T465=0,"",(K465-T465)/(U465-T465))</f>
        <v>0.168548387096774</v>
      </c>
      <c r="W465" s="13" t="n">
        <f aca="false">IF(U465=0,"",K465/U465-1)</f>
        <v>-0.52655771195097</v>
      </c>
      <c r="X465" s="11" t="n">
        <v>7737</v>
      </c>
      <c r="Y465" s="5" t="s">
        <v>115</v>
      </c>
      <c r="Z465" s="5" t="s">
        <v>117</v>
      </c>
      <c r="AA465" s="5" t="s">
        <v>116</v>
      </c>
      <c r="AB465" s="5"/>
      <c r="AC465" s="5" t="s">
        <v>1523</v>
      </c>
      <c r="AD465" s="14" t="n">
        <v>46288.771875</v>
      </c>
    </row>
    <row r="466" customFormat="false" ht="15" hidden="false" customHeight="false" outlineLevel="0" collapsed="false">
      <c r="A466" s="5" t="s">
        <v>1524</v>
      </c>
      <c r="B466" s="5" t="s">
        <v>1525</v>
      </c>
      <c r="C466" s="5" t="s">
        <v>55</v>
      </c>
      <c r="D466" s="5" t="s">
        <v>56</v>
      </c>
      <c r="E466" s="5" t="s">
        <v>77</v>
      </c>
      <c r="F466" s="5" t="s">
        <v>78</v>
      </c>
      <c r="G466" s="5" t="s">
        <v>59</v>
      </c>
      <c r="H466" s="5" t="s">
        <v>60</v>
      </c>
      <c r="I466" s="6" t="n">
        <v>0.25</v>
      </c>
      <c r="J466" s="7" t="n">
        <f aca="false">IF(I466="","",1/I466)</f>
        <v>4</v>
      </c>
      <c r="K466" s="8" t="n">
        <v>200.2</v>
      </c>
      <c r="L466" s="9" t="n">
        <v>-3.57</v>
      </c>
      <c r="M466" s="10" t="n">
        <v>-0.0175</v>
      </c>
      <c r="N466" s="8" t="n">
        <v>200.21</v>
      </c>
      <c r="O466" s="8" t="n">
        <v>199.6</v>
      </c>
      <c r="P466" s="8" t="n">
        <v>200.55</v>
      </c>
      <c r="Q466" s="8" t="n">
        <v>200.2</v>
      </c>
      <c r="R466" s="11" t="n">
        <v>215</v>
      </c>
      <c r="S466" s="11" t="n">
        <f aca="false">K466*R466</f>
        <v>43043</v>
      </c>
      <c r="T466" s="8" t="n">
        <v>103.3075</v>
      </c>
      <c r="U466" s="8" t="n">
        <v>349.5</v>
      </c>
      <c r="V466" s="12" t="n">
        <f aca="false">IF(U466-T466=0,"",(K466-T466)/(U466-T466))</f>
        <v>0.393563979406359</v>
      </c>
      <c r="W466" s="13" t="n">
        <f aca="false">IF(U466=0,"",K466/U466-1)</f>
        <v>-0.427181688125894</v>
      </c>
      <c r="X466" s="11" t="n">
        <v>703967</v>
      </c>
      <c r="Y466" s="5" t="s">
        <v>77</v>
      </c>
      <c r="Z466" s="5" t="s">
        <v>79</v>
      </c>
      <c r="AA466" s="5" t="s">
        <v>78</v>
      </c>
      <c r="AB466" s="5"/>
      <c r="AC466" s="5" t="s">
        <v>1526</v>
      </c>
      <c r="AD466" s="14" t="n">
        <v>46288.771875</v>
      </c>
    </row>
    <row r="467" customFormat="false" ht="15" hidden="false" customHeight="false" outlineLevel="0" collapsed="false">
      <c r="A467" s="5" t="s">
        <v>1527</v>
      </c>
      <c r="B467" s="5" t="s">
        <v>1528</v>
      </c>
      <c r="C467" s="5" t="s">
        <v>55</v>
      </c>
      <c r="D467" s="5" t="s">
        <v>56</v>
      </c>
      <c r="E467" s="5" t="s">
        <v>273</v>
      </c>
      <c r="F467" s="5" t="s">
        <v>274</v>
      </c>
      <c r="G467" s="5" t="s">
        <v>59</v>
      </c>
      <c r="H467" s="5" t="s">
        <v>60</v>
      </c>
      <c r="I467" s="6" t="n">
        <v>0.333333</v>
      </c>
      <c r="J467" s="7" t="n">
        <f aca="false">IF(I467="","",1/I467)</f>
        <v>3.000003000003</v>
      </c>
      <c r="K467" s="8" t="n">
        <v>61.26</v>
      </c>
      <c r="L467" s="9" t="n">
        <v>0.9</v>
      </c>
      <c r="M467" s="10" t="n">
        <v>0.0149</v>
      </c>
      <c r="N467" s="8" t="n">
        <v>60</v>
      </c>
      <c r="O467" s="8" t="n">
        <v>59.58</v>
      </c>
      <c r="P467" s="8" t="n">
        <v>61.26</v>
      </c>
      <c r="Q467" s="8" t="n">
        <v>61.26</v>
      </c>
      <c r="R467" s="11" t="n">
        <v>451</v>
      </c>
      <c r="S467" s="11" t="n">
        <f aca="false">K467*R467</f>
        <v>27628.26</v>
      </c>
      <c r="T467" s="8" t="n">
        <v>54.67999945</v>
      </c>
      <c r="U467" s="8" t="n">
        <v>90.96333242</v>
      </c>
      <c r="V467" s="12" t="n">
        <f aca="false">IF(U467-T467=0,"",(K467-T467)/(U467-T467))</f>
        <v>0.181350499289592</v>
      </c>
      <c r="W467" s="13" t="n">
        <f aca="false">IF(U467=0,"",K467/U467-1)</f>
        <v>-0.326541823279434</v>
      </c>
      <c r="X467" s="11" t="n">
        <v>96994</v>
      </c>
      <c r="Y467" s="5" t="s">
        <v>273</v>
      </c>
      <c r="Z467" s="5" t="s">
        <v>275</v>
      </c>
      <c r="AA467" s="5" t="s">
        <v>274</v>
      </c>
      <c r="AB467" s="5"/>
      <c r="AC467" s="5" t="s">
        <v>1529</v>
      </c>
      <c r="AD467" s="14" t="n">
        <v>46288.771875</v>
      </c>
    </row>
    <row r="468" customFormat="false" ht="15" hidden="false" customHeight="false" outlineLevel="0" collapsed="false">
      <c r="A468" s="5" t="s">
        <v>1530</v>
      </c>
      <c r="B468" s="5" t="s">
        <v>1531</v>
      </c>
      <c r="C468" s="5" t="s">
        <v>55</v>
      </c>
      <c r="D468" s="5" t="s">
        <v>56</v>
      </c>
      <c r="E468" s="5" t="s">
        <v>230</v>
      </c>
      <c r="F468" s="5" t="s">
        <v>231</v>
      </c>
      <c r="G468" s="5" t="s">
        <v>59</v>
      </c>
      <c r="H468" s="5" t="s">
        <v>60</v>
      </c>
      <c r="I468" s="6" t="n">
        <v>0.5</v>
      </c>
      <c r="J468" s="7" t="n">
        <f aca="false">IF(I468="","",1/I468)</f>
        <v>2</v>
      </c>
      <c r="K468" s="8" t="n">
        <v>323.07</v>
      </c>
      <c r="L468" s="9" t="n">
        <v>-21.43</v>
      </c>
      <c r="M468" s="10" t="n">
        <v>-0.0622</v>
      </c>
      <c r="N468" s="8" t="n">
        <v>323.07</v>
      </c>
      <c r="O468" s="8" t="n">
        <v>323.07</v>
      </c>
      <c r="P468" s="8" t="n">
        <v>323.07</v>
      </c>
      <c r="Q468" s="8" t="n">
        <v>323.07</v>
      </c>
      <c r="R468" s="11" t="n">
        <v>30</v>
      </c>
      <c r="S468" s="11" t="n">
        <f aca="false">K468*R468</f>
        <v>9692.1</v>
      </c>
      <c r="T468" s="8" t="n">
        <v>240</v>
      </c>
      <c r="U468" s="8" t="n">
        <v>367.78</v>
      </c>
      <c r="V468" s="12" t="n">
        <f aca="false">IF(U468-T468=0,"",(K468-T468)/(U468-T468))</f>
        <v>0.650101737361089</v>
      </c>
      <c r="W468" s="13" t="n">
        <f aca="false">IF(U468=0,"",K468/U468-1)</f>
        <v>-0.121567241285551</v>
      </c>
      <c r="X468" s="11" t="n">
        <v>91429</v>
      </c>
      <c r="Y468" s="5" t="s">
        <v>230</v>
      </c>
      <c r="Z468" s="5" t="s">
        <v>232</v>
      </c>
      <c r="AA468" s="5" t="s">
        <v>231</v>
      </c>
      <c r="AB468" s="5"/>
      <c r="AC468" s="5" t="s">
        <v>1532</v>
      </c>
      <c r="AD468" s="14" t="n">
        <v>46288.771875</v>
      </c>
    </row>
    <row r="469" customFormat="false" ht="15" hidden="false" customHeight="false" outlineLevel="0" collapsed="false">
      <c r="A469" s="5" t="s">
        <v>1533</v>
      </c>
      <c r="B469" s="5" t="s">
        <v>1534</v>
      </c>
      <c r="C469" s="5" t="s">
        <v>55</v>
      </c>
      <c r="D469" s="5" t="s">
        <v>56</v>
      </c>
      <c r="E469" s="5" t="s">
        <v>71</v>
      </c>
      <c r="F469" s="5" t="s">
        <v>72</v>
      </c>
      <c r="G469" s="5" t="s">
        <v>59</v>
      </c>
      <c r="H469" s="5"/>
      <c r="I469" s="6"/>
      <c r="J469" s="7" t="str">
        <f aca="false">IF(I469="","",1/I469)</f>
        <v/>
      </c>
      <c r="K469" s="8" t="n">
        <v>109.56</v>
      </c>
      <c r="L469" s="9" t="n">
        <v>-0.62</v>
      </c>
      <c r="M469" s="10" t="n">
        <v>-0.0056</v>
      </c>
      <c r="N469" s="8" t="n">
        <v>109.56</v>
      </c>
      <c r="O469" s="8" t="n">
        <v>109.56</v>
      </c>
      <c r="P469" s="8" t="n">
        <v>109.56</v>
      </c>
      <c r="Q469" s="8" t="n">
        <v>109.56</v>
      </c>
      <c r="R469" s="11" t="n">
        <v>3</v>
      </c>
      <c r="S469" s="11" t="n">
        <f aca="false">K469*R469</f>
        <v>328.68</v>
      </c>
      <c r="T469" s="8" t="n">
        <v>80.96</v>
      </c>
      <c r="U469" s="8" t="n">
        <v>122.8</v>
      </c>
      <c r="V469" s="12" t="n">
        <f aca="false">IF(U469-T469=0,"",(K469-T469)/(U469-T469))</f>
        <v>0.683556405353729</v>
      </c>
      <c r="W469" s="13" t="n">
        <f aca="false">IF(U469=0,"",K469/U469-1)</f>
        <v>-0.107817589576547</v>
      </c>
      <c r="X469" s="11" t="n">
        <v>114812</v>
      </c>
      <c r="Y469" s="5" t="s">
        <v>71</v>
      </c>
      <c r="Z469" s="5" t="s">
        <v>73</v>
      </c>
      <c r="AA469" s="5" t="s">
        <v>72</v>
      </c>
      <c r="AB469" s="5" t="s">
        <v>111</v>
      </c>
      <c r="AC469" s="5" t="s">
        <v>1535</v>
      </c>
      <c r="AD469" s="14" t="n">
        <v>46288.771875</v>
      </c>
    </row>
    <row r="470" customFormat="false" ht="15" hidden="false" customHeight="false" outlineLevel="0" collapsed="false">
      <c r="A470" s="5" t="s">
        <v>1536</v>
      </c>
      <c r="B470" s="5" t="s">
        <v>1537</v>
      </c>
      <c r="C470" s="5" t="s">
        <v>55</v>
      </c>
      <c r="D470" s="5" t="s">
        <v>56</v>
      </c>
      <c r="E470" s="5" t="s">
        <v>77</v>
      </c>
      <c r="F470" s="5" t="s">
        <v>78</v>
      </c>
      <c r="G470" s="5" t="s">
        <v>59</v>
      </c>
      <c r="H470" s="5" t="s">
        <v>60</v>
      </c>
      <c r="I470" s="6" t="n">
        <v>0.0625</v>
      </c>
      <c r="J470" s="7" t="n">
        <f aca="false">IF(I470="","",1/I470)</f>
        <v>16</v>
      </c>
      <c r="K470" s="8" t="n">
        <v>89.03</v>
      </c>
      <c r="L470" s="9" t="n">
        <v>1.46</v>
      </c>
      <c r="M470" s="10" t="n">
        <v>0.0167</v>
      </c>
      <c r="N470" s="8" t="n">
        <v>89.03</v>
      </c>
      <c r="O470" s="8" t="n">
        <v>89.03</v>
      </c>
      <c r="P470" s="8" t="n">
        <v>89.03</v>
      </c>
      <c r="Q470" s="8" t="n">
        <v>89.03</v>
      </c>
      <c r="R470" s="11" t="n">
        <v>200</v>
      </c>
      <c r="S470" s="11" t="n">
        <f aca="false">K470*R470</f>
        <v>17806</v>
      </c>
      <c r="T470" s="8" t="n">
        <v>63.3675</v>
      </c>
      <c r="U470" s="8" t="n">
        <v>102.465</v>
      </c>
      <c r="V470" s="12" t="n">
        <f aca="false">IF(U470-T470=0,"",(K470-T470)/(U470-T470))</f>
        <v>0.656371890785856</v>
      </c>
      <c r="W470" s="13" t="n">
        <f aca="false">IF(U470=0,"",K470/U470-1)</f>
        <v>-0.131117942712146</v>
      </c>
      <c r="X470" s="11" t="n">
        <v>280959</v>
      </c>
      <c r="Y470" s="5" t="s">
        <v>77</v>
      </c>
      <c r="Z470" s="5" t="s">
        <v>79</v>
      </c>
      <c r="AA470" s="5" t="s">
        <v>78</v>
      </c>
      <c r="AB470" s="5"/>
      <c r="AC470" s="5" t="s">
        <v>1538</v>
      </c>
      <c r="AD470" s="14" t="n">
        <v>46288.771875</v>
      </c>
    </row>
    <row r="471" customFormat="false" ht="15" hidden="false" customHeight="false" outlineLevel="0" collapsed="false">
      <c r="A471" s="5" t="s">
        <v>1539</v>
      </c>
      <c r="B471" s="5" t="s">
        <v>1540</v>
      </c>
      <c r="C471" s="5" t="s">
        <v>55</v>
      </c>
      <c r="D471" s="5" t="s">
        <v>56</v>
      </c>
      <c r="E471" s="5" t="s">
        <v>99</v>
      </c>
      <c r="F471" s="5" t="s">
        <v>100</v>
      </c>
      <c r="G471" s="5" t="s">
        <v>59</v>
      </c>
      <c r="H471" s="5" t="s">
        <v>86</v>
      </c>
      <c r="I471" s="6" t="n">
        <v>0.2</v>
      </c>
      <c r="J471" s="7" t="n">
        <f aca="false">IF(I471="","",1/I471)</f>
        <v>5</v>
      </c>
      <c r="K471" s="8" t="n">
        <v>51.5</v>
      </c>
      <c r="L471" s="9" t="n">
        <v>0</v>
      </c>
      <c r="M471" s="10" t="n">
        <v>0</v>
      </c>
      <c r="N471" s="8" t="n">
        <v>51.5</v>
      </c>
      <c r="O471" s="8" t="n">
        <v>51.5</v>
      </c>
      <c r="P471" s="8" t="n">
        <v>51.5</v>
      </c>
      <c r="Q471" s="8" t="n">
        <v>51.5</v>
      </c>
      <c r="R471" s="11" t="n">
        <v>2</v>
      </c>
      <c r="S471" s="11" t="n">
        <f aca="false">K471*R471</f>
        <v>103</v>
      </c>
      <c r="T471" s="8" t="n">
        <v>43.19</v>
      </c>
      <c r="U471" s="8" t="n">
        <v>63.24</v>
      </c>
      <c r="V471" s="12" t="n">
        <f aca="false">IF(U471-T471=0,"",(K471-T471)/(U471-T471))</f>
        <v>0.414463840399003</v>
      </c>
      <c r="W471" s="13" t="n">
        <f aca="false">IF(U471=0,"",K471/U471-1)</f>
        <v>-0.185641998734978</v>
      </c>
      <c r="X471" s="11" t="n">
        <v>521367</v>
      </c>
      <c r="Y471" s="5" t="s">
        <v>99</v>
      </c>
      <c r="Z471" s="5" t="s">
        <v>101</v>
      </c>
      <c r="AA471" s="5" t="s">
        <v>100</v>
      </c>
      <c r="AB471" s="5"/>
      <c r="AC471" s="5" t="s">
        <v>1541</v>
      </c>
      <c r="AD471" s="14" t="n">
        <v>46288.771875</v>
      </c>
    </row>
    <row r="472" customFormat="false" ht="15" hidden="false" customHeight="false" outlineLevel="0" collapsed="false">
      <c r="A472" s="5" t="s">
        <v>1542</v>
      </c>
      <c r="B472" s="5" t="s">
        <v>1543</v>
      </c>
      <c r="C472" s="5" t="s">
        <v>248</v>
      </c>
      <c r="D472" s="5" t="s">
        <v>249</v>
      </c>
      <c r="E472" s="5" t="s">
        <v>988</v>
      </c>
      <c r="F472" s="5" t="s">
        <v>989</v>
      </c>
      <c r="G472" s="5" t="s">
        <v>59</v>
      </c>
      <c r="H472" s="5"/>
      <c r="I472" s="6"/>
      <c r="J472" s="7" t="str">
        <f aca="false">IF(I472="","",1/I472)</f>
        <v/>
      </c>
      <c r="K472" s="8" t="n">
        <v>70.42</v>
      </c>
      <c r="L472" s="9" t="n">
        <v>3</v>
      </c>
      <c r="M472" s="10" t="n">
        <v>0.0445</v>
      </c>
      <c r="N472" s="8" t="n">
        <v>71.06</v>
      </c>
      <c r="O472" s="8" t="n">
        <v>70.42</v>
      </c>
      <c r="P472" s="8" t="n">
        <v>71.06</v>
      </c>
      <c r="Q472" s="8" t="n">
        <v>70.42</v>
      </c>
      <c r="R472" s="11" t="n">
        <v>56</v>
      </c>
      <c r="S472" s="11" t="n">
        <f aca="false">K472*R472</f>
        <v>3943.52</v>
      </c>
      <c r="T472" s="8" t="n">
        <v>66.78</v>
      </c>
      <c r="U472" s="8" t="n">
        <v>104.6</v>
      </c>
      <c r="V472" s="12" t="n">
        <f aca="false">IF(U472-T472=0,"",(K472-T472)/(U472-T472))</f>
        <v>0.0962453728186145</v>
      </c>
      <c r="W472" s="13" t="n">
        <f aca="false">IF(U472=0,"",K472/U472-1)</f>
        <v>-0.326768642447419</v>
      </c>
      <c r="X472" s="11"/>
      <c r="Y472" s="5" t="s">
        <v>253</v>
      </c>
      <c r="Z472" s="5" t="s">
        <v>254</v>
      </c>
      <c r="AA472" s="5" t="s">
        <v>988</v>
      </c>
      <c r="AB472" s="5" t="s">
        <v>111</v>
      </c>
      <c r="AC472" s="5" t="s">
        <v>1544</v>
      </c>
      <c r="AD472" s="14" t="n">
        <v>46288.771875</v>
      </c>
    </row>
    <row r="473" customFormat="false" ht="15" hidden="false" customHeight="false" outlineLevel="0" collapsed="false">
      <c r="A473" s="5" t="s">
        <v>1545</v>
      </c>
      <c r="B473" s="5" t="s">
        <v>1546</v>
      </c>
      <c r="C473" s="5" t="s">
        <v>55</v>
      </c>
      <c r="D473" s="5" t="s">
        <v>56</v>
      </c>
      <c r="E473" s="5" t="s">
        <v>230</v>
      </c>
      <c r="F473" s="5" t="s">
        <v>231</v>
      </c>
      <c r="G473" s="5" t="s">
        <v>59</v>
      </c>
      <c r="H473" s="5" t="s">
        <v>60</v>
      </c>
      <c r="I473" s="6" t="n">
        <v>0.025</v>
      </c>
      <c r="J473" s="7" t="n">
        <f aca="false">IF(I473="","",1/I473)</f>
        <v>40</v>
      </c>
      <c r="K473" s="8" t="n">
        <v>165.11</v>
      </c>
      <c r="L473" s="9" t="n">
        <v>2.55</v>
      </c>
      <c r="M473" s="10" t="n">
        <v>0.0157</v>
      </c>
      <c r="N473" s="8" t="n">
        <v>165.11</v>
      </c>
      <c r="O473" s="8" t="n">
        <v>165.11</v>
      </c>
      <c r="P473" s="8" t="n">
        <v>165.11</v>
      </c>
      <c r="Q473" s="8" t="n">
        <v>165.11</v>
      </c>
      <c r="R473" s="11" t="n">
        <v>1</v>
      </c>
      <c r="S473" s="11" t="n">
        <f aca="false">K473*R473</f>
        <v>165.11</v>
      </c>
      <c r="T473" s="8" t="n">
        <v>122.29</v>
      </c>
      <c r="U473" s="8" t="n">
        <v>178.76</v>
      </c>
      <c r="V473" s="12" t="n">
        <f aca="false">IF(U473-T473=0,"",(K473-T473)/(U473-T473))</f>
        <v>0.758278732070126</v>
      </c>
      <c r="W473" s="13" t="n">
        <f aca="false">IF(U473=0,"",K473/U473-1)</f>
        <v>-0.0763593645110762</v>
      </c>
      <c r="X473" s="11" t="n">
        <v>305799</v>
      </c>
      <c r="Y473" s="5" t="s">
        <v>230</v>
      </c>
      <c r="Z473" s="5" t="s">
        <v>232</v>
      </c>
      <c r="AA473" s="5" t="s">
        <v>231</v>
      </c>
      <c r="AB473" s="5"/>
      <c r="AC473" s="5" t="s">
        <v>1547</v>
      </c>
      <c r="AD473" s="14" t="n">
        <v>46288.771875</v>
      </c>
    </row>
    <row r="474" customFormat="false" ht="15" hidden="false" customHeight="false" outlineLevel="0" collapsed="false">
      <c r="A474" s="5" t="s">
        <v>1548</v>
      </c>
      <c r="B474" s="5" t="s">
        <v>1549</v>
      </c>
      <c r="C474" s="5" t="s">
        <v>55</v>
      </c>
      <c r="D474" s="5" t="s">
        <v>56</v>
      </c>
      <c r="E474" s="5" t="s">
        <v>115</v>
      </c>
      <c r="F474" s="5" t="s">
        <v>116</v>
      </c>
      <c r="G474" s="5" t="s">
        <v>59</v>
      </c>
      <c r="H474" s="5" t="s">
        <v>60</v>
      </c>
      <c r="I474" s="6" t="n">
        <v>0.1</v>
      </c>
      <c r="J474" s="7" t="n">
        <f aca="false">IF(I474="","",1/I474)</f>
        <v>10</v>
      </c>
      <c r="K474" s="8" t="n">
        <v>49.79</v>
      </c>
      <c r="L474" s="9" t="n">
        <v>-1.05</v>
      </c>
      <c r="M474" s="10" t="n">
        <v>-0.0207</v>
      </c>
      <c r="N474" s="8" t="n">
        <v>49.79</v>
      </c>
      <c r="O474" s="8" t="n">
        <v>49.79</v>
      </c>
      <c r="P474" s="8" t="n">
        <v>49.79</v>
      </c>
      <c r="Q474" s="8" t="n">
        <v>49.79</v>
      </c>
      <c r="R474" s="11" t="n">
        <v>9</v>
      </c>
      <c r="S474" s="11" t="n">
        <f aca="false">K474*R474</f>
        <v>448.11</v>
      </c>
      <c r="T474" s="8" t="n">
        <v>38.84</v>
      </c>
      <c r="U474" s="8" t="n">
        <v>75.28</v>
      </c>
      <c r="V474" s="12" t="n">
        <f aca="false">IF(U474-T474=0,"",(K474-T474)/(U474-T474))</f>
        <v>0.300493962678375</v>
      </c>
      <c r="W474" s="13" t="n">
        <f aca="false">IF(U474=0,"",K474/U474-1)</f>
        <v>-0.338602550478215</v>
      </c>
      <c r="X474" s="11" t="n">
        <v>63674</v>
      </c>
      <c r="Y474" s="5" t="s">
        <v>115</v>
      </c>
      <c r="Z474" s="5" t="s">
        <v>117</v>
      </c>
      <c r="AA474" s="5" t="s">
        <v>116</v>
      </c>
      <c r="AB474" s="5"/>
      <c r="AC474" s="5" t="s">
        <v>1550</v>
      </c>
      <c r="AD474" s="14" t="n">
        <v>46288.771875</v>
      </c>
    </row>
    <row r="475" customFormat="false" ht="15" hidden="false" customHeight="false" outlineLevel="0" collapsed="false">
      <c r="A475" s="5" t="s">
        <v>1551</v>
      </c>
      <c r="B475" s="5" t="s">
        <v>1552</v>
      </c>
      <c r="C475" s="5" t="s">
        <v>55</v>
      </c>
      <c r="D475" s="5" t="s">
        <v>330</v>
      </c>
      <c r="E475" s="5" t="s">
        <v>71</v>
      </c>
      <c r="F475" s="5" t="s">
        <v>72</v>
      </c>
      <c r="G475" s="5" t="s">
        <v>59</v>
      </c>
      <c r="H475" s="5" t="s">
        <v>60</v>
      </c>
      <c r="I475" s="6" t="n">
        <v>1</v>
      </c>
      <c r="J475" s="7" t="n">
        <f aca="false">IF(I475="","",1/I475)</f>
        <v>1</v>
      </c>
      <c r="K475" s="8" t="n">
        <v>1.25</v>
      </c>
      <c r="L475" s="9" t="n">
        <v>0.02</v>
      </c>
      <c r="M475" s="10" t="n">
        <v>0.0163</v>
      </c>
      <c r="N475" s="8" t="n">
        <v>1.25</v>
      </c>
      <c r="O475" s="8" t="n">
        <v>1.21</v>
      </c>
      <c r="P475" s="8" t="n">
        <v>1.25</v>
      </c>
      <c r="Q475" s="8" t="n">
        <v>1.24</v>
      </c>
      <c r="R475" s="11" t="n">
        <v>12539</v>
      </c>
      <c r="S475" s="11" t="n">
        <f aca="false">K475*R475</f>
        <v>15673.75</v>
      </c>
      <c r="T475" s="8" t="n">
        <v>1.05</v>
      </c>
      <c r="U475" s="8" t="n">
        <v>1.77</v>
      </c>
      <c r="V475" s="12" t="n">
        <f aca="false">IF(U475-T475=0,"",(K475-T475)/(U475-T475))</f>
        <v>0.277777777777778</v>
      </c>
      <c r="W475" s="13" t="n">
        <f aca="false">IF(U475=0,"",K475/U475-1)</f>
        <v>-0.293785310734463</v>
      </c>
      <c r="X475" s="11" t="n">
        <v>81</v>
      </c>
      <c r="Y475" s="5" t="s">
        <v>71</v>
      </c>
      <c r="Z475" s="5" t="s">
        <v>73</v>
      </c>
      <c r="AA475" s="5" t="s">
        <v>72</v>
      </c>
      <c r="AB475" s="5"/>
      <c r="AC475" s="5" t="s">
        <v>1553</v>
      </c>
      <c r="AD475" s="14" t="n">
        <v>46288.771875</v>
      </c>
    </row>
    <row r="476" customFormat="false" ht="15" hidden="false" customHeight="false" outlineLevel="0" collapsed="false">
      <c r="A476" s="5" t="s">
        <v>1554</v>
      </c>
      <c r="B476" s="5" t="s">
        <v>1555</v>
      </c>
      <c r="C476" s="5" t="s">
        <v>55</v>
      </c>
      <c r="D476" s="5" t="s">
        <v>56</v>
      </c>
      <c r="E476" s="5" t="s">
        <v>142</v>
      </c>
      <c r="F476" s="5" t="s">
        <v>143</v>
      </c>
      <c r="G476" s="5" t="s">
        <v>59</v>
      </c>
      <c r="H476" s="5" t="s">
        <v>60</v>
      </c>
      <c r="I476" s="6" t="n">
        <v>0.05</v>
      </c>
      <c r="J476" s="7" t="n">
        <f aca="false">IF(I476="","",1/I476)</f>
        <v>20</v>
      </c>
      <c r="K476" s="8" t="n">
        <v>246.06</v>
      </c>
      <c r="L476" s="9" t="n">
        <v>3.76</v>
      </c>
      <c r="M476" s="10" t="n">
        <v>0.0155</v>
      </c>
      <c r="N476" s="8" t="n">
        <v>244.73</v>
      </c>
      <c r="O476" s="8" t="n">
        <v>241.93</v>
      </c>
      <c r="P476" s="8" t="n">
        <v>246.06</v>
      </c>
      <c r="Q476" s="8" t="n">
        <v>246.06</v>
      </c>
      <c r="R476" s="11" t="n">
        <v>229</v>
      </c>
      <c r="S476" s="11" t="n">
        <f aca="false">K476*R476</f>
        <v>56347.74</v>
      </c>
      <c r="T476" s="8" t="n">
        <v>142.35</v>
      </c>
      <c r="U476" s="8" t="n">
        <v>320</v>
      </c>
      <c r="V476" s="12" t="n">
        <f aca="false">IF(U476-T476=0,"",(K476-T476)/(U476-T476))</f>
        <v>0.583788347875035</v>
      </c>
      <c r="W476" s="13" t="n">
        <f aca="false">IF(U476=0,"",K476/U476-1)</f>
        <v>-0.2310625</v>
      </c>
      <c r="X476" s="11" t="n">
        <v>1295248</v>
      </c>
      <c r="Y476" s="5" t="s">
        <v>142</v>
      </c>
      <c r="Z476" s="5" t="s">
        <v>144</v>
      </c>
      <c r="AA476" s="5" t="s">
        <v>143</v>
      </c>
      <c r="AB476" s="5"/>
      <c r="AC476" s="5" t="s">
        <v>1556</v>
      </c>
      <c r="AD476" s="14" t="n">
        <v>46288.771875</v>
      </c>
    </row>
    <row r="477" customFormat="false" ht="15" hidden="false" customHeight="false" outlineLevel="0" collapsed="false">
      <c r="A477" s="5" t="s">
        <v>1557</v>
      </c>
      <c r="B477" s="5" t="s">
        <v>1558</v>
      </c>
      <c r="C477" s="5" t="s">
        <v>55</v>
      </c>
      <c r="D477" s="5" t="s">
        <v>56</v>
      </c>
      <c r="E477" s="5" t="s">
        <v>99</v>
      </c>
      <c r="F477" s="5" t="s">
        <v>100</v>
      </c>
      <c r="G477" s="5" t="s">
        <v>59</v>
      </c>
      <c r="H477" s="5" t="s">
        <v>60</v>
      </c>
      <c r="I477" s="6" t="n">
        <v>0.125</v>
      </c>
      <c r="J477" s="7" t="n">
        <f aca="false">IF(I477="","",1/I477)</f>
        <v>8</v>
      </c>
      <c r="K477" s="8" t="n">
        <v>48.34</v>
      </c>
      <c r="L477" s="9" t="n">
        <v>-3.66</v>
      </c>
      <c r="M477" s="10" t="n">
        <v>-0.0704</v>
      </c>
      <c r="N477" s="8" t="n">
        <v>48.34</v>
      </c>
      <c r="O477" s="8" t="n">
        <v>48.34</v>
      </c>
      <c r="P477" s="8" t="n">
        <v>48.34</v>
      </c>
      <c r="Q477" s="8" t="n">
        <v>48.34</v>
      </c>
      <c r="R477" s="11" t="n">
        <v>1</v>
      </c>
      <c r="S477" s="11" t="n">
        <f aca="false">K477*R477</f>
        <v>48.34</v>
      </c>
      <c r="T477" s="8" t="n">
        <v>37</v>
      </c>
      <c r="U477" s="8" t="n">
        <v>65.12</v>
      </c>
      <c r="V477" s="12" t="n">
        <f aca="false">IF(U477-T477=0,"",(K477-T477)/(U477-T477))</f>
        <v>0.403271692745377</v>
      </c>
      <c r="W477" s="13" t="n">
        <f aca="false">IF(U477=0,"",K477/U477-1)</f>
        <v>-0.257678132678133</v>
      </c>
      <c r="X477" s="11" t="n">
        <v>51664</v>
      </c>
      <c r="Y477" s="5" t="s">
        <v>99</v>
      </c>
      <c r="Z477" s="5" t="s">
        <v>101</v>
      </c>
      <c r="AA477" s="5" t="s">
        <v>100</v>
      </c>
      <c r="AB477" s="5"/>
      <c r="AC477" s="5" t="s">
        <v>1559</v>
      </c>
      <c r="AD477" s="14" t="n">
        <v>46288.771875</v>
      </c>
    </row>
    <row r="478" customFormat="false" ht="15" hidden="false" customHeight="false" outlineLevel="0" collapsed="false">
      <c r="A478" s="5" t="s">
        <v>1560</v>
      </c>
      <c r="B478" s="5" t="s">
        <v>1561</v>
      </c>
      <c r="C478" s="5" t="s">
        <v>55</v>
      </c>
      <c r="D478" s="5" t="s">
        <v>56</v>
      </c>
      <c r="E478" s="5" t="s">
        <v>115</v>
      </c>
      <c r="F478" s="5" t="s">
        <v>116</v>
      </c>
      <c r="G478" s="5" t="s">
        <v>59</v>
      </c>
      <c r="H478" s="5" t="s">
        <v>60</v>
      </c>
      <c r="I478" s="6" t="n">
        <v>0.08333</v>
      </c>
      <c r="J478" s="7" t="n">
        <f aca="false">IF(I478="","",1/I478)</f>
        <v>12.0004800192008</v>
      </c>
      <c r="K478" s="8" t="n">
        <v>66.36</v>
      </c>
      <c r="L478" s="9" t="n">
        <v>4.14</v>
      </c>
      <c r="M478" s="10" t="n">
        <v>0.0665</v>
      </c>
      <c r="N478" s="8" t="n">
        <v>66.24</v>
      </c>
      <c r="O478" s="8" t="n">
        <v>65.94</v>
      </c>
      <c r="P478" s="8" t="n">
        <v>66.36</v>
      </c>
      <c r="Q478" s="8" t="n">
        <v>66.36</v>
      </c>
      <c r="R478" s="11" t="n">
        <v>1053</v>
      </c>
      <c r="S478" s="11" t="n">
        <f aca="false">K478*R478</f>
        <v>69877.08</v>
      </c>
      <c r="T478" s="8" t="n">
        <v>49</v>
      </c>
      <c r="U478" s="8" t="n">
        <v>101.5</v>
      </c>
      <c r="V478" s="12" t="n">
        <f aca="false">IF(U478-T478=0,"",(K478-T478)/(U478-T478))</f>
        <v>0.330666666666667</v>
      </c>
      <c r="W478" s="13" t="n">
        <f aca="false">IF(U478=0,"",K478/U478-1)</f>
        <v>-0.346206896551724</v>
      </c>
      <c r="X478" s="11" t="n">
        <v>63135</v>
      </c>
      <c r="Y478" s="5" t="s">
        <v>115</v>
      </c>
      <c r="Z478" s="5" t="s">
        <v>117</v>
      </c>
      <c r="AA478" s="5" t="s">
        <v>116</v>
      </c>
      <c r="AB478" s="5"/>
      <c r="AC478" s="5" t="s">
        <v>1562</v>
      </c>
      <c r="AD478" s="14" t="n">
        <v>46288.771875</v>
      </c>
    </row>
    <row r="479" customFormat="false" ht="15" hidden="false" customHeight="false" outlineLevel="0" collapsed="false">
      <c r="A479" s="5" t="s">
        <v>1563</v>
      </c>
      <c r="B479" s="5" t="s">
        <v>1564</v>
      </c>
      <c r="C479" s="5" t="s">
        <v>55</v>
      </c>
      <c r="D479" s="5" t="s">
        <v>56</v>
      </c>
      <c r="E479" s="5" t="s">
        <v>77</v>
      </c>
      <c r="F479" s="5" t="s">
        <v>78</v>
      </c>
      <c r="G479" s="5" t="s">
        <v>59</v>
      </c>
      <c r="H479" s="5" t="s">
        <v>60</v>
      </c>
      <c r="I479" s="6" t="n">
        <v>1</v>
      </c>
      <c r="J479" s="7" t="n">
        <f aca="false">IF(I479="","",1/I479)</f>
        <v>1</v>
      </c>
      <c r="K479" s="8" t="n">
        <v>1774.5</v>
      </c>
      <c r="L479" s="9" t="n">
        <v>-17.4</v>
      </c>
      <c r="M479" s="10" t="n">
        <v>-0.0097</v>
      </c>
      <c r="N479" s="8" t="n">
        <v>1757</v>
      </c>
      <c r="O479" s="8" t="n">
        <v>1757</v>
      </c>
      <c r="P479" s="8" t="n">
        <v>1774.5</v>
      </c>
      <c r="Q479" s="8" t="n">
        <v>1774.5</v>
      </c>
      <c r="R479" s="11" t="n">
        <v>5</v>
      </c>
      <c r="S479" s="11" t="n">
        <f aca="false">K479*R479</f>
        <v>8872.5</v>
      </c>
      <c r="T479" s="8" t="n">
        <v>1536.6</v>
      </c>
      <c r="U479" s="8" t="n">
        <v>2099.98</v>
      </c>
      <c r="V479" s="12" t="n">
        <f aca="false">IF(U479-T479=0,"",(K479-T479)/(U479-T479))</f>
        <v>0.422272711136356</v>
      </c>
      <c r="W479" s="13" t="n">
        <f aca="false">IF(U479=0,"",K479/U479-1)</f>
        <v>-0.154991952304308</v>
      </c>
      <c r="X479" s="11" t="n">
        <v>475469</v>
      </c>
      <c r="Y479" s="5" t="s">
        <v>77</v>
      </c>
      <c r="Z479" s="5" t="s">
        <v>79</v>
      </c>
      <c r="AA479" s="5" t="s">
        <v>78</v>
      </c>
      <c r="AB479" s="5"/>
      <c r="AC479" s="5" t="s">
        <v>1565</v>
      </c>
      <c r="AD479" s="14" t="n">
        <v>46288.771875</v>
      </c>
    </row>
    <row r="480" customFormat="false" ht="15" hidden="false" customHeight="false" outlineLevel="0" collapsed="false">
      <c r="A480" s="5" t="s">
        <v>1566</v>
      </c>
      <c r="B480" s="5" t="s">
        <v>1567</v>
      </c>
      <c r="C480" s="5" t="s">
        <v>248</v>
      </c>
      <c r="D480" s="5" t="s">
        <v>249</v>
      </c>
      <c r="E480" s="5" t="s">
        <v>250</v>
      </c>
      <c r="F480" s="5" t="s">
        <v>251</v>
      </c>
      <c r="G480" s="5" t="s">
        <v>59</v>
      </c>
      <c r="H480" s="5" t="s">
        <v>60</v>
      </c>
      <c r="I480" s="6" t="n">
        <v>0.333333</v>
      </c>
      <c r="J480" s="7" t="n">
        <f aca="false">IF(I480="","",1/I480)</f>
        <v>3.000003000003</v>
      </c>
      <c r="K480" s="8" t="n">
        <v>165.05</v>
      </c>
      <c r="L480" s="9" t="n">
        <v>1.15</v>
      </c>
      <c r="M480" s="10" t="n">
        <v>0.007</v>
      </c>
      <c r="N480" s="8" t="n">
        <v>161.93</v>
      </c>
      <c r="O480" s="8" t="n">
        <v>159.82</v>
      </c>
      <c r="P480" s="8" t="n">
        <v>165.05</v>
      </c>
      <c r="Q480" s="8" t="n">
        <v>160.85</v>
      </c>
      <c r="R480" s="11" t="n">
        <v>9036</v>
      </c>
      <c r="S480" s="11" t="n">
        <f aca="false">K480*R480</f>
        <v>1491391.8</v>
      </c>
      <c r="T480" s="8" t="n">
        <v>119.8</v>
      </c>
      <c r="U480" s="8" t="n">
        <v>206.39</v>
      </c>
      <c r="V480" s="12" t="n">
        <f aca="false">IF(U480-T480=0,"",(K480-T480)/(U480-T480))</f>
        <v>0.522577664857374</v>
      </c>
      <c r="W480" s="13" t="n">
        <f aca="false">IF(U480=0,"",K480/U480-1)</f>
        <v>-0.200300402151267</v>
      </c>
      <c r="X480" s="11"/>
      <c r="Y480" s="5" t="s">
        <v>253</v>
      </c>
      <c r="Z480" s="5" t="s">
        <v>254</v>
      </c>
      <c r="AA480" s="5" t="s">
        <v>251</v>
      </c>
      <c r="AB480" s="5"/>
      <c r="AC480" s="5" t="s">
        <v>1568</v>
      </c>
      <c r="AD480" s="14" t="n">
        <v>46288.771875</v>
      </c>
    </row>
    <row r="481" customFormat="false" ht="15" hidden="false" customHeight="false" outlineLevel="0" collapsed="false">
      <c r="A481" s="5" t="s">
        <v>1569</v>
      </c>
      <c r="B481" s="5" t="s">
        <v>1570</v>
      </c>
      <c r="C481" s="5" t="s">
        <v>55</v>
      </c>
      <c r="D481" s="5" t="s">
        <v>56</v>
      </c>
      <c r="E481" s="5" t="s">
        <v>99</v>
      </c>
      <c r="F481" s="5" t="s">
        <v>100</v>
      </c>
      <c r="G481" s="5" t="s">
        <v>59</v>
      </c>
      <c r="H481" s="5" t="s">
        <v>60</v>
      </c>
      <c r="I481" s="6" t="n">
        <v>0.125</v>
      </c>
      <c r="J481" s="7" t="n">
        <f aca="false">IF(I481="","",1/I481)</f>
        <v>8</v>
      </c>
      <c r="K481" s="8" t="n">
        <v>42.52</v>
      </c>
      <c r="L481" s="9" t="n">
        <v>1.07</v>
      </c>
      <c r="M481" s="10" t="n">
        <v>0.0258</v>
      </c>
      <c r="N481" s="8" t="n">
        <v>41.46</v>
      </c>
      <c r="O481" s="8" t="n">
        <v>41.46</v>
      </c>
      <c r="P481" s="8" t="n">
        <v>42.52</v>
      </c>
      <c r="Q481" s="8" t="n">
        <v>42.52</v>
      </c>
      <c r="R481" s="11" t="n">
        <v>108</v>
      </c>
      <c r="S481" s="11" t="n">
        <f aca="false">K481*R481</f>
        <v>4592.16</v>
      </c>
      <c r="T481" s="8" t="n">
        <v>37.98</v>
      </c>
      <c r="U481" s="8" t="n">
        <v>60.61</v>
      </c>
      <c r="V481" s="12" t="n">
        <f aca="false">IF(U481-T481=0,"",(K481-T481)/(U481-T481))</f>
        <v>0.200618647812638</v>
      </c>
      <c r="W481" s="13" t="n">
        <f aca="false">IF(U481=0,"",K481/U481-1)</f>
        <v>-0.298465599736017</v>
      </c>
      <c r="X481" s="11" t="n">
        <v>153190</v>
      </c>
      <c r="Y481" s="5" t="s">
        <v>99</v>
      </c>
      <c r="Z481" s="5" t="s">
        <v>101</v>
      </c>
      <c r="AA481" s="5" t="s">
        <v>100</v>
      </c>
      <c r="AB481" s="5"/>
      <c r="AC481" s="5" t="s">
        <v>1571</v>
      </c>
      <c r="AD481" s="14" t="n">
        <v>46288.771875</v>
      </c>
    </row>
    <row r="482" customFormat="false" ht="15" hidden="false" customHeight="false" outlineLevel="0" collapsed="false">
      <c r="A482" s="5" t="s">
        <v>1572</v>
      </c>
      <c r="B482" s="5" t="s">
        <v>1573</v>
      </c>
      <c r="C482" s="5" t="s">
        <v>55</v>
      </c>
      <c r="D482" s="5" t="s">
        <v>56</v>
      </c>
      <c r="E482" s="5" t="s">
        <v>77</v>
      </c>
      <c r="F482" s="5" t="s">
        <v>78</v>
      </c>
      <c r="G482" s="5" t="s">
        <v>59</v>
      </c>
      <c r="H482" s="5" t="s">
        <v>60</v>
      </c>
      <c r="I482" s="6" t="n">
        <v>0.05</v>
      </c>
      <c r="J482" s="7" t="n">
        <f aca="false">IF(I482="","",1/I482)</f>
        <v>20</v>
      </c>
      <c r="K482" s="8" t="n">
        <v>82.72</v>
      </c>
      <c r="L482" s="9" t="n">
        <v>1.12</v>
      </c>
      <c r="M482" s="10" t="n">
        <v>0.0137</v>
      </c>
      <c r="N482" s="8" t="n">
        <v>81.84</v>
      </c>
      <c r="O482" s="8" t="n">
        <v>81.59</v>
      </c>
      <c r="P482" s="8" t="n">
        <v>83.6</v>
      </c>
      <c r="Q482" s="8" t="n">
        <v>82.72</v>
      </c>
      <c r="R482" s="11" t="n">
        <v>365</v>
      </c>
      <c r="S482" s="11" t="n">
        <f aca="false">K482*R482</f>
        <v>30192.8</v>
      </c>
      <c r="T482" s="8" t="n">
        <v>66.99</v>
      </c>
      <c r="U482" s="8" t="n">
        <v>100.9835</v>
      </c>
      <c r="V482" s="12" t="n">
        <f aca="false">IF(U482-T482=0,"",(K482-T482)/(U482-T482))</f>
        <v>0.462735522967626</v>
      </c>
      <c r="W482" s="13" t="n">
        <f aca="false">IF(U482=0,"",K482/U482-1)</f>
        <v>-0.180856278500943</v>
      </c>
      <c r="X482" s="11" t="n">
        <v>1695039</v>
      </c>
      <c r="Y482" s="5" t="s">
        <v>77</v>
      </c>
      <c r="Z482" s="5" t="s">
        <v>79</v>
      </c>
      <c r="AA482" s="5" t="s">
        <v>78</v>
      </c>
      <c r="AB482" s="5"/>
      <c r="AC482" s="5" t="s">
        <v>1574</v>
      </c>
      <c r="AD482" s="14" t="n">
        <v>46288.771875</v>
      </c>
    </row>
    <row r="483" customFormat="false" ht="15" hidden="false" customHeight="false" outlineLevel="0" collapsed="false">
      <c r="A483" s="5" t="s">
        <v>1575</v>
      </c>
      <c r="B483" s="5" t="s">
        <v>1576</v>
      </c>
      <c r="C483" s="5" t="s">
        <v>55</v>
      </c>
      <c r="D483" s="5" t="s">
        <v>56</v>
      </c>
      <c r="E483" s="5" t="s">
        <v>99</v>
      </c>
      <c r="F483" s="5" t="s">
        <v>100</v>
      </c>
      <c r="G483" s="5" t="s">
        <v>59</v>
      </c>
      <c r="H483" s="5" t="s">
        <v>60</v>
      </c>
      <c r="I483" s="6" t="n">
        <v>0.083333</v>
      </c>
      <c r="J483" s="7" t="n">
        <f aca="false">IF(I483="","",1/I483)</f>
        <v>12.000048000192</v>
      </c>
      <c r="K483" s="8" t="n">
        <v>64.8</v>
      </c>
      <c r="L483" s="9" t="n">
        <v>-0.23</v>
      </c>
      <c r="M483" s="10" t="n">
        <v>-0.0035</v>
      </c>
      <c r="N483" s="8" t="n">
        <v>64.98</v>
      </c>
      <c r="O483" s="8" t="n">
        <v>64.44</v>
      </c>
      <c r="P483" s="8" t="n">
        <v>65.95</v>
      </c>
      <c r="Q483" s="8" t="n">
        <v>64.8</v>
      </c>
      <c r="R483" s="11" t="n">
        <v>899</v>
      </c>
      <c r="S483" s="11" t="n">
        <f aca="false">K483*R483</f>
        <v>58255.2</v>
      </c>
      <c r="T483" s="8" t="n">
        <v>48.97500098</v>
      </c>
      <c r="U483" s="8" t="n">
        <v>66.05833465</v>
      </c>
      <c r="V483" s="12" t="n">
        <f aca="false">IF(U483-T483=0,"",(K483-T483)/(U483-T483))</f>
        <v>0.926341387793077</v>
      </c>
      <c r="W483" s="13" t="n">
        <f aca="false">IF(U483=0,"",K483/U483-1)</f>
        <v>-0.0190488400391428</v>
      </c>
      <c r="X483" s="11" t="n">
        <v>968802</v>
      </c>
      <c r="Y483" s="5" t="s">
        <v>99</v>
      </c>
      <c r="Z483" s="5" t="s">
        <v>101</v>
      </c>
      <c r="AA483" s="5" t="s">
        <v>100</v>
      </c>
      <c r="AB483" s="5"/>
      <c r="AC483" s="5" t="s">
        <v>1577</v>
      </c>
      <c r="AD483" s="14" t="n">
        <v>46288.771875</v>
      </c>
    </row>
    <row r="484" customFormat="false" ht="15" hidden="false" customHeight="false" outlineLevel="0" collapsed="false">
      <c r="A484" s="5" t="s">
        <v>1578</v>
      </c>
      <c r="B484" s="5" t="s">
        <v>1579</v>
      </c>
      <c r="C484" s="5" t="s">
        <v>55</v>
      </c>
      <c r="D484" s="5" t="s">
        <v>56</v>
      </c>
      <c r="E484" s="5" t="s">
        <v>105</v>
      </c>
      <c r="F484" s="5" t="s">
        <v>106</v>
      </c>
      <c r="G484" s="5" t="s">
        <v>59</v>
      </c>
      <c r="H484" s="5" t="s">
        <v>60</v>
      </c>
      <c r="I484" s="6" t="n">
        <v>0.25</v>
      </c>
      <c r="J484" s="7" t="n">
        <f aca="false">IF(I484="","",1/I484)</f>
        <v>4</v>
      </c>
      <c r="K484" s="8" t="n">
        <v>108.8</v>
      </c>
      <c r="L484" s="9" t="n">
        <v>2.04</v>
      </c>
      <c r="M484" s="10" t="n">
        <v>0.0191</v>
      </c>
      <c r="N484" s="8" t="n">
        <v>105.92</v>
      </c>
      <c r="O484" s="8" t="n">
        <v>105.92</v>
      </c>
      <c r="P484" s="8" t="n">
        <v>108.8</v>
      </c>
      <c r="Q484" s="8" t="n">
        <v>108.13</v>
      </c>
      <c r="R484" s="11" t="n">
        <v>2466</v>
      </c>
      <c r="S484" s="11" t="n">
        <f aca="false">K484*R484</f>
        <v>268300.8</v>
      </c>
      <c r="T484" s="8" t="n">
        <v>74.5</v>
      </c>
      <c r="U484" s="8" t="n">
        <v>117</v>
      </c>
      <c r="V484" s="12" t="n">
        <f aca="false">IF(U484-T484=0,"",(K484-T484)/(U484-T484))</f>
        <v>0.807058823529412</v>
      </c>
      <c r="W484" s="13" t="n">
        <f aca="false">IF(U484=0,"",K484/U484-1)</f>
        <v>-0.0700854700854701</v>
      </c>
      <c r="X484" s="11" t="n">
        <v>374736</v>
      </c>
      <c r="Y484" s="5" t="s">
        <v>105</v>
      </c>
      <c r="Z484" s="5" t="s">
        <v>107</v>
      </c>
      <c r="AA484" s="5" t="s">
        <v>106</v>
      </c>
      <c r="AB484" s="5"/>
      <c r="AC484" s="5" t="s">
        <v>1580</v>
      </c>
      <c r="AD484" s="14" t="n">
        <v>46288.771875</v>
      </c>
    </row>
    <row r="485" customFormat="false" ht="15" hidden="false" customHeight="false" outlineLevel="0" collapsed="false">
      <c r="A485" s="5" t="s">
        <v>1581</v>
      </c>
      <c r="B485" s="5" t="s">
        <v>1582</v>
      </c>
      <c r="C485" s="5" t="s">
        <v>248</v>
      </c>
      <c r="D485" s="5" t="s">
        <v>249</v>
      </c>
      <c r="E485" s="5" t="s">
        <v>988</v>
      </c>
      <c r="F485" s="5" t="s">
        <v>989</v>
      </c>
      <c r="G485" s="5" t="s">
        <v>59</v>
      </c>
      <c r="H485" s="5" t="s">
        <v>60</v>
      </c>
      <c r="I485" s="6" t="n">
        <v>0.1</v>
      </c>
      <c r="J485" s="7" t="n">
        <f aca="false">IF(I485="","",1/I485)</f>
        <v>10</v>
      </c>
      <c r="K485" s="8" t="n">
        <v>45.81</v>
      </c>
      <c r="L485" s="9" t="n">
        <v>0.46</v>
      </c>
      <c r="M485" s="10" t="n">
        <v>0.0101</v>
      </c>
      <c r="N485" s="8" t="n">
        <v>45.81</v>
      </c>
      <c r="O485" s="8" t="n">
        <v>45.81</v>
      </c>
      <c r="P485" s="8" t="n">
        <v>45.81</v>
      </c>
      <c r="Q485" s="8" t="n">
        <v>45.81</v>
      </c>
      <c r="R485" s="11" t="n">
        <v>1</v>
      </c>
      <c r="S485" s="11" t="n">
        <f aca="false">K485*R485</f>
        <v>45.81</v>
      </c>
      <c r="T485" s="8" t="n">
        <v>33.39</v>
      </c>
      <c r="U485" s="8" t="n">
        <v>47.8</v>
      </c>
      <c r="V485" s="12" t="n">
        <f aca="false">IF(U485-T485=0,"",(K485-T485)/(U485-T485))</f>
        <v>0.861901457321305</v>
      </c>
      <c r="W485" s="13" t="n">
        <f aca="false">IF(U485=0,"",K485/U485-1)</f>
        <v>-0.0416317991631798</v>
      </c>
      <c r="X485" s="11"/>
      <c r="Y485" s="5" t="s">
        <v>253</v>
      </c>
      <c r="Z485" s="5" t="s">
        <v>254</v>
      </c>
      <c r="AA485" s="5" t="s">
        <v>988</v>
      </c>
      <c r="AB485" s="5"/>
      <c r="AC485" s="5" t="s">
        <v>1583</v>
      </c>
      <c r="AD485" s="14" t="n">
        <v>46288.771875</v>
      </c>
    </row>
    <row r="486" customFormat="false" ht="15" hidden="false" customHeight="false" outlineLevel="0" collapsed="false">
      <c r="A486" s="5" t="s">
        <v>1584</v>
      </c>
      <c r="B486" s="5" t="s">
        <v>1585</v>
      </c>
      <c r="C486" s="5" t="s">
        <v>55</v>
      </c>
      <c r="D486" s="5" t="s">
        <v>56</v>
      </c>
      <c r="E486" s="5" t="s">
        <v>115</v>
      </c>
      <c r="F486" s="5" t="s">
        <v>116</v>
      </c>
      <c r="G486" s="5" t="s">
        <v>59</v>
      </c>
      <c r="H486" s="5" t="s">
        <v>60</v>
      </c>
      <c r="I486" s="6" t="n">
        <v>0.08333</v>
      </c>
      <c r="J486" s="7" t="n">
        <f aca="false">IF(I486="","",1/I486)</f>
        <v>12.0004800192008</v>
      </c>
      <c r="K486" s="8" t="n">
        <v>146.04</v>
      </c>
      <c r="L486" s="9" t="n">
        <v>-3.16</v>
      </c>
      <c r="M486" s="10" t="n">
        <v>-0.0212</v>
      </c>
      <c r="N486" s="8" t="n">
        <v>149.4</v>
      </c>
      <c r="O486" s="8" t="n">
        <v>145.3</v>
      </c>
      <c r="P486" s="8" t="n">
        <v>150</v>
      </c>
      <c r="Q486" s="8" t="n">
        <v>145.44</v>
      </c>
      <c r="R486" s="11" t="n">
        <v>274301</v>
      </c>
      <c r="S486" s="11" t="n">
        <f aca="false">K486*R486</f>
        <v>40058918.04</v>
      </c>
      <c r="T486" s="8" t="n">
        <v>105.69</v>
      </c>
      <c r="U486" s="8" t="n">
        <v>170.64</v>
      </c>
      <c r="V486" s="12" t="n">
        <f aca="false">IF(U486-T486=0,"",(K486-T486)/(U486-T486))</f>
        <v>0.621247113163972</v>
      </c>
      <c r="W486" s="13" t="n">
        <f aca="false">IF(U486=0,"",K486/U486-1)</f>
        <v>-0.144163150492264</v>
      </c>
      <c r="X486" s="11" t="n">
        <v>21872879</v>
      </c>
      <c r="Y486" s="5" t="s">
        <v>115</v>
      </c>
      <c r="Z486" s="5" t="s">
        <v>117</v>
      </c>
      <c r="AA486" s="5" t="s">
        <v>116</v>
      </c>
      <c r="AB486" s="5"/>
      <c r="AC486" s="5" t="s">
        <v>1586</v>
      </c>
      <c r="AD486" s="14" t="n">
        <v>46288.771875</v>
      </c>
    </row>
    <row r="487" customFormat="false" ht="15" hidden="false" customHeight="false" outlineLevel="0" collapsed="false">
      <c r="A487" s="5" t="s">
        <v>1587</v>
      </c>
      <c r="B487" s="5" t="s">
        <v>1585</v>
      </c>
      <c r="C487" s="5" t="s">
        <v>55</v>
      </c>
      <c r="D487" s="5" t="s">
        <v>1588</v>
      </c>
      <c r="E487" s="5" t="s">
        <v>115</v>
      </c>
      <c r="F487" s="5" t="s">
        <v>116</v>
      </c>
      <c r="G487" s="5" t="s">
        <v>59</v>
      </c>
      <c r="H487" s="5" t="s">
        <v>60</v>
      </c>
      <c r="I487" s="6" t="n">
        <v>0.08333</v>
      </c>
      <c r="J487" s="7" t="n">
        <f aca="false">IF(I487="","",1/I487)</f>
        <v>12.0004800192008</v>
      </c>
      <c r="K487" s="8" t="n">
        <v>143.7</v>
      </c>
      <c r="L487" s="9" t="n">
        <v>-4.06</v>
      </c>
      <c r="M487" s="10" t="n">
        <v>-0.0275</v>
      </c>
      <c r="N487" s="8" t="n">
        <v>149.24</v>
      </c>
      <c r="O487" s="8" t="n">
        <v>143.7</v>
      </c>
      <c r="P487" s="8" t="n">
        <v>149.24</v>
      </c>
      <c r="Q487" s="8" t="n">
        <v>144.53</v>
      </c>
      <c r="R487" s="11" t="n">
        <v>974</v>
      </c>
      <c r="S487" s="11" t="n">
        <f aca="false">K487*R487</f>
        <v>139963.8</v>
      </c>
      <c r="T487" s="8" t="n">
        <v>106.05</v>
      </c>
      <c r="U487" s="8" t="n">
        <v>168.72</v>
      </c>
      <c r="V487" s="12" t="n">
        <f aca="false">IF(U487-T487=0,"",(K487-T487)/(U487-T487))</f>
        <v>0.600765916706558</v>
      </c>
      <c r="W487" s="13" t="n">
        <f aca="false">IF(U487=0,"",K487/U487-1)</f>
        <v>-0.148293029871977</v>
      </c>
      <c r="X487" s="11" t="n">
        <v>21872879</v>
      </c>
      <c r="Y487" s="5" t="s">
        <v>115</v>
      </c>
      <c r="Z487" s="5" t="s">
        <v>117</v>
      </c>
      <c r="AA487" s="5" t="s">
        <v>116</v>
      </c>
      <c r="AB487" s="5" t="s">
        <v>1589</v>
      </c>
      <c r="AC487" s="5" t="s">
        <v>1590</v>
      </c>
      <c r="AD487" s="14" t="n">
        <v>46288.771875</v>
      </c>
    </row>
    <row r="488" customFormat="false" ht="15" hidden="false" customHeight="false" outlineLevel="0" collapsed="false">
      <c r="A488" s="5" t="s">
        <v>1591</v>
      </c>
      <c r="B488" s="5" t="s">
        <v>1592</v>
      </c>
      <c r="C488" s="5" t="s">
        <v>55</v>
      </c>
      <c r="D488" s="5" t="s">
        <v>56</v>
      </c>
      <c r="E488" s="5" t="s">
        <v>160</v>
      </c>
      <c r="F488" s="5" t="s">
        <v>161</v>
      </c>
      <c r="G488" s="5" t="s">
        <v>59</v>
      </c>
      <c r="H488" s="5" t="s">
        <v>60</v>
      </c>
      <c r="I488" s="6" t="n">
        <v>1</v>
      </c>
      <c r="J488" s="7" t="n">
        <f aca="false">IF(I488="","",1/I488)</f>
        <v>1</v>
      </c>
      <c r="K488" s="8" t="n">
        <v>57.8</v>
      </c>
      <c r="L488" s="9" t="n">
        <v>2.18</v>
      </c>
      <c r="M488" s="10" t="n">
        <v>0.0392</v>
      </c>
      <c r="N488" s="8" t="n">
        <v>57.8</v>
      </c>
      <c r="O488" s="8" t="n">
        <v>57.8</v>
      </c>
      <c r="P488" s="8" t="n">
        <v>57.8</v>
      </c>
      <c r="Q488" s="8" t="n">
        <v>57.8</v>
      </c>
      <c r="R488" s="11" t="n">
        <v>210</v>
      </c>
      <c r="S488" s="11" t="n">
        <f aca="false">K488*R488</f>
        <v>12138</v>
      </c>
      <c r="T488" s="8" t="n">
        <v>31.25</v>
      </c>
      <c r="U488" s="8" t="n">
        <v>63.78</v>
      </c>
      <c r="V488" s="12" t="n">
        <f aca="false">IF(U488-T488=0,"",(K488-T488)/(U488-T488))</f>
        <v>0.816169689517369</v>
      </c>
      <c r="W488" s="13" t="n">
        <f aca="false">IF(U488=0,"",K488/U488-1)</f>
        <v>-0.0937597993101287</v>
      </c>
      <c r="X488" s="11" t="n">
        <v>3620</v>
      </c>
      <c r="Y488" s="5" t="s">
        <v>160</v>
      </c>
      <c r="Z488" s="5" t="s">
        <v>162</v>
      </c>
      <c r="AA488" s="5" t="s">
        <v>161</v>
      </c>
      <c r="AB488" s="5"/>
      <c r="AC488" s="5" t="s">
        <v>1593</v>
      </c>
      <c r="AD488" s="14" t="n">
        <v>46288.771875</v>
      </c>
    </row>
    <row r="489" customFormat="false" ht="15" hidden="false" customHeight="false" outlineLevel="0" collapsed="false">
      <c r="A489" s="5" t="s">
        <v>1594</v>
      </c>
      <c r="B489" s="5" t="s">
        <v>1595</v>
      </c>
      <c r="C489" s="5" t="s">
        <v>55</v>
      </c>
      <c r="D489" s="5" t="s">
        <v>56</v>
      </c>
      <c r="E489" s="5" t="s">
        <v>105</v>
      </c>
      <c r="F489" s="5" t="s">
        <v>106</v>
      </c>
      <c r="G489" s="5" t="s">
        <v>59</v>
      </c>
      <c r="H489" s="5" t="s">
        <v>60</v>
      </c>
      <c r="I489" s="6" t="n">
        <v>1</v>
      </c>
      <c r="J489" s="7" t="n">
        <f aca="false">IF(I489="","",1/I489)</f>
        <v>1</v>
      </c>
      <c r="K489" s="8" t="n">
        <v>6.67</v>
      </c>
      <c r="L489" s="9" t="n">
        <v>0.2</v>
      </c>
      <c r="M489" s="10" t="n">
        <v>0.0309</v>
      </c>
      <c r="N489" s="8" t="n">
        <v>6.54</v>
      </c>
      <c r="O489" s="8" t="n">
        <v>6.51</v>
      </c>
      <c r="P489" s="8" t="n">
        <v>6.81</v>
      </c>
      <c r="Q489" s="8" t="n">
        <v>6.67</v>
      </c>
      <c r="R489" s="11" t="n">
        <v>1946</v>
      </c>
      <c r="S489" s="11" t="n">
        <f aca="false">K489*R489</f>
        <v>12979.82</v>
      </c>
      <c r="T489" s="8" t="n">
        <v>2.95</v>
      </c>
      <c r="U489" s="8" t="n">
        <v>14.55</v>
      </c>
      <c r="V489" s="12" t="n">
        <f aca="false">IF(U489-T489=0,"",(K489-T489)/(U489-T489))</f>
        <v>0.320689655172414</v>
      </c>
      <c r="W489" s="13" t="n">
        <f aca="false">IF(U489=0,"",K489/U489-1)</f>
        <v>-0.541580756013746</v>
      </c>
      <c r="X489" s="11" t="n">
        <v>1216</v>
      </c>
      <c r="Y489" s="5" t="s">
        <v>105</v>
      </c>
      <c r="Z489" s="5" t="s">
        <v>107</v>
      </c>
      <c r="AA489" s="5" t="s">
        <v>106</v>
      </c>
      <c r="AB489" s="5"/>
      <c r="AC489" s="5" t="s">
        <v>1596</v>
      </c>
      <c r="AD489" s="14" t="n">
        <v>46288.771875</v>
      </c>
    </row>
    <row r="490" customFormat="false" ht="15" hidden="false" customHeight="false" outlineLevel="0" collapsed="false">
      <c r="A490" s="5" t="s">
        <v>1597</v>
      </c>
      <c r="B490" s="5" t="s">
        <v>1598</v>
      </c>
      <c r="C490" s="5" t="s">
        <v>55</v>
      </c>
      <c r="D490" s="5" t="s">
        <v>56</v>
      </c>
      <c r="E490" s="5" t="s">
        <v>57</v>
      </c>
      <c r="F490" s="5" t="s">
        <v>58</v>
      </c>
      <c r="G490" s="5" t="s">
        <v>59</v>
      </c>
      <c r="H490" s="5"/>
      <c r="I490" s="6"/>
      <c r="J490" s="7" t="str">
        <f aca="false">IF(I490="","",1/I490)</f>
        <v/>
      </c>
      <c r="K490" s="8" t="n">
        <v>109.45</v>
      </c>
      <c r="L490" s="9" t="n">
        <v>1.21</v>
      </c>
      <c r="M490" s="10" t="n">
        <v>0.0112</v>
      </c>
      <c r="N490" s="8" t="n">
        <v>108.07</v>
      </c>
      <c r="O490" s="8" t="n">
        <v>108.07</v>
      </c>
      <c r="P490" s="8" t="n">
        <v>109.45</v>
      </c>
      <c r="Q490" s="8" t="n">
        <v>109.45</v>
      </c>
      <c r="R490" s="11" t="n">
        <v>16</v>
      </c>
      <c r="S490" s="11" t="n">
        <f aca="false">K490*R490</f>
        <v>1751.2</v>
      </c>
      <c r="T490" s="8" t="n">
        <v>90.17</v>
      </c>
      <c r="U490" s="8" t="n">
        <v>152.15</v>
      </c>
      <c r="V490" s="12" t="n">
        <f aca="false">IF(U490-T490=0,"",(K490-T490)/(U490-T490))</f>
        <v>0.31106808647951</v>
      </c>
      <c r="W490" s="13" t="n">
        <f aca="false">IF(U490=0,"",K490/U490-1)</f>
        <v>-0.280644101215905</v>
      </c>
      <c r="X490" s="11" t="n">
        <v>38579</v>
      </c>
      <c r="Y490" s="5" t="s">
        <v>57</v>
      </c>
      <c r="Z490" s="5" t="s">
        <v>61</v>
      </c>
      <c r="AA490" s="5" t="s">
        <v>58</v>
      </c>
      <c r="AB490" s="5" t="s">
        <v>111</v>
      </c>
      <c r="AC490" s="5" t="s">
        <v>1599</v>
      </c>
      <c r="AD490" s="14" t="n">
        <v>46288.771875</v>
      </c>
    </row>
    <row r="491" customFormat="false" ht="15" hidden="false" customHeight="false" outlineLevel="0" collapsed="false">
      <c r="A491" s="5" t="s">
        <v>1600</v>
      </c>
      <c r="B491" s="5" t="s">
        <v>1601</v>
      </c>
      <c r="C491" s="5" t="s">
        <v>55</v>
      </c>
      <c r="D491" s="5" t="s">
        <v>1434</v>
      </c>
      <c r="E491" s="5" t="s">
        <v>312</v>
      </c>
      <c r="F491" s="5" t="s">
        <v>313</v>
      </c>
      <c r="G491" s="5" t="s">
        <v>1438</v>
      </c>
      <c r="H491" s="5" t="s">
        <v>60</v>
      </c>
      <c r="I491" s="6" t="n">
        <v>1</v>
      </c>
      <c r="J491" s="7" t="n">
        <f aca="false">IF(I491="","",1/I491)</f>
        <v>1</v>
      </c>
      <c r="K491" s="8" t="n">
        <v>12.28</v>
      </c>
      <c r="L491" s="9" t="n">
        <v>0</v>
      </c>
      <c r="M491" s="10" t="n">
        <v>0</v>
      </c>
      <c r="N491" s="8" t="n">
        <v>12.87</v>
      </c>
      <c r="O491" s="8" t="n">
        <v>12.28</v>
      </c>
      <c r="P491" s="8" t="n">
        <v>12.87</v>
      </c>
      <c r="Q491" s="8" t="n">
        <v>12.28</v>
      </c>
      <c r="R491" s="11" t="n">
        <v>13</v>
      </c>
      <c r="S491" s="11" t="n">
        <f aca="false">K491*R491</f>
        <v>159.64</v>
      </c>
      <c r="T491" s="8" t="n">
        <v>10</v>
      </c>
      <c r="U491" s="8" t="n">
        <v>20.9</v>
      </c>
      <c r="V491" s="12" t="n">
        <f aca="false">IF(U491-T491=0,"",(K491-T491)/(U491-T491))</f>
        <v>0.209174311926605</v>
      </c>
      <c r="W491" s="13" t="n">
        <f aca="false">IF(U491=0,"",K491/U491-1)</f>
        <v>-0.41244019138756</v>
      </c>
      <c r="X491" s="11" t="n">
        <v>777</v>
      </c>
      <c r="Y491" s="5" t="s">
        <v>312</v>
      </c>
      <c r="Z491" s="5" t="s">
        <v>314</v>
      </c>
      <c r="AA491" s="5" t="s">
        <v>313</v>
      </c>
      <c r="AB491" s="5"/>
      <c r="AC491" s="5" t="s">
        <v>1602</v>
      </c>
      <c r="AD491" s="14" t="n">
        <v>46288.771875</v>
      </c>
    </row>
    <row r="492" customFormat="false" ht="15" hidden="false" customHeight="false" outlineLevel="0" collapsed="false">
      <c r="A492" s="5" t="s">
        <v>1603</v>
      </c>
      <c r="B492" s="5" t="s">
        <v>1604</v>
      </c>
      <c r="C492" s="5" t="s">
        <v>55</v>
      </c>
      <c r="D492" s="5" t="s">
        <v>56</v>
      </c>
      <c r="E492" s="5" t="s">
        <v>71</v>
      </c>
      <c r="F492" s="5" t="s">
        <v>72</v>
      </c>
      <c r="G492" s="5" t="s">
        <v>59</v>
      </c>
      <c r="H492" s="5" t="s">
        <v>60</v>
      </c>
      <c r="I492" s="6" t="n">
        <v>0.03333333</v>
      </c>
      <c r="J492" s="7" t="n">
        <f aca="false">IF(I492="","",1/I492)</f>
        <v>30.0000030000003</v>
      </c>
      <c r="K492" s="8" t="n">
        <v>163</v>
      </c>
      <c r="L492" s="9" t="n">
        <v>1.78</v>
      </c>
      <c r="M492" s="10" t="n">
        <v>0.011</v>
      </c>
      <c r="N492" s="8" t="n">
        <v>160.8</v>
      </c>
      <c r="O492" s="8" t="n">
        <v>159.97</v>
      </c>
      <c r="P492" s="8" t="n">
        <v>163.98</v>
      </c>
      <c r="Q492" s="8" t="n">
        <v>161.56</v>
      </c>
      <c r="R492" s="11" t="n">
        <v>9267</v>
      </c>
      <c r="S492" s="11" t="n">
        <f aca="false">K492*R492</f>
        <v>1510521</v>
      </c>
      <c r="T492" s="8" t="n">
        <v>132.25</v>
      </c>
      <c r="U492" s="8" t="n">
        <v>196.06</v>
      </c>
      <c r="V492" s="12" t="n">
        <f aca="false">IF(U492-T492=0,"",(K492-T492)/(U492-T492))</f>
        <v>0.481899388810531</v>
      </c>
      <c r="W492" s="13" t="n">
        <f aca="false">IF(U492=0,"",K492/U492-1)</f>
        <v>-0.168621850453943</v>
      </c>
      <c r="X492" s="11" t="n">
        <v>1414864</v>
      </c>
      <c r="Y492" s="5" t="s">
        <v>71</v>
      </c>
      <c r="Z492" s="5" t="s">
        <v>73</v>
      </c>
      <c r="AA492" s="5" t="s">
        <v>72</v>
      </c>
      <c r="AB492" s="5"/>
      <c r="AC492" s="5" t="s">
        <v>1605</v>
      </c>
      <c r="AD492" s="14" t="n">
        <v>46288.771875</v>
      </c>
    </row>
    <row r="493" customFormat="false" ht="15" hidden="false" customHeight="false" outlineLevel="0" collapsed="false">
      <c r="A493" s="5" t="s">
        <v>1606</v>
      </c>
      <c r="B493" s="5" t="s">
        <v>1607</v>
      </c>
      <c r="C493" s="5" t="s">
        <v>55</v>
      </c>
      <c r="D493" s="5" t="s">
        <v>56</v>
      </c>
      <c r="E493" s="5" t="s">
        <v>242</v>
      </c>
      <c r="F493" s="5" t="s">
        <v>243</v>
      </c>
      <c r="G493" s="5" t="s">
        <v>59</v>
      </c>
      <c r="H493" s="5" t="s">
        <v>60</v>
      </c>
      <c r="I493" s="6" t="n">
        <v>0.05</v>
      </c>
      <c r="J493" s="7" t="n">
        <f aca="false">IF(I493="","",1/I493)</f>
        <v>20</v>
      </c>
      <c r="K493" s="8" t="n">
        <v>114.42</v>
      </c>
      <c r="L493" s="9" t="n">
        <v>1.54</v>
      </c>
      <c r="M493" s="10" t="n">
        <v>0.0136</v>
      </c>
      <c r="N493" s="8" t="n">
        <v>114.5</v>
      </c>
      <c r="O493" s="8" t="n">
        <v>114.42</v>
      </c>
      <c r="P493" s="8" t="n">
        <v>114.5</v>
      </c>
      <c r="Q493" s="8" t="n">
        <v>114.42</v>
      </c>
      <c r="R493" s="11" t="n">
        <v>9</v>
      </c>
      <c r="S493" s="11" t="n">
        <f aca="false">K493*R493</f>
        <v>1029.78</v>
      </c>
      <c r="T493" s="8" t="n">
        <v>91.8</v>
      </c>
      <c r="U493" s="8" t="n">
        <v>143.06</v>
      </c>
      <c r="V493" s="12" t="n">
        <f aca="false">IF(U493-T493=0,"",(K493-T493)/(U493-T493))</f>
        <v>0.441279750292626</v>
      </c>
      <c r="W493" s="13" t="n">
        <f aca="false">IF(U493=0,"",K493/U493-1)</f>
        <v>-0.200195722074654</v>
      </c>
      <c r="X493" s="11" t="n">
        <v>485433</v>
      </c>
      <c r="Y493" s="5" t="s">
        <v>242</v>
      </c>
      <c r="Z493" s="5" t="s">
        <v>244</v>
      </c>
      <c r="AA493" s="5" t="s">
        <v>243</v>
      </c>
      <c r="AB493" s="5"/>
      <c r="AC493" s="5" t="s">
        <v>1608</v>
      </c>
      <c r="AD493" s="14" t="n">
        <v>46288.771875</v>
      </c>
    </row>
    <row r="494" customFormat="false" ht="15" hidden="false" customHeight="false" outlineLevel="0" collapsed="false">
      <c r="A494" s="5" t="s">
        <v>1609</v>
      </c>
      <c r="B494" s="5" t="s">
        <v>1610</v>
      </c>
      <c r="C494" s="5" t="s">
        <v>55</v>
      </c>
      <c r="D494" s="5" t="s">
        <v>56</v>
      </c>
      <c r="E494" s="5" t="s">
        <v>71</v>
      </c>
      <c r="F494" s="5" t="s">
        <v>72</v>
      </c>
      <c r="G494" s="5" t="s">
        <v>59</v>
      </c>
      <c r="H494" s="5" t="s">
        <v>86</v>
      </c>
      <c r="I494" s="6" t="n">
        <v>0.2</v>
      </c>
      <c r="J494" s="7" t="n">
        <f aca="false">IF(I494="","",1/I494)</f>
        <v>5</v>
      </c>
      <c r="K494" s="8" t="n">
        <v>23.97</v>
      </c>
      <c r="L494" s="9" t="n">
        <v>0.36</v>
      </c>
      <c r="M494" s="10" t="n">
        <v>0.0152</v>
      </c>
      <c r="N494" s="8" t="n">
        <v>23.93</v>
      </c>
      <c r="O494" s="8" t="n">
        <v>23.93</v>
      </c>
      <c r="P494" s="8" t="n">
        <v>23.97</v>
      </c>
      <c r="Q494" s="8" t="n">
        <v>23.97</v>
      </c>
      <c r="R494" s="11" t="n">
        <v>91</v>
      </c>
      <c r="S494" s="11" t="n">
        <f aca="false">K494*R494</f>
        <v>2181.27</v>
      </c>
      <c r="T494" s="8" t="n">
        <v>22.19</v>
      </c>
      <c r="U494" s="8" t="n">
        <v>44</v>
      </c>
      <c r="V494" s="12" t="n">
        <f aca="false">IF(U494-T494=0,"",(K494-T494)/(U494-T494))</f>
        <v>0.0816139385602933</v>
      </c>
      <c r="W494" s="13" t="n">
        <f aca="false">IF(U494=0,"",K494/U494-1)</f>
        <v>-0.455227272727273</v>
      </c>
      <c r="X494" s="11" t="n">
        <v>609702</v>
      </c>
      <c r="Y494" s="5" t="s">
        <v>71</v>
      </c>
      <c r="Z494" s="5" t="s">
        <v>73</v>
      </c>
      <c r="AA494" s="5" t="s">
        <v>72</v>
      </c>
      <c r="AB494" s="5"/>
      <c r="AC494" s="5" t="s">
        <v>1611</v>
      </c>
      <c r="AD494" s="14" t="n">
        <v>46288.771875</v>
      </c>
    </row>
    <row r="495" customFormat="false" ht="15" hidden="false" customHeight="false" outlineLevel="0" collapsed="false">
      <c r="A495" s="5" t="s">
        <v>1612</v>
      </c>
      <c r="B495" s="5" t="s">
        <v>1613</v>
      </c>
      <c r="C495" s="5" t="s">
        <v>55</v>
      </c>
      <c r="D495" s="5" t="s">
        <v>56</v>
      </c>
      <c r="E495" s="5" t="s">
        <v>77</v>
      </c>
      <c r="F495" s="5" t="s">
        <v>78</v>
      </c>
      <c r="G495" s="5" t="s">
        <v>59</v>
      </c>
      <c r="H495" s="5" t="s">
        <v>60</v>
      </c>
      <c r="I495" s="6" t="n">
        <v>0.1</v>
      </c>
      <c r="J495" s="7" t="n">
        <f aca="false">IF(I495="","",1/I495)</f>
        <v>10</v>
      </c>
      <c r="K495" s="8" t="n">
        <v>159.96</v>
      </c>
      <c r="L495" s="9" t="n">
        <v>4.72</v>
      </c>
      <c r="M495" s="10" t="n">
        <v>0.0304</v>
      </c>
      <c r="N495" s="8" t="n">
        <v>160.9</v>
      </c>
      <c r="O495" s="8" t="n">
        <v>159.96</v>
      </c>
      <c r="P495" s="8" t="n">
        <v>160.9</v>
      </c>
      <c r="Q495" s="8" t="n">
        <v>159.96</v>
      </c>
      <c r="R495" s="11" t="n">
        <v>3</v>
      </c>
      <c r="S495" s="11" t="n">
        <f aca="false">K495*R495</f>
        <v>479.88</v>
      </c>
      <c r="T495" s="8" t="n">
        <v>128.35</v>
      </c>
      <c r="U495" s="8" t="n">
        <v>196.45</v>
      </c>
      <c r="V495" s="12" t="n">
        <f aca="false">IF(U495-T495=0,"",(K495-T495)/(U495-T495))</f>
        <v>0.46417033773862</v>
      </c>
      <c r="W495" s="13" t="n">
        <f aca="false">IF(U495=0,"",K495/U495-1)</f>
        <v>-0.185747009417154</v>
      </c>
      <c r="X495" s="11" t="n">
        <v>186154</v>
      </c>
      <c r="Y495" s="5" t="s">
        <v>77</v>
      </c>
      <c r="Z495" s="5" t="s">
        <v>79</v>
      </c>
      <c r="AA495" s="5" t="s">
        <v>78</v>
      </c>
      <c r="AB495" s="5"/>
      <c r="AC495" s="5" t="s">
        <v>1614</v>
      </c>
      <c r="AD495" s="14" t="n">
        <v>46288.771875</v>
      </c>
    </row>
    <row r="496" customFormat="false" ht="15" hidden="false" customHeight="false" outlineLevel="0" collapsed="false">
      <c r="A496" s="5" t="s">
        <v>1615</v>
      </c>
      <c r="B496" s="5" t="s">
        <v>1616</v>
      </c>
      <c r="C496" s="5" t="s">
        <v>55</v>
      </c>
      <c r="D496" s="5" t="s">
        <v>56</v>
      </c>
      <c r="E496" s="5" t="s">
        <v>160</v>
      </c>
      <c r="F496" s="5" t="s">
        <v>161</v>
      </c>
      <c r="G496" s="5" t="s">
        <v>59</v>
      </c>
      <c r="H496" s="5" t="s">
        <v>60</v>
      </c>
      <c r="I496" s="6" t="n">
        <v>1</v>
      </c>
      <c r="J496" s="7" t="n">
        <f aca="false">IF(I496="","",1/I496)</f>
        <v>1</v>
      </c>
      <c r="K496" s="8" t="n">
        <v>554</v>
      </c>
      <c r="L496" s="9" t="n">
        <v>5.65</v>
      </c>
      <c r="M496" s="10" t="n">
        <v>0.0103</v>
      </c>
      <c r="N496" s="8" t="n">
        <v>561.1</v>
      </c>
      <c r="O496" s="8" t="n">
        <v>554</v>
      </c>
      <c r="P496" s="8" t="n">
        <v>561.1</v>
      </c>
      <c r="Q496" s="8" t="n">
        <v>554</v>
      </c>
      <c r="R496" s="11" t="n">
        <v>200</v>
      </c>
      <c r="S496" s="11" t="n">
        <f aca="false">K496*R496</f>
        <v>110800</v>
      </c>
      <c r="T496" s="8" t="n">
        <v>254.73</v>
      </c>
      <c r="U496" s="8" t="n">
        <v>561.1</v>
      </c>
      <c r="V496" s="12" t="n">
        <f aca="false">IF(U496-T496=0,"",(K496-T496)/(U496-T496))</f>
        <v>0.976825407187388</v>
      </c>
      <c r="W496" s="13" t="n">
        <f aca="false">IF(U496=0,"",K496/U496-1)</f>
        <v>-0.0126537159151667</v>
      </c>
      <c r="X496" s="11" t="n">
        <v>97071</v>
      </c>
      <c r="Y496" s="5" t="s">
        <v>160</v>
      </c>
      <c r="Z496" s="5" t="s">
        <v>162</v>
      </c>
      <c r="AA496" s="5" t="s">
        <v>161</v>
      </c>
      <c r="AB496" s="5"/>
      <c r="AC496" s="5" t="s">
        <v>1617</v>
      </c>
      <c r="AD496" s="14" t="n">
        <v>46288.771875</v>
      </c>
    </row>
    <row r="497" customFormat="false" ht="15" hidden="false" customHeight="false" outlineLevel="0" collapsed="false">
      <c r="A497" s="5" t="s">
        <v>1618</v>
      </c>
      <c r="B497" s="5" t="s">
        <v>1619</v>
      </c>
      <c r="C497" s="5" t="s">
        <v>55</v>
      </c>
      <c r="D497" s="5" t="s">
        <v>56</v>
      </c>
      <c r="E497" s="5" t="s">
        <v>71</v>
      </c>
      <c r="F497" s="5" t="s">
        <v>72</v>
      </c>
      <c r="G497" s="5" t="s">
        <v>59</v>
      </c>
      <c r="H497" s="5" t="s">
        <v>60</v>
      </c>
      <c r="I497" s="6" t="n">
        <v>0.125</v>
      </c>
      <c r="J497" s="7" t="n">
        <f aca="false">IF(I497="","",1/I497)</f>
        <v>8</v>
      </c>
      <c r="K497" s="8" t="n">
        <v>42.12</v>
      </c>
      <c r="L497" s="9" t="n">
        <v>0.24</v>
      </c>
      <c r="M497" s="10" t="n">
        <v>0.0057</v>
      </c>
      <c r="N497" s="8" t="n">
        <v>42.12</v>
      </c>
      <c r="O497" s="8" t="n">
        <v>42.12</v>
      </c>
      <c r="P497" s="8" t="n">
        <v>42.12</v>
      </c>
      <c r="Q497" s="8" t="n">
        <v>42.12</v>
      </c>
      <c r="R497" s="11" t="n">
        <v>1</v>
      </c>
      <c r="S497" s="11" t="n">
        <f aca="false">K497*R497</f>
        <v>42.12</v>
      </c>
      <c r="T497" s="8" t="n">
        <v>39.36</v>
      </c>
      <c r="U497" s="8" t="n">
        <v>57.25</v>
      </c>
      <c r="V497" s="12" t="n">
        <f aca="false">IF(U497-T497=0,"",(K497-T497)/(U497-T497))</f>
        <v>0.154276131917272</v>
      </c>
      <c r="W497" s="13" t="n">
        <f aca="false">IF(U497=0,"",K497/U497-1)</f>
        <v>-0.264279475982533</v>
      </c>
      <c r="X497" s="11" t="n">
        <v>20199</v>
      </c>
      <c r="Y497" s="5" t="s">
        <v>71</v>
      </c>
      <c r="Z497" s="5" t="s">
        <v>73</v>
      </c>
      <c r="AA497" s="5" t="s">
        <v>72</v>
      </c>
      <c r="AB497" s="5"/>
      <c r="AC497" s="5" t="s">
        <v>1620</v>
      </c>
      <c r="AD497" s="14" t="n">
        <v>46288.771875</v>
      </c>
    </row>
    <row r="498" customFormat="false" ht="15" hidden="false" customHeight="false" outlineLevel="0" collapsed="false">
      <c r="A498" s="5" t="s">
        <v>1621</v>
      </c>
      <c r="B498" s="5" t="s">
        <v>1622</v>
      </c>
      <c r="C498" s="5" t="s">
        <v>55</v>
      </c>
      <c r="D498" s="5" t="s">
        <v>56</v>
      </c>
      <c r="E498" s="5" t="s">
        <v>71</v>
      </c>
      <c r="F498" s="5" t="s">
        <v>72</v>
      </c>
      <c r="G498" s="5" t="s">
        <v>59</v>
      </c>
      <c r="H498" s="5" t="s">
        <v>60</v>
      </c>
      <c r="I498" s="6" t="n">
        <v>0.083333</v>
      </c>
      <c r="J498" s="7" t="n">
        <f aca="false">IF(I498="","",1/I498)</f>
        <v>12.000048000192</v>
      </c>
      <c r="K498" s="8" t="n">
        <v>60</v>
      </c>
      <c r="L498" s="9" t="n">
        <v>0.44</v>
      </c>
      <c r="M498" s="10" t="n">
        <v>0.0074</v>
      </c>
      <c r="N498" s="8" t="n">
        <v>60</v>
      </c>
      <c r="O498" s="8" t="n">
        <v>60</v>
      </c>
      <c r="P498" s="8" t="n">
        <v>60</v>
      </c>
      <c r="Q498" s="8" t="n">
        <v>60</v>
      </c>
      <c r="R498" s="11" t="n">
        <v>1</v>
      </c>
      <c r="S498" s="11" t="n">
        <f aca="false">K498*R498</f>
        <v>60</v>
      </c>
      <c r="T498" s="8" t="n">
        <v>58.79</v>
      </c>
      <c r="U498" s="8" t="n">
        <v>62.4999975</v>
      </c>
      <c r="V498" s="12" t="n">
        <f aca="false">IF(U498-T498=0,"",(K498-T498)/(U498-T498))</f>
        <v>0.326145772335426</v>
      </c>
      <c r="W498" s="13" t="n">
        <f aca="false">IF(U498=0,"",K498/U498-1)</f>
        <v>-0.0399999615999984</v>
      </c>
      <c r="X498" s="11" t="n">
        <v>178451</v>
      </c>
      <c r="Y498" s="5" t="s">
        <v>71</v>
      </c>
      <c r="Z498" s="5" t="s">
        <v>73</v>
      </c>
      <c r="AA498" s="5" t="s">
        <v>72</v>
      </c>
      <c r="AB498" s="5"/>
      <c r="AC498" s="5" t="s">
        <v>1623</v>
      </c>
      <c r="AD498" s="14" t="n">
        <v>46288.771875</v>
      </c>
    </row>
    <row r="499" customFormat="false" ht="15" hidden="false" customHeight="false" outlineLevel="0" collapsed="false">
      <c r="A499" s="5" t="s">
        <v>1624</v>
      </c>
      <c r="B499" s="5" t="s">
        <v>1625</v>
      </c>
      <c r="C499" s="5" t="s">
        <v>55</v>
      </c>
      <c r="D499" s="5" t="s">
        <v>56</v>
      </c>
      <c r="E499" s="5" t="s">
        <v>182</v>
      </c>
      <c r="F499" s="5" t="s">
        <v>183</v>
      </c>
      <c r="G499" s="5" t="s">
        <v>59</v>
      </c>
      <c r="H499" s="5" t="s">
        <v>60</v>
      </c>
      <c r="I499" s="6" t="n">
        <v>0.04166667</v>
      </c>
      <c r="J499" s="7" t="n">
        <f aca="false">IF(I499="","",1/I499)</f>
        <v>23.9999980800002</v>
      </c>
      <c r="K499" s="8" t="n">
        <v>65.86</v>
      </c>
      <c r="L499" s="9" t="n">
        <v>-0.22</v>
      </c>
      <c r="M499" s="10" t="n">
        <v>-0.0033</v>
      </c>
      <c r="N499" s="8" t="n">
        <v>65.86</v>
      </c>
      <c r="O499" s="8" t="n">
        <v>65.86</v>
      </c>
      <c r="P499" s="8" t="n">
        <v>65.86</v>
      </c>
      <c r="Q499" s="8" t="n">
        <v>65.86</v>
      </c>
      <c r="R499" s="11" t="n">
        <v>1</v>
      </c>
      <c r="S499" s="11" t="n">
        <f aca="false">K499*R499</f>
        <v>65.86</v>
      </c>
      <c r="T499" s="8" t="n">
        <v>56.82</v>
      </c>
      <c r="U499" s="8" t="n">
        <v>75.55</v>
      </c>
      <c r="V499" s="12" t="n">
        <f aca="false">IF(U499-T499=0,"",(K499-T499)/(U499-T499))</f>
        <v>0.482648158035238</v>
      </c>
      <c r="W499" s="13" t="n">
        <f aca="false">IF(U499=0,"",K499/U499-1)</f>
        <v>-0.128259430840503</v>
      </c>
      <c r="X499" s="11" t="n">
        <v>355266</v>
      </c>
      <c r="Y499" s="5" t="s">
        <v>182</v>
      </c>
      <c r="Z499" s="5" t="s">
        <v>184</v>
      </c>
      <c r="AA499" s="5" t="s">
        <v>183</v>
      </c>
      <c r="AB499" s="5"/>
      <c r="AC499" s="5" t="s">
        <v>1626</v>
      </c>
      <c r="AD499" s="14" t="n">
        <v>46288.771875</v>
      </c>
    </row>
    <row r="500" customFormat="false" ht="15" hidden="false" customHeight="false" outlineLevel="0" collapsed="false">
      <c r="A500" s="5" t="s">
        <v>1627</v>
      </c>
      <c r="B500" s="5" t="s">
        <v>1628</v>
      </c>
      <c r="C500" s="5" t="s">
        <v>55</v>
      </c>
      <c r="D500" s="5" t="s">
        <v>56</v>
      </c>
      <c r="E500" s="5" t="s">
        <v>105</v>
      </c>
      <c r="F500" s="5" t="s">
        <v>106</v>
      </c>
      <c r="G500" s="5" t="s">
        <v>59</v>
      </c>
      <c r="H500" s="5" t="s">
        <v>60</v>
      </c>
      <c r="I500" s="6" t="n">
        <v>1</v>
      </c>
      <c r="J500" s="7" t="n">
        <f aca="false">IF(I500="","",1/I500)</f>
        <v>1</v>
      </c>
      <c r="K500" s="8" t="n">
        <v>134.29</v>
      </c>
      <c r="L500" s="9" t="n">
        <v>1.29</v>
      </c>
      <c r="M500" s="10" t="n">
        <v>0.0097</v>
      </c>
      <c r="N500" s="8" t="n">
        <v>131.7</v>
      </c>
      <c r="O500" s="8" t="n">
        <v>129.08</v>
      </c>
      <c r="P500" s="8" t="n">
        <v>134.29</v>
      </c>
      <c r="Q500" s="8" t="n">
        <v>134.29</v>
      </c>
      <c r="R500" s="11" t="n">
        <v>68</v>
      </c>
      <c r="S500" s="11" t="n">
        <f aca="false">K500*R500</f>
        <v>9131.72</v>
      </c>
      <c r="T500" s="8" t="n">
        <v>90.25</v>
      </c>
      <c r="U500" s="8" t="n">
        <v>156.3</v>
      </c>
      <c r="V500" s="12" t="n">
        <f aca="false">IF(U500-T500=0,"",(K500-T500)/(U500-T500))</f>
        <v>0.666767600302801</v>
      </c>
      <c r="W500" s="13" t="n">
        <f aca="false">IF(U500=0,"",K500/U500-1)</f>
        <v>-0.140818937939859</v>
      </c>
      <c r="X500" s="11" t="n">
        <v>13864</v>
      </c>
      <c r="Y500" s="5" t="s">
        <v>105</v>
      </c>
      <c r="Z500" s="5" t="s">
        <v>107</v>
      </c>
      <c r="AA500" s="5" t="s">
        <v>106</v>
      </c>
      <c r="AB500" s="5"/>
      <c r="AC500" s="5" t="s">
        <v>1629</v>
      </c>
      <c r="AD500" s="14" t="n">
        <v>46288.771875</v>
      </c>
    </row>
    <row r="501" customFormat="false" ht="15" hidden="false" customHeight="false" outlineLevel="0" collapsed="false">
      <c r="A501" s="5" t="s">
        <v>1630</v>
      </c>
      <c r="B501" s="5" t="s">
        <v>1631</v>
      </c>
      <c r="C501" s="5" t="s">
        <v>55</v>
      </c>
      <c r="D501" s="5" t="s">
        <v>56</v>
      </c>
      <c r="E501" s="5" t="s">
        <v>77</v>
      </c>
      <c r="F501" s="5" t="s">
        <v>78</v>
      </c>
      <c r="G501" s="5" t="s">
        <v>59</v>
      </c>
      <c r="H501" s="5" t="s">
        <v>60</v>
      </c>
      <c r="I501" s="6" t="n">
        <v>1</v>
      </c>
      <c r="J501" s="7" t="n">
        <f aca="false">IF(I501="","",1/I501)</f>
        <v>1</v>
      </c>
      <c r="K501" s="8" t="n">
        <v>323.32</v>
      </c>
      <c r="L501" s="9" t="n">
        <v>11</v>
      </c>
      <c r="M501" s="10" t="n">
        <v>0.0352</v>
      </c>
      <c r="N501" s="8" t="n">
        <v>314.82</v>
      </c>
      <c r="O501" s="8" t="n">
        <v>314.82</v>
      </c>
      <c r="P501" s="8" t="n">
        <v>325</v>
      </c>
      <c r="Q501" s="8" t="n">
        <v>323.32</v>
      </c>
      <c r="R501" s="11" t="n">
        <v>378</v>
      </c>
      <c r="S501" s="11" t="n">
        <f aca="false">K501*R501</f>
        <v>122214.96</v>
      </c>
      <c r="T501" s="8" t="n">
        <v>103.84</v>
      </c>
      <c r="U501" s="8" t="n">
        <v>326.04</v>
      </c>
      <c r="V501" s="12" t="n">
        <f aca="false">IF(U501-T501=0,"",(K501-T501)/(U501-T501))</f>
        <v>0.987758775877588</v>
      </c>
      <c r="W501" s="13" t="n">
        <f aca="false">IF(U501=0,"",K501/U501-1)</f>
        <v>-0.00834253465832424</v>
      </c>
      <c r="X501" s="11" t="n">
        <v>414612</v>
      </c>
      <c r="Y501" s="5" t="s">
        <v>77</v>
      </c>
      <c r="Z501" s="5" t="s">
        <v>79</v>
      </c>
      <c r="AA501" s="5" t="s">
        <v>78</v>
      </c>
      <c r="AB501" s="5"/>
      <c r="AC501" s="5" t="s">
        <v>1632</v>
      </c>
      <c r="AD501" s="14" t="n">
        <v>46288.771875</v>
      </c>
    </row>
    <row r="502" customFormat="false" ht="15" hidden="false" customHeight="false" outlineLevel="0" collapsed="false">
      <c r="A502" s="5" t="s">
        <v>1633</v>
      </c>
      <c r="B502" s="5" t="s">
        <v>1634</v>
      </c>
      <c r="C502" s="5" t="s">
        <v>55</v>
      </c>
      <c r="D502" s="5" t="s">
        <v>56</v>
      </c>
      <c r="E502" s="5" t="s">
        <v>273</v>
      </c>
      <c r="F502" s="5" t="s">
        <v>274</v>
      </c>
      <c r="G502" s="5" t="s">
        <v>59</v>
      </c>
      <c r="H502" s="5" t="s">
        <v>60</v>
      </c>
      <c r="I502" s="6" t="n">
        <v>1</v>
      </c>
      <c r="J502" s="7" t="n">
        <f aca="false">IF(I502="","",1/I502)</f>
        <v>1</v>
      </c>
      <c r="K502" s="8" t="n">
        <v>103.3</v>
      </c>
      <c r="L502" s="9" t="n">
        <v>-1.7</v>
      </c>
      <c r="M502" s="10" t="n">
        <v>-0.0162</v>
      </c>
      <c r="N502" s="8" t="n">
        <v>105.85</v>
      </c>
      <c r="O502" s="8" t="n">
        <v>103.1</v>
      </c>
      <c r="P502" s="8" t="n">
        <v>105.85</v>
      </c>
      <c r="Q502" s="8" t="n">
        <v>103.3</v>
      </c>
      <c r="R502" s="11" t="n">
        <v>126</v>
      </c>
      <c r="S502" s="11" t="n">
        <f aca="false">K502*R502</f>
        <v>13015.8</v>
      </c>
      <c r="T502" s="8" t="n">
        <v>99.59</v>
      </c>
      <c r="U502" s="8" t="n">
        <v>132.86</v>
      </c>
      <c r="V502" s="12" t="n">
        <f aca="false">IF(U502-T502=0,"",(K502-T502)/(U502-T502))</f>
        <v>0.11151187255786</v>
      </c>
      <c r="W502" s="13" t="n">
        <f aca="false">IF(U502=0,"",K502/U502-1)</f>
        <v>-0.222489838928195</v>
      </c>
      <c r="X502" s="11" t="n">
        <v>57260</v>
      </c>
      <c r="Y502" s="5" t="s">
        <v>273</v>
      </c>
      <c r="Z502" s="5" t="s">
        <v>275</v>
      </c>
      <c r="AA502" s="5" t="s">
        <v>274</v>
      </c>
      <c r="AB502" s="5"/>
      <c r="AC502" s="5" t="s">
        <v>1635</v>
      </c>
      <c r="AD502" s="14" t="n">
        <v>46288.771875</v>
      </c>
    </row>
    <row r="503" customFormat="false" ht="15" hidden="false" customHeight="false" outlineLevel="0" collapsed="false">
      <c r="A503" s="5" t="s">
        <v>1636</v>
      </c>
      <c r="B503" s="5" t="s">
        <v>1637</v>
      </c>
      <c r="C503" s="5" t="s">
        <v>55</v>
      </c>
      <c r="D503" s="5" t="s">
        <v>56</v>
      </c>
      <c r="E503" s="5" t="s">
        <v>71</v>
      </c>
      <c r="F503" s="5" t="s">
        <v>72</v>
      </c>
      <c r="G503" s="5" t="s">
        <v>59</v>
      </c>
      <c r="H503" s="5" t="s">
        <v>86</v>
      </c>
      <c r="I503" s="6" t="n">
        <v>0.25</v>
      </c>
      <c r="J503" s="7" t="n">
        <f aca="false">IF(I503="","",1/I503)</f>
        <v>4</v>
      </c>
      <c r="K503" s="8" t="n">
        <v>129.64</v>
      </c>
      <c r="L503" s="9" t="n">
        <v>-0.38</v>
      </c>
      <c r="M503" s="10" t="n">
        <v>-0.0029</v>
      </c>
      <c r="N503" s="8" t="n">
        <v>131.33</v>
      </c>
      <c r="O503" s="8" t="n">
        <v>129.64</v>
      </c>
      <c r="P503" s="8" t="n">
        <v>131.33</v>
      </c>
      <c r="Q503" s="8" t="n">
        <v>129.64</v>
      </c>
      <c r="R503" s="11" t="n">
        <v>30</v>
      </c>
      <c r="S503" s="11" t="n">
        <f aca="false">K503*R503</f>
        <v>3889.2</v>
      </c>
      <c r="T503" s="8" t="n">
        <v>87.5</v>
      </c>
      <c r="U503" s="8" t="n">
        <v>138.18</v>
      </c>
      <c r="V503" s="12" t="n">
        <f aca="false">IF(U503-T503=0,"",(K503-T503)/(U503-T503))</f>
        <v>0.831491712707182</v>
      </c>
      <c r="W503" s="13" t="n">
        <f aca="false">IF(U503=0,"",K503/U503-1)</f>
        <v>-0.0618034447821684</v>
      </c>
      <c r="X503" s="11" t="n">
        <v>1766629</v>
      </c>
      <c r="Y503" s="5" t="s">
        <v>71</v>
      </c>
      <c r="Z503" s="5" t="s">
        <v>73</v>
      </c>
      <c r="AA503" s="5" t="s">
        <v>72</v>
      </c>
      <c r="AB503" s="5"/>
      <c r="AC503" s="5" t="s">
        <v>1638</v>
      </c>
      <c r="AD503" s="14" t="n">
        <v>46288.771875</v>
      </c>
    </row>
    <row r="504" customFormat="false" ht="15" hidden="false" customHeight="false" outlineLevel="0" collapsed="false">
      <c r="A504" s="5" t="s">
        <v>1639</v>
      </c>
      <c r="B504" s="5" t="s">
        <v>1640</v>
      </c>
      <c r="C504" s="5" t="s">
        <v>55</v>
      </c>
      <c r="D504" s="5" t="s">
        <v>56</v>
      </c>
      <c r="E504" s="5" t="s">
        <v>71</v>
      </c>
      <c r="F504" s="5" t="s">
        <v>72</v>
      </c>
      <c r="G504" s="5" t="s">
        <v>59</v>
      </c>
      <c r="H504" s="5" t="s">
        <v>60</v>
      </c>
      <c r="I504" s="6" t="n">
        <v>1</v>
      </c>
      <c r="J504" s="7" t="n">
        <f aca="false">IF(I504="","",1/I504)</f>
        <v>1</v>
      </c>
      <c r="K504" s="8" t="n">
        <v>113.74</v>
      </c>
      <c r="L504" s="9" t="n">
        <v>0.55</v>
      </c>
      <c r="M504" s="10" t="n">
        <v>0.0049</v>
      </c>
      <c r="N504" s="8" t="n">
        <v>113.27</v>
      </c>
      <c r="O504" s="8" t="n">
        <v>112.64</v>
      </c>
      <c r="P504" s="8" t="n">
        <v>115.17</v>
      </c>
      <c r="Q504" s="8" t="n">
        <v>113.74</v>
      </c>
      <c r="R504" s="11" t="n">
        <v>45</v>
      </c>
      <c r="S504" s="11" t="n">
        <f aca="false">K504*R504</f>
        <v>5118.3</v>
      </c>
      <c r="T504" s="8" t="n">
        <v>83.54</v>
      </c>
      <c r="U504" s="8" t="n">
        <v>133.12</v>
      </c>
      <c r="V504" s="12" t="n">
        <f aca="false">IF(U504-T504=0,"",(K504-T504)/(U504-T504))</f>
        <v>0.609116579265833</v>
      </c>
      <c r="W504" s="13" t="n">
        <f aca="false">IF(U504=0,"",K504/U504-1)</f>
        <v>-0.145582932692308</v>
      </c>
      <c r="X504" s="11" t="n">
        <v>78120</v>
      </c>
      <c r="Y504" s="5" t="s">
        <v>71</v>
      </c>
      <c r="Z504" s="5" t="s">
        <v>73</v>
      </c>
      <c r="AA504" s="5" t="s">
        <v>72</v>
      </c>
      <c r="AB504" s="5"/>
      <c r="AC504" s="5" t="s">
        <v>1641</v>
      </c>
      <c r="AD504" s="14" t="n">
        <v>46288.771875</v>
      </c>
    </row>
    <row r="505" customFormat="false" ht="15" hidden="false" customHeight="false" outlineLevel="0" collapsed="false">
      <c r="A505" s="5" t="s">
        <v>1642</v>
      </c>
      <c r="B505" s="5" t="s">
        <v>1643</v>
      </c>
      <c r="C505" s="5" t="s">
        <v>55</v>
      </c>
      <c r="D505" s="5" t="s">
        <v>56</v>
      </c>
      <c r="E505" s="5" t="s">
        <v>242</v>
      </c>
      <c r="F505" s="5" t="s">
        <v>243</v>
      </c>
      <c r="G505" s="5" t="s">
        <v>59</v>
      </c>
      <c r="H505" s="5" t="s">
        <v>60</v>
      </c>
      <c r="I505" s="6" t="n">
        <v>0.0222222</v>
      </c>
      <c r="J505" s="7" t="n">
        <f aca="false">IF(I505="","",1/I505)</f>
        <v>45.000045000045</v>
      </c>
      <c r="K505" s="8" t="n">
        <v>42.25</v>
      </c>
      <c r="L505" s="9" t="n">
        <v>-0.47</v>
      </c>
      <c r="M505" s="10" t="n">
        <v>-0.011</v>
      </c>
      <c r="N505" s="8" t="n">
        <v>43.72</v>
      </c>
      <c r="O505" s="8" t="n">
        <v>42.25</v>
      </c>
      <c r="P505" s="8" t="n">
        <v>43.72</v>
      </c>
      <c r="Q505" s="8" t="n">
        <v>42.25</v>
      </c>
      <c r="R505" s="11" t="n">
        <v>40</v>
      </c>
      <c r="S505" s="11" t="n">
        <f aca="false">K505*R505</f>
        <v>1690</v>
      </c>
      <c r="T505" s="8" t="n">
        <v>19.03</v>
      </c>
      <c r="U505" s="8" t="n">
        <v>48.05</v>
      </c>
      <c r="V505" s="12" t="n">
        <f aca="false">IF(U505-T505=0,"",(K505-T505)/(U505-T505))</f>
        <v>0.80013783597519</v>
      </c>
      <c r="W505" s="13" t="n">
        <f aca="false">IF(U505=0,"",K505/U505-1)</f>
        <v>-0.120707596253902</v>
      </c>
      <c r="X505" s="11" t="n">
        <v>228607</v>
      </c>
      <c r="Y505" s="5" t="s">
        <v>242</v>
      </c>
      <c r="Z505" s="5" t="s">
        <v>244</v>
      </c>
      <c r="AA505" s="5" t="s">
        <v>243</v>
      </c>
      <c r="AB505" s="5"/>
      <c r="AC505" s="5" t="s">
        <v>1644</v>
      </c>
      <c r="AD505" s="14" t="n">
        <v>46288.771875</v>
      </c>
    </row>
    <row r="506" customFormat="false" ht="15" hidden="false" customHeight="false" outlineLevel="0" collapsed="false">
      <c r="A506" s="5" t="s">
        <v>1645</v>
      </c>
      <c r="B506" s="5" t="s">
        <v>1646</v>
      </c>
      <c r="C506" s="5" t="s">
        <v>55</v>
      </c>
      <c r="D506" s="5" t="s">
        <v>56</v>
      </c>
      <c r="E506" s="5" t="s">
        <v>115</v>
      </c>
      <c r="F506" s="5" t="s">
        <v>116</v>
      </c>
      <c r="G506" s="5" t="s">
        <v>59</v>
      </c>
      <c r="H506" s="5" t="s">
        <v>60</v>
      </c>
      <c r="I506" s="6" t="n">
        <v>0.02</v>
      </c>
      <c r="J506" s="7" t="n">
        <f aca="false">IF(I506="","",1/I506)</f>
        <v>50</v>
      </c>
      <c r="K506" s="8" t="n">
        <v>22.79</v>
      </c>
      <c r="L506" s="9" t="n">
        <v>0.97</v>
      </c>
      <c r="M506" s="10" t="n">
        <v>0.0445</v>
      </c>
      <c r="N506" s="8" t="n">
        <v>22.76</v>
      </c>
      <c r="O506" s="8" t="n">
        <v>22.76</v>
      </c>
      <c r="P506" s="8" t="n">
        <v>22.79</v>
      </c>
      <c r="Q506" s="8" t="n">
        <v>22.79</v>
      </c>
      <c r="R506" s="11" t="n">
        <v>95</v>
      </c>
      <c r="S506" s="11" t="n">
        <f aca="false">K506*R506</f>
        <v>2165.05</v>
      </c>
      <c r="T506" s="8" t="n">
        <v>17.2</v>
      </c>
      <c r="U506" s="8" t="n">
        <v>52.6</v>
      </c>
      <c r="V506" s="12" t="n">
        <f aca="false">IF(U506-T506=0,"",(K506-T506)/(U506-T506))</f>
        <v>0.157909604519774</v>
      </c>
      <c r="W506" s="13" t="n">
        <f aca="false">IF(U506=0,"",K506/U506-1)</f>
        <v>-0.566730038022814</v>
      </c>
      <c r="X506" s="11" t="n">
        <v>55603</v>
      </c>
      <c r="Y506" s="5" t="s">
        <v>115</v>
      </c>
      <c r="Z506" s="5" t="s">
        <v>117</v>
      </c>
      <c r="AA506" s="5" t="s">
        <v>116</v>
      </c>
      <c r="AB506" s="5"/>
      <c r="AC506" s="5" t="s">
        <v>1647</v>
      </c>
      <c r="AD506" s="14" t="n">
        <v>46288.771875</v>
      </c>
    </row>
    <row r="507" customFormat="false" ht="15" hidden="false" customHeight="false" outlineLevel="0" collapsed="false">
      <c r="A507" s="5" t="s">
        <v>1648</v>
      </c>
      <c r="B507" s="5" t="s">
        <v>1649</v>
      </c>
      <c r="C507" s="5" t="s">
        <v>55</v>
      </c>
      <c r="D507" s="5" t="s">
        <v>56</v>
      </c>
      <c r="E507" s="5" t="s">
        <v>370</v>
      </c>
      <c r="F507" s="5" t="s">
        <v>371</v>
      </c>
      <c r="G507" s="5" t="s">
        <v>178</v>
      </c>
      <c r="H507" s="5"/>
      <c r="I507" s="6"/>
      <c r="J507" s="7" t="str">
        <f aca="false">IF(I507="","",1/I507)</f>
        <v/>
      </c>
      <c r="K507" s="8" t="n">
        <v>170.85</v>
      </c>
      <c r="L507" s="9" t="n">
        <v>2.03</v>
      </c>
      <c r="M507" s="10" t="n">
        <v>0.012</v>
      </c>
      <c r="N507" s="8" t="n">
        <v>170.85</v>
      </c>
      <c r="O507" s="8" t="n">
        <v>170.85</v>
      </c>
      <c r="P507" s="8" t="n">
        <v>170.85</v>
      </c>
      <c r="Q507" s="8" t="n">
        <v>170.85</v>
      </c>
      <c r="R507" s="11" t="n">
        <v>8</v>
      </c>
      <c r="S507" s="11" t="n">
        <f aca="false">K507*R507</f>
        <v>1366.8</v>
      </c>
      <c r="T507" s="8" t="n">
        <v>119.88</v>
      </c>
      <c r="U507" s="8" t="n">
        <v>219</v>
      </c>
      <c r="V507" s="12" t="n">
        <f aca="false">IF(U507-T507=0,"",(K507-T507)/(U507-T507))</f>
        <v>0.514225181598063</v>
      </c>
      <c r="W507" s="13" t="n">
        <f aca="false">IF(U507=0,"",K507/U507-1)</f>
        <v>-0.21986301369863</v>
      </c>
      <c r="X507" s="11" t="n">
        <v>140063</v>
      </c>
      <c r="Y507" s="5" t="s">
        <v>370</v>
      </c>
      <c r="Z507" s="5" t="s">
        <v>372</v>
      </c>
      <c r="AA507" s="5" t="s">
        <v>371</v>
      </c>
      <c r="AB507" s="5" t="s">
        <v>111</v>
      </c>
      <c r="AC507" s="5" t="s">
        <v>1650</v>
      </c>
      <c r="AD507" s="14" t="n">
        <v>46288.771875</v>
      </c>
    </row>
    <row r="508" customFormat="false" ht="15" hidden="false" customHeight="false" outlineLevel="0" collapsed="false">
      <c r="A508" s="5" t="s">
        <v>1651</v>
      </c>
      <c r="B508" s="5" t="s">
        <v>1652</v>
      </c>
      <c r="C508" s="5" t="s">
        <v>55</v>
      </c>
      <c r="D508" s="5" t="s">
        <v>1434</v>
      </c>
      <c r="E508" s="5" t="s">
        <v>370</v>
      </c>
      <c r="F508" s="5" t="s">
        <v>371</v>
      </c>
      <c r="G508" s="5" t="s">
        <v>59</v>
      </c>
      <c r="H508" s="5" t="s">
        <v>60</v>
      </c>
      <c r="I508" s="6" t="n">
        <v>1</v>
      </c>
      <c r="J508" s="7" t="n">
        <f aca="false">IF(I508="","",1/I508)</f>
        <v>1</v>
      </c>
      <c r="K508" s="8" t="n">
        <v>2.63</v>
      </c>
      <c r="L508" s="9" t="n">
        <v>0.06</v>
      </c>
      <c r="M508" s="10" t="n">
        <v>0.0233</v>
      </c>
      <c r="N508" s="8" t="n">
        <v>2.57</v>
      </c>
      <c r="O508" s="8" t="n">
        <v>2.57</v>
      </c>
      <c r="P508" s="8" t="n">
        <v>2.7</v>
      </c>
      <c r="Q508" s="8" t="n">
        <v>2.63</v>
      </c>
      <c r="R508" s="11" t="n">
        <v>2500</v>
      </c>
      <c r="S508" s="11" t="n">
        <f aca="false">K508*R508</f>
        <v>6575</v>
      </c>
      <c r="T508" s="8" t="n">
        <v>2.4</v>
      </c>
      <c r="U508" s="8" t="n">
        <v>3.59</v>
      </c>
      <c r="V508" s="12" t="n">
        <f aca="false">IF(U508-T508=0,"",(K508-T508)/(U508-T508))</f>
        <v>0.19327731092437</v>
      </c>
      <c r="W508" s="13" t="n">
        <f aca="false">IF(U508=0,"",K508/U508-1)</f>
        <v>-0.267409470752089</v>
      </c>
      <c r="X508" s="11" t="n">
        <v>158</v>
      </c>
      <c r="Y508" s="5" t="s">
        <v>370</v>
      </c>
      <c r="Z508" s="5" t="s">
        <v>372</v>
      </c>
      <c r="AA508" s="5" t="s">
        <v>371</v>
      </c>
      <c r="AB508" s="5"/>
      <c r="AC508" s="5" t="s">
        <v>1653</v>
      </c>
      <c r="AD508" s="14" t="n">
        <v>46288.771875</v>
      </c>
    </row>
    <row r="509" customFormat="false" ht="15" hidden="false" customHeight="false" outlineLevel="0" collapsed="false">
      <c r="A509" s="5" t="s">
        <v>1654</v>
      </c>
      <c r="B509" s="5" t="s">
        <v>1655</v>
      </c>
      <c r="C509" s="5" t="s">
        <v>55</v>
      </c>
      <c r="D509" s="5" t="s">
        <v>56</v>
      </c>
      <c r="E509" s="5" t="s">
        <v>57</v>
      </c>
      <c r="F509" s="5" t="s">
        <v>58</v>
      </c>
      <c r="G509" s="5" t="s">
        <v>59</v>
      </c>
      <c r="H509" s="5" t="s">
        <v>60</v>
      </c>
      <c r="I509" s="6" t="n">
        <v>0.03571</v>
      </c>
      <c r="J509" s="7" t="n">
        <f aca="false">IF(I509="","",1/I509)</f>
        <v>28.0033604032484</v>
      </c>
      <c r="K509" s="8" t="n">
        <v>54.73</v>
      </c>
      <c r="L509" s="9" t="n">
        <v>-0.85</v>
      </c>
      <c r="M509" s="10" t="n">
        <v>-0.0153</v>
      </c>
      <c r="N509" s="8" t="n">
        <v>56.14</v>
      </c>
      <c r="O509" s="8" t="n">
        <v>54.73</v>
      </c>
      <c r="P509" s="8" t="n">
        <v>56.14</v>
      </c>
      <c r="Q509" s="8" t="n">
        <v>54.78</v>
      </c>
      <c r="R509" s="11" t="n">
        <v>215</v>
      </c>
      <c r="S509" s="11" t="n">
        <f aca="false">K509*R509</f>
        <v>11766.95</v>
      </c>
      <c r="T509" s="8" t="n">
        <v>52.57</v>
      </c>
      <c r="U509" s="8" t="n">
        <v>78.3</v>
      </c>
      <c r="V509" s="12" t="n">
        <f aca="false">IF(U509-T509=0,"",(K509-T509)/(U509-T509))</f>
        <v>0.0839486980178778</v>
      </c>
      <c r="W509" s="13" t="n">
        <f aca="false">IF(U509=0,"",K509/U509-1)</f>
        <v>-0.301021711366539</v>
      </c>
      <c r="X509" s="11" t="n">
        <v>1559082</v>
      </c>
      <c r="Y509" s="5" t="s">
        <v>57</v>
      </c>
      <c r="Z509" s="5" t="s">
        <v>61</v>
      </c>
      <c r="AA509" s="5" t="s">
        <v>58</v>
      </c>
      <c r="AB509" s="5"/>
      <c r="AC509" s="5" t="s">
        <v>1656</v>
      </c>
      <c r="AD509" s="14" t="n">
        <v>46288.771875</v>
      </c>
    </row>
    <row r="510" customFormat="false" ht="15" hidden="false" customHeight="false" outlineLevel="0" collapsed="false">
      <c r="A510" s="5" t="s">
        <v>1657</v>
      </c>
      <c r="B510" s="5" t="s">
        <v>1658</v>
      </c>
      <c r="C510" s="5" t="s">
        <v>55</v>
      </c>
      <c r="D510" s="5" t="s">
        <v>56</v>
      </c>
      <c r="E510" s="5" t="s">
        <v>142</v>
      </c>
      <c r="F510" s="5" t="s">
        <v>143</v>
      </c>
      <c r="G510" s="5" t="s">
        <v>59</v>
      </c>
      <c r="H510" s="5" t="s">
        <v>60</v>
      </c>
      <c r="I510" s="6" t="n">
        <v>1</v>
      </c>
      <c r="J510" s="7" t="n">
        <f aca="false">IF(I510="","",1/I510)</f>
        <v>1</v>
      </c>
      <c r="K510" s="8" t="n">
        <v>1101.4</v>
      </c>
      <c r="L510" s="9" t="n">
        <v>16.96</v>
      </c>
      <c r="M510" s="10" t="n">
        <v>0.0156</v>
      </c>
      <c r="N510" s="8" t="n">
        <v>1089.72</v>
      </c>
      <c r="O510" s="8" t="n">
        <v>1088.64</v>
      </c>
      <c r="P510" s="8" t="n">
        <v>1101.4</v>
      </c>
      <c r="Q510" s="8" t="n">
        <v>1099.44</v>
      </c>
      <c r="R510" s="11" t="n">
        <v>474</v>
      </c>
      <c r="S510" s="11" t="n">
        <f aca="false">K510*R510</f>
        <v>522063.6</v>
      </c>
      <c r="T510" s="8" t="n">
        <v>1024.4</v>
      </c>
      <c r="U510" s="8" t="n">
        <v>2572.76</v>
      </c>
      <c r="V510" s="12" t="n">
        <f aca="false">IF(U510-T510=0,"",(K510-T510)/(U510-T510))</f>
        <v>0.0497300369423132</v>
      </c>
      <c r="W510" s="13" t="n">
        <f aca="false">IF(U510=0,"",K510/U510-1)</f>
        <v>-0.571899438735055</v>
      </c>
      <c r="X510" s="11" t="n">
        <v>343622</v>
      </c>
      <c r="Y510" s="5" t="s">
        <v>142</v>
      </c>
      <c r="Z510" s="5" t="s">
        <v>144</v>
      </c>
      <c r="AA510" s="5" t="s">
        <v>143</v>
      </c>
      <c r="AB510" s="5"/>
      <c r="AC510" s="5" t="s">
        <v>1659</v>
      </c>
      <c r="AD510" s="14" t="n">
        <v>46288.771875</v>
      </c>
    </row>
    <row r="511" customFormat="false" ht="15" hidden="false" customHeight="false" outlineLevel="0" collapsed="false">
      <c r="A511" s="5" t="s">
        <v>1660</v>
      </c>
      <c r="B511" s="5" t="s">
        <v>1661</v>
      </c>
      <c r="C511" s="5" t="s">
        <v>55</v>
      </c>
      <c r="D511" s="5" t="s">
        <v>56</v>
      </c>
      <c r="E511" s="5" t="s">
        <v>105</v>
      </c>
      <c r="F511" s="5" t="s">
        <v>106</v>
      </c>
      <c r="G511" s="5" t="s">
        <v>59</v>
      </c>
      <c r="H511" s="5" t="s">
        <v>86</v>
      </c>
      <c r="I511" s="6" t="n">
        <v>1</v>
      </c>
      <c r="J511" s="7" t="n">
        <f aca="false">IF(I511="","",1/I511)</f>
        <v>1</v>
      </c>
      <c r="K511" s="8" t="n">
        <v>166</v>
      </c>
      <c r="L511" s="9" t="n">
        <v>0.08</v>
      </c>
      <c r="M511" s="10" t="n">
        <v>0.0005</v>
      </c>
      <c r="N511" s="8" t="n">
        <v>166</v>
      </c>
      <c r="O511" s="8" t="n">
        <v>166</v>
      </c>
      <c r="P511" s="8" t="n">
        <v>166</v>
      </c>
      <c r="Q511" s="8" t="n">
        <v>166</v>
      </c>
      <c r="R511" s="11" t="n">
        <v>100</v>
      </c>
      <c r="S511" s="11" t="n">
        <f aca="false">K511*R511</f>
        <v>16600</v>
      </c>
      <c r="T511" s="8" t="n">
        <v>116.88</v>
      </c>
      <c r="U511" s="8" t="n">
        <v>180</v>
      </c>
      <c r="V511" s="12" t="n">
        <f aca="false">IF(U511-T511=0,"",(K511-T511)/(U511-T511))</f>
        <v>0.778200253485425</v>
      </c>
      <c r="W511" s="13" t="n">
        <f aca="false">IF(U511=0,"",K511/U511-1)</f>
        <v>-0.0777777777777777</v>
      </c>
      <c r="X511" s="11" t="n">
        <v>213722</v>
      </c>
      <c r="Y511" s="5" t="s">
        <v>105</v>
      </c>
      <c r="Z511" s="5" t="s">
        <v>107</v>
      </c>
      <c r="AA511" s="5" t="s">
        <v>106</v>
      </c>
      <c r="AB511" s="5"/>
      <c r="AC511" s="5" t="s">
        <v>1662</v>
      </c>
      <c r="AD511" s="14" t="n">
        <v>46288.771875</v>
      </c>
    </row>
    <row r="512" customFormat="false" ht="15" hidden="false" customHeight="false" outlineLevel="0" collapsed="false">
      <c r="A512" s="5" t="s">
        <v>1663</v>
      </c>
      <c r="B512" s="5" t="s">
        <v>1664</v>
      </c>
      <c r="C512" s="5" t="s">
        <v>55</v>
      </c>
      <c r="D512" s="5" t="s">
        <v>56</v>
      </c>
      <c r="E512" s="5" t="s">
        <v>115</v>
      </c>
      <c r="F512" s="5" t="s">
        <v>116</v>
      </c>
      <c r="G512" s="5" t="s">
        <v>59</v>
      </c>
      <c r="H512" s="5" t="s">
        <v>60</v>
      </c>
      <c r="I512" s="6" t="n">
        <v>1</v>
      </c>
      <c r="J512" s="7" t="n">
        <f aca="false">IF(I512="","",1/I512)</f>
        <v>1</v>
      </c>
      <c r="K512" s="8" t="n">
        <v>165.6</v>
      </c>
      <c r="L512" s="9" t="n">
        <v>5.59</v>
      </c>
      <c r="M512" s="10" t="n">
        <v>0.0349</v>
      </c>
      <c r="N512" s="8" t="n">
        <v>165.99</v>
      </c>
      <c r="O512" s="8" t="n">
        <v>163.36</v>
      </c>
      <c r="P512" s="8" t="n">
        <v>167.36</v>
      </c>
      <c r="Q512" s="8" t="n">
        <v>165.6</v>
      </c>
      <c r="R512" s="11" t="n">
        <v>65</v>
      </c>
      <c r="S512" s="11" t="n">
        <f aca="false">K512*R512</f>
        <v>10764</v>
      </c>
      <c r="T512" s="8" t="n">
        <v>87.98</v>
      </c>
      <c r="U512" s="8" t="n">
        <v>184</v>
      </c>
      <c r="V512" s="12" t="n">
        <f aca="false">IF(U512-T512=0,"",(K512-T512)/(U512-T512))</f>
        <v>0.808373255571756</v>
      </c>
      <c r="W512" s="13" t="n">
        <f aca="false">IF(U512=0,"",K512/U512-1)</f>
        <v>-0.1</v>
      </c>
      <c r="X512" s="11" t="n">
        <v>147868</v>
      </c>
      <c r="Y512" s="5" t="s">
        <v>115</v>
      </c>
      <c r="Z512" s="5" t="s">
        <v>117</v>
      </c>
      <c r="AA512" s="5" t="s">
        <v>116</v>
      </c>
      <c r="AB512" s="5"/>
      <c r="AC512" s="5" t="s">
        <v>1665</v>
      </c>
      <c r="AD512" s="14" t="n">
        <v>46288.771875</v>
      </c>
    </row>
    <row r="513" customFormat="false" ht="15" hidden="false" customHeight="false" outlineLevel="0" collapsed="false">
      <c r="A513" s="5" t="s">
        <v>1666</v>
      </c>
      <c r="B513" s="5" t="s">
        <v>1667</v>
      </c>
      <c r="C513" s="5" t="s">
        <v>55</v>
      </c>
      <c r="D513" s="5" t="s">
        <v>56</v>
      </c>
      <c r="E513" s="5" t="s">
        <v>273</v>
      </c>
      <c r="F513" s="5" t="s">
        <v>274</v>
      </c>
      <c r="G513" s="5" t="s">
        <v>59</v>
      </c>
      <c r="H513" s="5" t="s">
        <v>60</v>
      </c>
      <c r="I513" s="6" t="n">
        <v>0.066667</v>
      </c>
      <c r="J513" s="7" t="n">
        <f aca="false">IF(I513="","",1/I513)</f>
        <v>14.999925000375</v>
      </c>
      <c r="K513" s="8" t="n">
        <v>58.27</v>
      </c>
      <c r="L513" s="9" t="n">
        <v>0.67</v>
      </c>
      <c r="M513" s="10" t="n">
        <v>0.0116</v>
      </c>
      <c r="N513" s="8" t="n">
        <v>58.27</v>
      </c>
      <c r="O513" s="8" t="n">
        <v>58.27</v>
      </c>
      <c r="P513" s="8" t="n">
        <v>58.27</v>
      </c>
      <c r="Q513" s="8" t="n">
        <v>58.27</v>
      </c>
      <c r="R513" s="11" t="n">
        <v>140</v>
      </c>
      <c r="S513" s="11" t="n">
        <f aca="false">K513*R513</f>
        <v>8157.8</v>
      </c>
      <c r="T513" s="8" t="n">
        <v>56.6666661</v>
      </c>
      <c r="U513" s="8" t="n">
        <v>83.56999916</v>
      </c>
      <c r="V513" s="12" t="n">
        <f aca="false">IF(U513-T513=0,"",(K513-T513)/(U513-T513))</f>
        <v>0.0595961064164145</v>
      </c>
      <c r="W513" s="13" t="n">
        <f aca="false">IF(U513=0,"",K513/U513-1)</f>
        <v>-0.302740210773026</v>
      </c>
      <c r="X513" s="11" t="n">
        <v>173224</v>
      </c>
      <c r="Y513" s="5" t="s">
        <v>273</v>
      </c>
      <c r="Z513" s="5" t="s">
        <v>275</v>
      </c>
      <c r="AA513" s="5" t="s">
        <v>274</v>
      </c>
      <c r="AB513" s="5"/>
      <c r="AC513" s="5" t="s">
        <v>1668</v>
      </c>
      <c r="AD513" s="14" t="n">
        <v>46288.771875</v>
      </c>
    </row>
    <row r="514" customFormat="false" ht="15" hidden="false" customHeight="false" outlineLevel="0" collapsed="false">
      <c r="A514" s="5" t="s">
        <v>1669</v>
      </c>
      <c r="B514" s="5" t="s">
        <v>1670</v>
      </c>
      <c r="C514" s="5" t="s">
        <v>248</v>
      </c>
      <c r="D514" s="5" t="s">
        <v>249</v>
      </c>
      <c r="E514" s="5" t="s">
        <v>250</v>
      </c>
      <c r="F514" s="5" t="s">
        <v>251</v>
      </c>
      <c r="G514" s="5" t="s">
        <v>59</v>
      </c>
      <c r="H514" s="5" t="s">
        <v>60</v>
      </c>
      <c r="I514" s="6" t="n">
        <v>0.333333333</v>
      </c>
      <c r="J514" s="7" t="n">
        <f aca="false">IF(I514="","",1/I514)</f>
        <v>3.000000003</v>
      </c>
      <c r="K514" s="8" t="n">
        <v>33.61</v>
      </c>
      <c r="L514" s="9" t="n">
        <v>-0.2</v>
      </c>
      <c r="M514" s="10" t="n">
        <v>-0.0059</v>
      </c>
      <c r="N514" s="8" t="n">
        <v>33.61</v>
      </c>
      <c r="O514" s="8" t="n">
        <v>33.61</v>
      </c>
      <c r="P514" s="8" t="n">
        <v>33.61</v>
      </c>
      <c r="Q514" s="8" t="n">
        <v>33.61</v>
      </c>
      <c r="R514" s="11" t="n">
        <v>1505</v>
      </c>
      <c r="S514" s="11" t="n">
        <f aca="false">K514*R514</f>
        <v>50583.05</v>
      </c>
      <c r="T514" s="8" t="n">
        <v>32.96</v>
      </c>
      <c r="U514" s="8" t="n">
        <v>37.47</v>
      </c>
      <c r="V514" s="12" t="n">
        <f aca="false">IF(U514-T514=0,"",(K514-T514)/(U514-T514))</f>
        <v>0.144124168514412</v>
      </c>
      <c r="W514" s="13" t="n">
        <f aca="false">IF(U514=0,"",K514/U514-1)</f>
        <v>-0.103015745930077</v>
      </c>
      <c r="X514" s="11"/>
      <c r="Y514" s="5" t="s">
        <v>253</v>
      </c>
      <c r="Z514" s="5" t="s">
        <v>254</v>
      </c>
      <c r="AA514" s="5" t="s">
        <v>251</v>
      </c>
      <c r="AB514" s="5"/>
      <c r="AC514" s="5" t="s">
        <v>1671</v>
      </c>
      <c r="AD514" s="14" t="n">
        <v>46288.771875</v>
      </c>
    </row>
    <row r="515" customFormat="false" ht="15" hidden="false" customHeight="false" outlineLevel="0" collapsed="false">
      <c r="A515" s="5" t="s">
        <v>1672</v>
      </c>
      <c r="B515" s="5" t="s">
        <v>1673</v>
      </c>
      <c r="C515" s="5" t="s">
        <v>55</v>
      </c>
      <c r="D515" s="5" t="s">
        <v>56</v>
      </c>
      <c r="E515" s="5" t="s">
        <v>71</v>
      </c>
      <c r="F515" s="5" t="s">
        <v>72</v>
      </c>
      <c r="G515" s="5" t="s">
        <v>59</v>
      </c>
      <c r="H515" s="5" t="s">
        <v>60</v>
      </c>
      <c r="I515" s="6" t="n">
        <v>0.083333</v>
      </c>
      <c r="J515" s="7" t="n">
        <f aca="false">IF(I515="","",1/I515)</f>
        <v>12.000048000192</v>
      </c>
      <c r="K515" s="8" t="n">
        <v>67.5</v>
      </c>
      <c r="L515" s="9" t="n">
        <v>-1.93</v>
      </c>
      <c r="M515" s="10" t="n">
        <v>-0.0278</v>
      </c>
      <c r="N515" s="8" t="n">
        <v>65.5</v>
      </c>
      <c r="O515" s="8" t="n">
        <v>65.5</v>
      </c>
      <c r="P515" s="8" t="n">
        <v>67.5</v>
      </c>
      <c r="Q515" s="8" t="n">
        <v>67.5</v>
      </c>
      <c r="R515" s="11" t="n">
        <v>12</v>
      </c>
      <c r="S515" s="11" t="n">
        <f aca="false">K515*R515</f>
        <v>810</v>
      </c>
      <c r="T515" s="8" t="n">
        <v>53.01333439</v>
      </c>
      <c r="U515" s="8" t="n">
        <v>78.07333489</v>
      </c>
      <c r="V515" s="12" t="n">
        <f aca="false">IF(U515-T515=0,"",(K515-T515)/(U515-T515))</f>
        <v>0.578079222703926</v>
      </c>
      <c r="W515" s="13" t="n">
        <f aca="false">IF(U515=0,"",K515/U515-1)</f>
        <v>-0.135428247107634</v>
      </c>
      <c r="X515" s="11" t="n">
        <v>439376</v>
      </c>
      <c r="Y515" s="5" t="s">
        <v>71</v>
      </c>
      <c r="Z515" s="5" t="s">
        <v>73</v>
      </c>
      <c r="AA515" s="5" t="s">
        <v>72</v>
      </c>
      <c r="AB515" s="5"/>
      <c r="AC515" s="5" t="s">
        <v>1674</v>
      </c>
      <c r="AD515" s="14" t="n">
        <v>46288.771875</v>
      </c>
    </row>
    <row r="516" customFormat="false" ht="15" hidden="false" customHeight="false" outlineLevel="0" collapsed="false">
      <c r="A516" s="5" t="s">
        <v>1675</v>
      </c>
      <c r="B516" s="5" t="s">
        <v>1676</v>
      </c>
      <c r="C516" s="5" t="s">
        <v>55</v>
      </c>
      <c r="D516" s="5" t="s">
        <v>56</v>
      </c>
      <c r="E516" s="5" t="s">
        <v>99</v>
      </c>
      <c r="F516" s="5" t="s">
        <v>100</v>
      </c>
      <c r="G516" s="5" t="s">
        <v>59</v>
      </c>
      <c r="H516" s="5" t="s">
        <v>60</v>
      </c>
      <c r="I516" s="6" t="n">
        <v>0.2</v>
      </c>
      <c r="J516" s="7" t="n">
        <f aca="false">IF(I516="","",1/I516)</f>
        <v>5</v>
      </c>
      <c r="K516" s="8" t="n">
        <v>528.01</v>
      </c>
      <c r="L516" s="9" t="n">
        <v>5.89</v>
      </c>
      <c r="M516" s="10" t="n">
        <v>0.0113</v>
      </c>
      <c r="N516" s="8" t="n">
        <v>528.01</v>
      </c>
      <c r="O516" s="8" t="n">
        <v>528.01</v>
      </c>
      <c r="P516" s="8" t="n">
        <v>528.01</v>
      </c>
      <c r="Q516" s="8" t="n">
        <v>528.01</v>
      </c>
      <c r="R516" s="11" t="n">
        <v>100</v>
      </c>
      <c r="S516" s="11" t="n">
        <f aca="false">K516*R516</f>
        <v>52801</v>
      </c>
      <c r="T516" s="8" t="n">
        <v>521.5</v>
      </c>
      <c r="U516" s="8" t="n">
        <v>813.6</v>
      </c>
      <c r="V516" s="12" t="n">
        <f aca="false">IF(U516-T516=0,"",(K516-T516)/(U516-T516))</f>
        <v>0.0222868880520369</v>
      </c>
      <c r="W516" s="13" t="n">
        <f aca="false">IF(U516=0,"",K516/U516-1)</f>
        <v>-0.351020157325467</v>
      </c>
      <c r="X516" s="11" t="n">
        <v>210258</v>
      </c>
      <c r="Y516" s="5" t="s">
        <v>99</v>
      </c>
      <c r="Z516" s="5" t="s">
        <v>101</v>
      </c>
      <c r="AA516" s="5" t="s">
        <v>100</v>
      </c>
      <c r="AB516" s="5"/>
      <c r="AC516" s="5" t="s">
        <v>1677</v>
      </c>
      <c r="AD516" s="14" t="n">
        <v>46288.771875</v>
      </c>
    </row>
    <row r="517" customFormat="false" ht="15" hidden="false" customHeight="false" outlineLevel="0" collapsed="false">
      <c r="A517" s="5" t="s">
        <v>1678</v>
      </c>
      <c r="B517" s="5" t="s">
        <v>1679</v>
      </c>
      <c r="C517" s="5" t="s">
        <v>55</v>
      </c>
      <c r="D517" s="5" t="s">
        <v>56</v>
      </c>
      <c r="E517" s="5" t="s">
        <v>273</v>
      </c>
      <c r="F517" s="5" t="s">
        <v>274</v>
      </c>
      <c r="G517" s="5" t="s">
        <v>59</v>
      </c>
      <c r="H517" s="5"/>
      <c r="I517" s="6"/>
      <c r="J517" s="7" t="str">
        <f aca="false">IF(I517="","",1/I517)</f>
        <v/>
      </c>
      <c r="K517" s="8" t="n">
        <v>215.58</v>
      </c>
      <c r="L517" s="9" t="n">
        <v>13.98</v>
      </c>
      <c r="M517" s="10" t="n">
        <v>0.0693</v>
      </c>
      <c r="N517" s="8" t="n">
        <v>215.58</v>
      </c>
      <c r="O517" s="8" t="n">
        <v>215.58</v>
      </c>
      <c r="P517" s="8" t="n">
        <v>215.58</v>
      </c>
      <c r="Q517" s="8" t="n">
        <v>215.58</v>
      </c>
      <c r="R517" s="11" t="n">
        <v>1</v>
      </c>
      <c r="S517" s="11" t="n">
        <f aca="false">K517*R517</f>
        <v>215.58</v>
      </c>
      <c r="T517" s="8" t="n">
        <v>167.14</v>
      </c>
      <c r="U517" s="8" t="n">
        <v>215.58</v>
      </c>
      <c r="V517" s="12" t="n">
        <f aca="false">IF(U517-T517=0,"",(K517-T517)/(U517-T517))</f>
        <v>1</v>
      </c>
      <c r="W517" s="13" t="n">
        <f aca="false">IF(U517=0,"",K517/U517-1)</f>
        <v>0</v>
      </c>
      <c r="X517" s="11" t="n">
        <v>112023</v>
      </c>
      <c r="Y517" s="5" t="s">
        <v>273</v>
      </c>
      <c r="Z517" s="5" t="s">
        <v>275</v>
      </c>
      <c r="AA517" s="5" t="s">
        <v>274</v>
      </c>
      <c r="AB517" s="5" t="s">
        <v>111</v>
      </c>
      <c r="AC517" s="5" t="s">
        <v>1680</v>
      </c>
      <c r="AD517" s="14" t="n">
        <v>46288.771875</v>
      </c>
    </row>
    <row r="518" customFormat="false" ht="15" hidden="false" customHeight="false" outlineLevel="0" collapsed="false">
      <c r="A518" s="5" t="s">
        <v>1681</v>
      </c>
      <c r="B518" s="5" t="s">
        <v>1682</v>
      </c>
      <c r="C518" s="5" t="s">
        <v>55</v>
      </c>
      <c r="D518" s="5" t="s">
        <v>56</v>
      </c>
      <c r="E518" s="5" t="s">
        <v>115</v>
      </c>
      <c r="F518" s="5" t="s">
        <v>116</v>
      </c>
      <c r="G518" s="5" t="s">
        <v>59</v>
      </c>
      <c r="H518" s="5" t="s">
        <v>86</v>
      </c>
      <c r="I518" s="6" t="n">
        <v>0.5</v>
      </c>
      <c r="J518" s="7" t="n">
        <f aca="false">IF(I518="","",1/I518)</f>
        <v>2</v>
      </c>
      <c r="K518" s="8" t="n">
        <v>27.81</v>
      </c>
      <c r="L518" s="9" t="n">
        <v>-0.57</v>
      </c>
      <c r="M518" s="10" t="n">
        <v>-0.0201</v>
      </c>
      <c r="N518" s="8" t="n">
        <v>27.81</v>
      </c>
      <c r="O518" s="8" t="n">
        <v>27.81</v>
      </c>
      <c r="P518" s="8" t="n">
        <v>27.81</v>
      </c>
      <c r="Q518" s="8" t="n">
        <v>27.81</v>
      </c>
      <c r="R518" s="11" t="n">
        <v>8</v>
      </c>
      <c r="S518" s="11" t="n">
        <f aca="false">K518*R518</f>
        <v>222.48</v>
      </c>
      <c r="T518" s="8" t="n">
        <v>27</v>
      </c>
      <c r="U518" s="8" t="n">
        <v>51.23</v>
      </c>
      <c r="V518" s="12" t="n">
        <f aca="false">IF(U518-T518=0,"",(K518-T518)/(U518-T518))</f>
        <v>0.0334296326867519</v>
      </c>
      <c r="W518" s="13" t="n">
        <f aca="false">IF(U518=0,"",K518/U518-1)</f>
        <v>-0.457154011321491</v>
      </c>
      <c r="X518" s="11" t="n">
        <v>223652</v>
      </c>
      <c r="Y518" s="5" t="s">
        <v>115</v>
      </c>
      <c r="Z518" s="5" t="s">
        <v>117</v>
      </c>
      <c r="AA518" s="5" t="s">
        <v>116</v>
      </c>
      <c r="AB518" s="5"/>
      <c r="AC518" s="5" t="s">
        <v>1683</v>
      </c>
      <c r="AD518" s="14" t="n">
        <v>46288.771875</v>
      </c>
    </row>
    <row r="519" customFormat="false" ht="15" hidden="false" customHeight="false" outlineLevel="0" collapsed="false">
      <c r="A519" s="5" t="s">
        <v>1684</v>
      </c>
      <c r="B519" s="5" t="s">
        <v>1685</v>
      </c>
      <c r="C519" s="5" t="s">
        <v>55</v>
      </c>
      <c r="D519" s="5" t="s">
        <v>56</v>
      </c>
      <c r="E519" s="5" t="s">
        <v>99</v>
      </c>
      <c r="F519" s="5" t="s">
        <v>100</v>
      </c>
      <c r="G519" s="5" t="s">
        <v>59</v>
      </c>
      <c r="H519" s="5" t="s">
        <v>60</v>
      </c>
      <c r="I519" s="6" t="n">
        <v>0.2</v>
      </c>
      <c r="J519" s="7" t="n">
        <f aca="false">IF(I519="","",1/I519)</f>
        <v>5</v>
      </c>
      <c r="K519" s="8" t="n">
        <v>260.5</v>
      </c>
      <c r="L519" s="9" t="n">
        <v>12.32</v>
      </c>
      <c r="M519" s="10" t="n">
        <v>0.0496</v>
      </c>
      <c r="N519" s="8" t="n">
        <v>260.52</v>
      </c>
      <c r="O519" s="8" t="n">
        <v>260.5</v>
      </c>
      <c r="P519" s="8" t="n">
        <v>260.52</v>
      </c>
      <c r="Q519" s="8" t="n">
        <v>260.5</v>
      </c>
      <c r="R519" s="11" t="n">
        <v>300</v>
      </c>
      <c r="S519" s="11" t="n">
        <f aca="false">K519*R519</f>
        <v>78150</v>
      </c>
      <c r="T519" s="8" t="n">
        <v>99.8</v>
      </c>
      <c r="U519" s="8" t="n">
        <v>260.52</v>
      </c>
      <c r="V519" s="12" t="n">
        <f aca="false">IF(U519-T519=0,"",(K519-T519)/(U519-T519))</f>
        <v>0.99987555998009</v>
      </c>
      <c r="W519" s="13" t="n">
        <f aca="false">IF(U519=0,"",K519/U519-1)</f>
        <v>-7.67695378472988E-005</v>
      </c>
      <c r="X519" s="11" t="n">
        <v>191231</v>
      </c>
      <c r="Y519" s="5" t="s">
        <v>99</v>
      </c>
      <c r="Z519" s="5" t="s">
        <v>101</v>
      </c>
      <c r="AA519" s="5" t="s">
        <v>100</v>
      </c>
      <c r="AB519" s="5"/>
      <c r="AC519" s="5" t="s">
        <v>1686</v>
      </c>
      <c r="AD519" s="14" t="n">
        <v>46288.771875</v>
      </c>
    </row>
    <row r="520" customFormat="false" ht="15" hidden="false" customHeight="false" outlineLevel="0" collapsed="false">
      <c r="A520" s="5" t="s">
        <v>1687</v>
      </c>
      <c r="B520" s="5" t="s">
        <v>1688</v>
      </c>
      <c r="C520" s="5" t="s">
        <v>55</v>
      </c>
      <c r="D520" s="5" t="s">
        <v>56</v>
      </c>
      <c r="E520" s="5" t="s">
        <v>65</v>
      </c>
      <c r="F520" s="5" t="s">
        <v>66</v>
      </c>
      <c r="G520" s="5" t="s">
        <v>59</v>
      </c>
      <c r="H520" s="5" t="s">
        <v>60</v>
      </c>
      <c r="I520" s="6" t="n">
        <v>0.333333</v>
      </c>
      <c r="J520" s="7" t="n">
        <f aca="false">IF(I520="","",1/I520)</f>
        <v>3.000003000003</v>
      </c>
      <c r="K520" s="8" t="n">
        <v>60.8</v>
      </c>
      <c r="L520" s="9" t="n">
        <v>1.64</v>
      </c>
      <c r="M520" s="10" t="n">
        <v>0.0277</v>
      </c>
      <c r="N520" s="8" t="n">
        <v>60.72</v>
      </c>
      <c r="O520" s="8" t="n">
        <v>60.7</v>
      </c>
      <c r="P520" s="8" t="n">
        <v>60.8</v>
      </c>
      <c r="Q520" s="8" t="n">
        <v>60.8</v>
      </c>
      <c r="R520" s="11" t="n">
        <v>1050</v>
      </c>
      <c r="S520" s="11" t="n">
        <f aca="false">K520*R520</f>
        <v>63840</v>
      </c>
      <c r="T520" s="8" t="n">
        <v>49.16666617</v>
      </c>
      <c r="U520" s="8" t="n">
        <v>86.6666658</v>
      </c>
      <c r="V520" s="12" t="n">
        <f aca="false">IF(U520-T520=0,"",(K520-T520)/(U520-T520))</f>
        <v>0.310222238527526</v>
      </c>
      <c r="W520" s="13" t="n">
        <f aca="false">IF(U520=0,"",K520/U520-1)</f>
        <v>-0.298461531446154</v>
      </c>
      <c r="X520" s="11" t="n">
        <v>96781</v>
      </c>
      <c r="Y520" s="5" t="s">
        <v>65</v>
      </c>
      <c r="Z520" s="5" t="s">
        <v>67</v>
      </c>
      <c r="AA520" s="5" t="s">
        <v>66</v>
      </c>
      <c r="AB520" s="5"/>
      <c r="AC520" s="5" t="s">
        <v>1689</v>
      </c>
      <c r="AD520" s="14" t="n">
        <v>46288.771875</v>
      </c>
    </row>
    <row r="521" customFormat="false" ht="15" hidden="false" customHeight="false" outlineLevel="0" collapsed="false">
      <c r="A521" s="5" t="s">
        <v>1690</v>
      </c>
      <c r="B521" s="5" t="s">
        <v>1691</v>
      </c>
      <c r="C521" s="5" t="s">
        <v>55</v>
      </c>
      <c r="D521" s="5" t="s">
        <v>56</v>
      </c>
      <c r="E521" s="5" t="s">
        <v>77</v>
      </c>
      <c r="F521" s="5" t="s">
        <v>78</v>
      </c>
      <c r="G521" s="5" t="s">
        <v>59</v>
      </c>
      <c r="H521" s="5" t="s">
        <v>60</v>
      </c>
      <c r="I521" s="6" t="n">
        <v>0.5</v>
      </c>
      <c r="J521" s="7" t="n">
        <f aca="false">IF(I521="","",1/I521)</f>
        <v>2</v>
      </c>
      <c r="K521" s="8" t="n">
        <v>193.35</v>
      </c>
      <c r="L521" s="9" t="n">
        <v>-0.45</v>
      </c>
      <c r="M521" s="10" t="n">
        <v>-0.0023</v>
      </c>
      <c r="N521" s="8" t="n">
        <v>193.35</v>
      </c>
      <c r="O521" s="8" t="n">
        <v>193.35</v>
      </c>
      <c r="P521" s="8" t="n">
        <v>193.35</v>
      </c>
      <c r="Q521" s="8" t="n">
        <v>193.35</v>
      </c>
      <c r="R521" s="11" t="n">
        <v>1</v>
      </c>
      <c r="S521" s="11" t="n">
        <f aca="false">K521*R521</f>
        <v>193.35</v>
      </c>
      <c r="T521" s="8" t="n">
        <v>180</v>
      </c>
      <c r="U521" s="8" t="n">
        <v>320.5</v>
      </c>
      <c r="V521" s="12" t="n">
        <f aca="false">IF(U521-T521=0,"",(K521-T521)/(U521-T521))</f>
        <v>0.095017793594306</v>
      </c>
      <c r="W521" s="13" t="n">
        <f aca="false">IF(U521=0,"",K521/U521-1)</f>
        <v>-0.396723868954758</v>
      </c>
      <c r="X521" s="11" t="n">
        <v>17023</v>
      </c>
      <c r="Y521" s="5" t="s">
        <v>77</v>
      </c>
      <c r="Z521" s="5" t="s">
        <v>79</v>
      </c>
      <c r="AA521" s="5" t="s">
        <v>78</v>
      </c>
      <c r="AB521" s="5"/>
      <c r="AC521" s="5" t="s">
        <v>1692</v>
      </c>
      <c r="AD521" s="14" t="n">
        <v>46288.771875</v>
      </c>
    </row>
    <row r="522" customFormat="false" ht="15" hidden="false" customHeight="false" outlineLevel="0" collapsed="false">
      <c r="A522" s="5" t="s">
        <v>1693</v>
      </c>
      <c r="B522" s="5" t="s">
        <v>1694</v>
      </c>
      <c r="C522" s="5" t="s">
        <v>55</v>
      </c>
      <c r="D522" s="5" t="s">
        <v>56</v>
      </c>
      <c r="E522" s="5" t="s">
        <v>115</v>
      </c>
      <c r="F522" s="5" t="s">
        <v>116</v>
      </c>
      <c r="G522" s="5" t="s">
        <v>59</v>
      </c>
      <c r="H522" s="5" t="s">
        <v>86</v>
      </c>
      <c r="I522" s="6" t="n">
        <v>0.5</v>
      </c>
      <c r="J522" s="7" t="n">
        <f aca="false">IF(I522="","",1/I522)</f>
        <v>2</v>
      </c>
      <c r="K522" s="8" t="n">
        <v>2.6</v>
      </c>
      <c r="L522" s="9" t="n">
        <v>0.05</v>
      </c>
      <c r="M522" s="10" t="n">
        <v>0.0196</v>
      </c>
      <c r="N522" s="8" t="n">
        <v>2.51</v>
      </c>
      <c r="O522" s="8" t="n">
        <v>2.51</v>
      </c>
      <c r="P522" s="8" t="n">
        <v>2.62</v>
      </c>
      <c r="Q522" s="8" t="n">
        <v>2.6</v>
      </c>
      <c r="R522" s="11" t="n">
        <v>258</v>
      </c>
      <c r="S522" s="11" t="n">
        <f aca="false">K522*R522</f>
        <v>670.8</v>
      </c>
      <c r="T522" s="8" t="n">
        <v>2.21</v>
      </c>
      <c r="U522" s="8" t="n">
        <v>7.14</v>
      </c>
      <c r="V522" s="12" t="n">
        <f aca="false">IF(U522-T522=0,"",(K522-T522)/(U522-T522))</f>
        <v>0.0791075050709939</v>
      </c>
      <c r="W522" s="13" t="n">
        <f aca="false">IF(U522=0,"",K522/U522-1)</f>
        <v>-0.635854341736695</v>
      </c>
      <c r="X522" s="11" t="n">
        <v>5070</v>
      </c>
      <c r="Y522" s="5" t="s">
        <v>115</v>
      </c>
      <c r="Z522" s="5" t="s">
        <v>117</v>
      </c>
      <c r="AA522" s="5" t="s">
        <v>116</v>
      </c>
      <c r="AB522" s="5"/>
      <c r="AC522" s="5" t="s">
        <v>1695</v>
      </c>
      <c r="AD522" s="14" t="n">
        <v>46288.771875</v>
      </c>
    </row>
    <row r="523" customFormat="false" ht="15" hidden="false" customHeight="false" outlineLevel="0" collapsed="false">
      <c r="A523" s="5" t="s">
        <v>1696</v>
      </c>
      <c r="B523" s="5" t="s">
        <v>1697</v>
      </c>
      <c r="C523" s="5" t="s">
        <v>55</v>
      </c>
      <c r="D523" s="5" t="s">
        <v>56</v>
      </c>
      <c r="E523" s="5" t="s">
        <v>71</v>
      </c>
      <c r="F523" s="5" t="s">
        <v>72</v>
      </c>
      <c r="G523" s="5" t="s">
        <v>59</v>
      </c>
      <c r="H523" s="5" t="s">
        <v>60</v>
      </c>
      <c r="I523" s="6" t="n">
        <v>0.083333</v>
      </c>
      <c r="J523" s="7" t="n">
        <f aca="false">IF(I523="","",1/I523)</f>
        <v>12.000048000192</v>
      </c>
      <c r="K523" s="8" t="n">
        <v>49.45</v>
      </c>
      <c r="L523" s="9" t="n">
        <v>0.55</v>
      </c>
      <c r="M523" s="10" t="n">
        <v>0.0112</v>
      </c>
      <c r="N523" s="8" t="n">
        <v>49.45</v>
      </c>
      <c r="O523" s="8" t="n">
        <v>49.45</v>
      </c>
      <c r="P523" s="8" t="n">
        <v>49.45</v>
      </c>
      <c r="Q523" s="8" t="n">
        <v>49.45</v>
      </c>
      <c r="R523" s="11" t="n">
        <v>4</v>
      </c>
      <c r="S523" s="11" t="n">
        <f aca="false">K523*R523</f>
        <v>197.8</v>
      </c>
      <c r="T523" s="8" t="n">
        <v>36.20249855</v>
      </c>
      <c r="U523" s="8" t="n">
        <v>61.7316642</v>
      </c>
      <c r="V523" s="12" t="n">
        <f aca="false">IF(U523-T523=0,"",(K523-T523)/(U523-T523))</f>
        <v>0.518916349700602</v>
      </c>
      <c r="W523" s="13" t="n">
        <f aca="false">IF(U523=0,"",K523/U523-1)</f>
        <v>-0.198952423511693</v>
      </c>
      <c r="X523" s="11" t="n">
        <v>179978</v>
      </c>
      <c r="Y523" s="5" t="s">
        <v>71</v>
      </c>
      <c r="Z523" s="5" t="s">
        <v>73</v>
      </c>
      <c r="AA523" s="5" t="s">
        <v>72</v>
      </c>
      <c r="AB523" s="5"/>
      <c r="AC523" s="5" t="s">
        <v>1698</v>
      </c>
      <c r="AD523" s="14" t="n">
        <v>46288.771875</v>
      </c>
    </row>
    <row r="524" customFormat="false" ht="15" hidden="false" customHeight="false" outlineLevel="0" collapsed="false">
      <c r="A524" s="5" t="s">
        <v>1699</v>
      </c>
      <c r="B524" s="5" t="s">
        <v>1700</v>
      </c>
      <c r="C524" s="5" t="s">
        <v>55</v>
      </c>
      <c r="D524" s="5" t="s">
        <v>56</v>
      </c>
      <c r="E524" s="5" t="s">
        <v>142</v>
      </c>
      <c r="F524" s="5" t="s">
        <v>143</v>
      </c>
      <c r="G524" s="5" t="s">
        <v>59</v>
      </c>
      <c r="H524" s="5" t="s">
        <v>60</v>
      </c>
      <c r="I524" s="6" t="n">
        <v>0.025</v>
      </c>
      <c r="J524" s="7" t="n">
        <f aca="false">IF(I524="","",1/I524)</f>
        <v>40</v>
      </c>
      <c r="K524" s="8" t="n">
        <v>56.69</v>
      </c>
      <c r="L524" s="9" t="n">
        <v>1.28</v>
      </c>
      <c r="M524" s="10" t="n">
        <v>0.0231</v>
      </c>
      <c r="N524" s="8" t="n">
        <v>56.21</v>
      </c>
      <c r="O524" s="8" t="n">
        <v>56.21</v>
      </c>
      <c r="P524" s="8" t="n">
        <v>56.91</v>
      </c>
      <c r="Q524" s="8" t="n">
        <v>56.69</v>
      </c>
      <c r="R524" s="11" t="n">
        <v>1024</v>
      </c>
      <c r="S524" s="11" t="n">
        <f aca="false">K524*R524</f>
        <v>58050.56</v>
      </c>
      <c r="T524" s="8" t="n">
        <v>50.0145</v>
      </c>
      <c r="U524" s="8" t="n">
        <v>64.9825</v>
      </c>
      <c r="V524" s="12" t="n">
        <f aca="false">IF(U524-T524=0,"",(K524-T524)/(U524-T524))</f>
        <v>0.445984767504008</v>
      </c>
      <c r="W524" s="13" t="n">
        <f aca="false">IF(U524=0,"",K524/U524-1)</f>
        <v>-0.127611279959989</v>
      </c>
      <c r="X524" s="11" t="n">
        <v>492992</v>
      </c>
      <c r="Y524" s="5" t="s">
        <v>142</v>
      </c>
      <c r="Z524" s="5" t="s">
        <v>144</v>
      </c>
      <c r="AA524" s="5" t="s">
        <v>143</v>
      </c>
      <c r="AB524" s="5"/>
      <c r="AC524" s="5" t="s">
        <v>1701</v>
      </c>
      <c r="AD524" s="14" t="n">
        <v>46288.771875</v>
      </c>
    </row>
    <row r="525" customFormat="false" ht="15" hidden="false" customHeight="false" outlineLevel="0" collapsed="false">
      <c r="A525" s="5" t="s">
        <v>1702</v>
      </c>
      <c r="B525" s="5" t="s">
        <v>1703</v>
      </c>
      <c r="C525" s="5" t="s">
        <v>55</v>
      </c>
      <c r="D525" s="5" t="s">
        <v>56</v>
      </c>
      <c r="E525" s="5" t="s">
        <v>99</v>
      </c>
      <c r="F525" s="5" t="s">
        <v>100</v>
      </c>
      <c r="G525" s="5" t="s">
        <v>59</v>
      </c>
      <c r="H525" s="5" t="s">
        <v>60</v>
      </c>
      <c r="I525" s="6" t="n">
        <v>0.05</v>
      </c>
      <c r="J525" s="7" t="n">
        <f aca="false">IF(I525="","",1/I525)</f>
        <v>20</v>
      </c>
      <c r="K525" s="8" t="n">
        <v>103.1</v>
      </c>
      <c r="L525" s="9" t="n">
        <v>0.68</v>
      </c>
      <c r="M525" s="10" t="n">
        <v>0.0066</v>
      </c>
      <c r="N525" s="8" t="n">
        <v>103.7</v>
      </c>
      <c r="O525" s="8" t="n">
        <v>102.21</v>
      </c>
      <c r="P525" s="8" t="n">
        <v>103.79</v>
      </c>
      <c r="Q525" s="8" t="n">
        <v>103.1</v>
      </c>
      <c r="R525" s="11" t="n">
        <v>329</v>
      </c>
      <c r="S525" s="11" t="n">
        <f aca="false">K525*R525</f>
        <v>33919.9</v>
      </c>
      <c r="T525" s="8" t="n">
        <v>83.81</v>
      </c>
      <c r="U525" s="8" t="n">
        <v>162.55</v>
      </c>
      <c r="V525" s="12" t="n">
        <f aca="false">IF(U525-T525=0,"",(K525-T525)/(U525-T525))</f>
        <v>0.24498348996698</v>
      </c>
      <c r="W525" s="13" t="n">
        <f aca="false">IF(U525=0,"",K525/U525-1)</f>
        <v>-0.365733620424485</v>
      </c>
      <c r="X525" s="11" t="n">
        <v>726968</v>
      </c>
      <c r="Y525" s="5" t="s">
        <v>99</v>
      </c>
      <c r="Z525" s="5" t="s">
        <v>101</v>
      </c>
      <c r="AA525" s="5" t="s">
        <v>100</v>
      </c>
      <c r="AB525" s="5"/>
      <c r="AC525" s="5" t="s">
        <v>1704</v>
      </c>
      <c r="AD525" s="14" t="n">
        <v>46288.771875</v>
      </c>
    </row>
    <row r="526" customFormat="false" ht="15" hidden="false" customHeight="false" outlineLevel="0" collapsed="false">
      <c r="A526" s="5" t="s">
        <v>1705</v>
      </c>
      <c r="B526" s="5" t="s">
        <v>1706</v>
      </c>
      <c r="C526" s="5" t="s">
        <v>55</v>
      </c>
      <c r="D526" s="5" t="s">
        <v>56</v>
      </c>
      <c r="E526" s="5" t="s">
        <v>142</v>
      </c>
      <c r="F526" s="5" t="s">
        <v>143</v>
      </c>
      <c r="G526" s="5" t="s">
        <v>59</v>
      </c>
      <c r="H526" s="5" t="s">
        <v>60</v>
      </c>
      <c r="I526" s="6" t="n">
        <v>0.25</v>
      </c>
      <c r="J526" s="7" t="n">
        <f aca="false">IF(I526="","",1/I526)</f>
        <v>4</v>
      </c>
      <c r="K526" s="8" t="n">
        <v>341.95</v>
      </c>
      <c r="L526" s="9" t="n">
        <v>-7.05</v>
      </c>
      <c r="M526" s="10" t="n">
        <v>-0.0202</v>
      </c>
      <c r="N526" s="8" t="n">
        <v>341.95</v>
      </c>
      <c r="O526" s="8" t="n">
        <v>341.95</v>
      </c>
      <c r="P526" s="8" t="n">
        <v>341.95</v>
      </c>
      <c r="Q526" s="8" t="n">
        <v>341.95</v>
      </c>
      <c r="R526" s="11" t="n">
        <v>30</v>
      </c>
      <c r="S526" s="11" t="n">
        <f aca="false">K526*R526</f>
        <v>10258.5</v>
      </c>
      <c r="T526" s="8" t="n">
        <v>324.6</v>
      </c>
      <c r="U526" s="8" t="n">
        <v>378.98</v>
      </c>
      <c r="V526" s="12" t="n">
        <f aca="false">IF(U526-T526=0,"",(K526-T526)/(U526-T526))</f>
        <v>0.319051121735932</v>
      </c>
      <c r="W526" s="13" t="n">
        <f aca="false">IF(U526=0,"",K526/U526-1)</f>
        <v>-0.0977096416697452</v>
      </c>
      <c r="X526" s="11" t="n">
        <v>394216</v>
      </c>
      <c r="Y526" s="5" t="s">
        <v>142</v>
      </c>
      <c r="Z526" s="5" t="s">
        <v>144</v>
      </c>
      <c r="AA526" s="5" t="s">
        <v>143</v>
      </c>
      <c r="AB526" s="5"/>
      <c r="AC526" s="5" t="s">
        <v>1707</v>
      </c>
      <c r="AD526" s="14" t="n">
        <v>46288.771875</v>
      </c>
    </row>
    <row r="527" customFormat="false" ht="15" hidden="false" customHeight="false" outlineLevel="0" collapsed="false">
      <c r="A527" s="5" t="s">
        <v>1708</v>
      </c>
      <c r="B527" s="5" t="s">
        <v>1709</v>
      </c>
      <c r="C527" s="5" t="s">
        <v>55</v>
      </c>
      <c r="D527" s="5" t="s">
        <v>56</v>
      </c>
      <c r="E527" s="5" t="s">
        <v>71</v>
      </c>
      <c r="F527" s="5" t="s">
        <v>72</v>
      </c>
      <c r="G527" s="5" t="s">
        <v>59</v>
      </c>
      <c r="H527" s="5" t="s">
        <v>60</v>
      </c>
      <c r="I527" s="6" t="n">
        <v>1</v>
      </c>
      <c r="J527" s="7" t="n">
        <f aca="false">IF(I527="","",1/I527)</f>
        <v>1</v>
      </c>
      <c r="K527" s="8" t="n">
        <v>160.16</v>
      </c>
      <c r="L527" s="9" t="n">
        <v>0</v>
      </c>
      <c r="M527" s="10" t="n">
        <v>0</v>
      </c>
      <c r="N527" s="8" t="n">
        <v>160.16</v>
      </c>
      <c r="O527" s="8" t="n">
        <v>160.16</v>
      </c>
      <c r="P527" s="8" t="n">
        <v>160.16</v>
      </c>
      <c r="Q527" s="8" t="n">
        <v>160.16</v>
      </c>
      <c r="R527" s="11" t="n">
        <v>2</v>
      </c>
      <c r="S527" s="11" t="n">
        <f aca="false">K527*R527</f>
        <v>320.32</v>
      </c>
      <c r="T527" s="8" t="n">
        <v>118.56</v>
      </c>
      <c r="U527" s="8" t="n">
        <v>173.06</v>
      </c>
      <c r="V527" s="12" t="n">
        <f aca="false">IF(U527-T527=0,"",(K527-T527)/(U527-T527))</f>
        <v>0.763302752293578</v>
      </c>
      <c r="W527" s="13" t="n">
        <f aca="false">IF(U527=0,"",K527/U527-1)</f>
        <v>-0.0745406217496822</v>
      </c>
      <c r="X527" s="11" t="n">
        <v>69705</v>
      </c>
      <c r="Y527" s="5" t="s">
        <v>71</v>
      </c>
      <c r="Z527" s="5" t="s">
        <v>73</v>
      </c>
      <c r="AA527" s="5" t="s">
        <v>72</v>
      </c>
      <c r="AB527" s="5"/>
      <c r="AC527" s="5" t="s">
        <v>1710</v>
      </c>
      <c r="AD527" s="14" t="n">
        <v>46288.771875</v>
      </c>
    </row>
    <row r="528" customFormat="false" ht="15" hidden="false" customHeight="false" outlineLevel="0" collapsed="false">
      <c r="A528" s="5" t="s">
        <v>1711</v>
      </c>
      <c r="B528" s="5" t="s">
        <v>1712</v>
      </c>
      <c r="C528" s="5" t="s">
        <v>55</v>
      </c>
      <c r="D528" s="5" t="s">
        <v>56</v>
      </c>
      <c r="E528" s="5" t="s">
        <v>71</v>
      </c>
      <c r="F528" s="5" t="s">
        <v>72</v>
      </c>
      <c r="G528" s="5" t="s">
        <v>59</v>
      </c>
      <c r="H528" s="5" t="s">
        <v>86</v>
      </c>
      <c r="I528" s="6" t="n">
        <v>0.125</v>
      </c>
      <c r="J528" s="7" t="n">
        <f aca="false">IF(I528="","",1/I528)</f>
        <v>8</v>
      </c>
      <c r="K528" s="8" t="n">
        <v>25.42</v>
      </c>
      <c r="L528" s="9" t="n">
        <v>-0.29</v>
      </c>
      <c r="M528" s="10" t="n">
        <v>-0.0113</v>
      </c>
      <c r="N528" s="8" t="n">
        <v>25.42</v>
      </c>
      <c r="O528" s="8" t="n">
        <v>25.42</v>
      </c>
      <c r="P528" s="8" t="n">
        <v>25.42</v>
      </c>
      <c r="Q528" s="8" t="n">
        <v>25.42</v>
      </c>
      <c r="R528" s="11" t="n">
        <v>2</v>
      </c>
      <c r="S528" s="11" t="n">
        <f aca="false">K528*R528</f>
        <v>50.84</v>
      </c>
      <c r="T528" s="8" t="n">
        <v>16.46</v>
      </c>
      <c r="U528" s="8" t="n">
        <v>25.8</v>
      </c>
      <c r="V528" s="12" t="n">
        <f aca="false">IF(U528-T528=0,"",(K528-T528)/(U528-T528))</f>
        <v>0.9593147751606</v>
      </c>
      <c r="W528" s="13" t="n">
        <f aca="false">IF(U528=0,"",K528/U528-1)</f>
        <v>-0.0147286821705426</v>
      </c>
      <c r="X528" s="11" t="n">
        <v>208266</v>
      </c>
      <c r="Y528" s="5" t="s">
        <v>71</v>
      </c>
      <c r="Z528" s="5" t="s">
        <v>73</v>
      </c>
      <c r="AA528" s="5" t="s">
        <v>72</v>
      </c>
      <c r="AB528" s="5"/>
      <c r="AC528" s="5" t="s">
        <v>1713</v>
      </c>
      <c r="AD528" s="14" t="n">
        <v>46288.771875</v>
      </c>
    </row>
    <row r="529" customFormat="false" ht="15" hidden="false" customHeight="false" outlineLevel="0" collapsed="false">
      <c r="A529" s="5" t="s">
        <v>1714</v>
      </c>
      <c r="B529" s="5" t="s">
        <v>1715</v>
      </c>
      <c r="C529" s="5" t="s">
        <v>55</v>
      </c>
      <c r="D529" s="5" t="s">
        <v>56</v>
      </c>
      <c r="E529" s="5" t="s">
        <v>77</v>
      </c>
      <c r="F529" s="5" t="s">
        <v>78</v>
      </c>
      <c r="G529" s="5" t="s">
        <v>59</v>
      </c>
      <c r="H529" s="5" t="s">
        <v>60</v>
      </c>
      <c r="I529" s="6" t="n">
        <v>1</v>
      </c>
      <c r="J529" s="7" t="n">
        <f aca="false">IF(I529="","",1/I529)</f>
        <v>1</v>
      </c>
      <c r="K529" s="8" t="n">
        <v>15.74</v>
      </c>
      <c r="L529" s="9" t="n">
        <v>0.54</v>
      </c>
      <c r="M529" s="10" t="n">
        <v>0.0355</v>
      </c>
      <c r="N529" s="8" t="n">
        <v>16.2</v>
      </c>
      <c r="O529" s="8" t="n">
        <v>15.74</v>
      </c>
      <c r="P529" s="8" t="n">
        <v>16.2</v>
      </c>
      <c r="Q529" s="8" t="n">
        <v>15.74</v>
      </c>
      <c r="R529" s="11" t="n">
        <v>28</v>
      </c>
      <c r="S529" s="11" t="n">
        <f aca="false">K529*R529</f>
        <v>440.72</v>
      </c>
      <c r="T529" s="8" t="n">
        <v>12.5</v>
      </c>
      <c r="U529" s="8" t="n">
        <v>36.18</v>
      </c>
      <c r="V529" s="12" t="n">
        <f aca="false">IF(U529-T529=0,"",(K529-T529)/(U529-T529))</f>
        <v>0.136824324324324</v>
      </c>
      <c r="W529" s="13" t="n">
        <f aca="false">IF(U529=0,"",K529/U529-1)</f>
        <v>-0.564953012714207</v>
      </c>
      <c r="X529" s="11" t="n">
        <v>3796</v>
      </c>
      <c r="Y529" s="5" t="s">
        <v>77</v>
      </c>
      <c r="Z529" s="5" t="s">
        <v>79</v>
      </c>
      <c r="AA529" s="5" t="s">
        <v>78</v>
      </c>
      <c r="AB529" s="5"/>
      <c r="AC529" s="5" t="s">
        <v>1716</v>
      </c>
      <c r="AD529" s="14" t="n">
        <v>46288.771875</v>
      </c>
    </row>
    <row r="530" customFormat="false" ht="15" hidden="false" customHeight="false" outlineLevel="0" collapsed="false">
      <c r="A530" s="5" t="s">
        <v>1717</v>
      </c>
      <c r="B530" s="5" t="s">
        <v>1718</v>
      </c>
      <c r="C530" s="5" t="s">
        <v>55</v>
      </c>
      <c r="D530" s="5" t="s">
        <v>56</v>
      </c>
      <c r="E530" s="5" t="s">
        <v>273</v>
      </c>
      <c r="F530" s="5" t="s">
        <v>274</v>
      </c>
      <c r="G530" s="5" t="s">
        <v>59</v>
      </c>
      <c r="H530" s="5" t="s">
        <v>60</v>
      </c>
      <c r="I530" s="6" t="n">
        <v>0.125</v>
      </c>
      <c r="J530" s="7" t="n">
        <f aca="false">IF(I530="","",1/I530)</f>
        <v>8</v>
      </c>
      <c r="K530" s="8" t="n">
        <v>62.6</v>
      </c>
      <c r="L530" s="9" t="n">
        <v>-2.61</v>
      </c>
      <c r="M530" s="10" t="n">
        <v>-0.04</v>
      </c>
      <c r="N530" s="8" t="n">
        <v>63.18</v>
      </c>
      <c r="O530" s="8" t="n">
        <v>62.6</v>
      </c>
      <c r="P530" s="8" t="n">
        <v>63.18</v>
      </c>
      <c r="Q530" s="8" t="n">
        <v>62.6</v>
      </c>
      <c r="R530" s="11" t="n">
        <v>2</v>
      </c>
      <c r="S530" s="11" t="n">
        <f aca="false">K530*R530</f>
        <v>125.2</v>
      </c>
      <c r="T530" s="8" t="n">
        <v>62.6</v>
      </c>
      <c r="U530" s="8" t="n">
        <v>86.52</v>
      </c>
      <c r="V530" s="12" t="n">
        <f aca="false">IF(U530-T530=0,"",(K530-T530)/(U530-T530))</f>
        <v>0</v>
      </c>
      <c r="W530" s="13" t="n">
        <f aca="false">IF(U530=0,"",K530/U530-1)</f>
        <v>-0.276467868700878</v>
      </c>
      <c r="X530" s="11" t="n">
        <v>31600</v>
      </c>
      <c r="Y530" s="5" t="s">
        <v>273</v>
      </c>
      <c r="Z530" s="5" t="s">
        <v>275</v>
      </c>
      <c r="AA530" s="5" t="s">
        <v>274</v>
      </c>
      <c r="AB530" s="5"/>
      <c r="AC530" s="5" t="s">
        <v>1719</v>
      </c>
      <c r="AD530" s="14" t="n">
        <v>46288.771875</v>
      </c>
    </row>
    <row r="531" customFormat="false" ht="15" hidden="false" customHeight="false" outlineLevel="0" collapsed="false">
      <c r="A531" s="5" t="s">
        <v>1720</v>
      </c>
      <c r="B531" s="5" t="s">
        <v>1721</v>
      </c>
      <c r="C531" s="5" t="s">
        <v>55</v>
      </c>
      <c r="D531" s="5" t="s">
        <v>56</v>
      </c>
      <c r="E531" s="5" t="s">
        <v>71</v>
      </c>
      <c r="F531" s="5" t="s">
        <v>72</v>
      </c>
      <c r="G531" s="5" t="s">
        <v>59</v>
      </c>
      <c r="H531" s="5" t="s">
        <v>60</v>
      </c>
      <c r="I531" s="6" t="n">
        <v>0.2</v>
      </c>
      <c r="J531" s="7" t="n">
        <f aca="false">IF(I531="","",1/I531)</f>
        <v>5</v>
      </c>
      <c r="K531" s="8" t="n">
        <v>29.49</v>
      </c>
      <c r="L531" s="9" t="n">
        <v>1.59</v>
      </c>
      <c r="M531" s="10" t="n">
        <v>0.057</v>
      </c>
      <c r="N531" s="8" t="n">
        <v>29</v>
      </c>
      <c r="O531" s="8" t="n">
        <v>29</v>
      </c>
      <c r="P531" s="8" t="n">
        <v>29.5</v>
      </c>
      <c r="Q531" s="8" t="n">
        <v>29.49</v>
      </c>
      <c r="R531" s="11" t="n">
        <v>1327</v>
      </c>
      <c r="S531" s="11" t="n">
        <f aca="false">K531*R531</f>
        <v>39133.23</v>
      </c>
      <c r="T531" s="8" t="n">
        <v>24.7</v>
      </c>
      <c r="U531" s="8" t="n">
        <v>32.31</v>
      </c>
      <c r="V531" s="12" t="n">
        <f aca="false">IF(U531-T531=0,"",(K531-T531)/(U531-T531))</f>
        <v>0.629434954007884</v>
      </c>
      <c r="W531" s="13" t="n">
        <f aca="false">IF(U531=0,"",K531/U531-1)</f>
        <v>-0.0872794800371404</v>
      </c>
      <c r="X531" s="11" t="n">
        <v>82034</v>
      </c>
      <c r="Y531" s="5" t="s">
        <v>71</v>
      </c>
      <c r="Z531" s="5" t="s">
        <v>73</v>
      </c>
      <c r="AA531" s="5" t="s">
        <v>72</v>
      </c>
      <c r="AB531" s="5"/>
      <c r="AC531" s="5" t="s">
        <v>1722</v>
      </c>
      <c r="AD531" s="14" t="n">
        <v>46288.771875</v>
      </c>
    </row>
    <row r="532" customFormat="false" ht="15" hidden="false" customHeight="false" outlineLevel="0" collapsed="false">
      <c r="A532" s="5" t="s">
        <v>1723</v>
      </c>
      <c r="B532" s="5" t="s">
        <v>1724</v>
      </c>
      <c r="C532" s="5" t="s">
        <v>55</v>
      </c>
      <c r="D532" s="5" t="s">
        <v>56</v>
      </c>
      <c r="E532" s="5" t="s">
        <v>142</v>
      </c>
      <c r="F532" s="5" t="s">
        <v>143</v>
      </c>
      <c r="G532" s="5" t="s">
        <v>59</v>
      </c>
      <c r="H532" s="5" t="s">
        <v>60</v>
      </c>
      <c r="I532" s="6" t="n">
        <v>0.166667</v>
      </c>
      <c r="J532" s="7" t="n">
        <f aca="false">IF(I532="","",1/I532)</f>
        <v>5.999988000024</v>
      </c>
      <c r="K532" s="8" t="n">
        <v>61.56</v>
      </c>
      <c r="L532" s="9" t="n">
        <v>-2.7</v>
      </c>
      <c r="M532" s="10" t="n">
        <v>-0.042</v>
      </c>
      <c r="N532" s="8" t="n">
        <v>61.38</v>
      </c>
      <c r="O532" s="8" t="n">
        <v>61.38</v>
      </c>
      <c r="P532" s="8" t="n">
        <v>61.56</v>
      </c>
      <c r="Q532" s="8" t="n">
        <v>61.56</v>
      </c>
      <c r="R532" s="11" t="n">
        <v>733</v>
      </c>
      <c r="S532" s="11" t="n">
        <f aca="false">K532*R532</f>
        <v>45123.48</v>
      </c>
      <c r="T532" s="8" t="n">
        <v>60.73</v>
      </c>
      <c r="U532" s="8" t="n">
        <v>85.69</v>
      </c>
      <c r="V532" s="12" t="n">
        <f aca="false">IF(U532-T532=0,"",(K532-T532)/(U532-T532))</f>
        <v>0.0332532051282053</v>
      </c>
      <c r="W532" s="13" t="n">
        <f aca="false">IF(U532=0,"",K532/U532-1)</f>
        <v>-0.28159645232816</v>
      </c>
      <c r="X532" s="11" t="n">
        <v>146642</v>
      </c>
      <c r="Y532" s="5" t="s">
        <v>142</v>
      </c>
      <c r="Z532" s="5" t="s">
        <v>144</v>
      </c>
      <c r="AA532" s="5" t="s">
        <v>143</v>
      </c>
      <c r="AB532" s="5"/>
      <c r="AC532" s="5" t="s">
        <v>1725</v>
      </c>
      <c r="AD532" s="14" t="n">
        <v>46288.771875</v>
      </c>
    </row>
    <row r="533" customFormat="false" ht="15" hidden="false" customHeight="false" outlineLevel="0" collapsed="false">
      <c r="A533" s="5" t="s">
        <v>1726</v>
      </c>
      <c r="B533" s="5" t="s">
        <v>1727</v>
      </c>
      <c r="C533" s="5" t="s">
        <v>248</v>
      </c>
      <c r="D533" s="5" t="s">
        <v>249</v>
      </c>
      <c r="E533" s="5" t="s">
        <v>250</v>
      </c>
      <c r="F533" s="5" t="s">
        <v>251</v>
      </c>
      <c r="G533" s="5" t="s">
        <v>59</v>
      </c>
      <c r="H533" s="5" t="s">
        <v>60</v>
      </c>
      <c r="I533" s="6" t="n">
        <v>0.333333333</v>
      </c>
      <c r="J533" s="7" t="n">
        <f aca="false">IF(I533="","",1/I533)</f>
        <v>3.000000003</v>
      </c>
      <c r="K533" s="8" t="n">
        <v>82.4</v>
      </c>
      <c r="L533" s="9" t="n">
        <v>-0.78</v>
      </c>
      <c r="M533" s="10" t="n">
        <v>-0.0094</v>
      </c>
      <c r="N533" s="8" t="n">
        <v>83.99</v>
      </c>
      <c r="O533" s="8" t="n">
        <v>81.62</v>
      </c>
      <c r="P533" s="8" t="n">
        <v>83.99</v>
      </c>
      <c r="Q533" s="8" t="n">
        <v>82.4</v>
      </c>
      <c r="R533" s="11" t="n">
        <v>14390</v>
      </c>
      <c r="S533" s="11" t="n">
        <f aca="false">K533*R533</f>
        <v>1185736</v>
      </c>
      <c r="T533" s="8" t="n">
        <v>56.75</v>
      </c>
      <c r="U533" s="8" t="n">
        <v>127.1</v>
      </c>
      <c r="V533" s="12" t="n">
        <f aca="false">IF(U533-T533=0,"",(K533-T533)/(U533-T533))</f>
        <v>0.364605543710021</v>
      </c>
      <c r="W533" s="13" t="n">
        <f aca="false">IF(U533=0,"",K533/U533-1)</f>
        <v>-0.351691581431943</v>
      </c>
      <c r="X533" s="11"/>
      <c r="Y533" s="5" t="s">
        <v>253</v>
      </c>
      <c r="Z533" s="5" t="s">
        <v>254</v>
      </c>
      <c r="AA533" s="5" t="s">
        <v>251</v>
      </c>
      <c r="AB533" s="5"/>
      <c r="AC533" s="5" t="s">
        <v>1728</v>
      </c>
      <c r="AD533" s="14" t="n">
        <v>46288.771875</v>
      </c>
    </row>
    <row r="534" customFormat="false" ht="15" hidden="false" customHeight="false" outlineLevel="0" collapsed="false">
      <c r="A534" s="5" t="s">
        <v>1729</v>
      </c>
      <c r="B534" s="5" t="s">
        <v>1730</v>
      </c>
      <c r="C534" s="5" t="s">
        <v>55</v>
      </c>
      <c r="D534" s="5" t="s">
        <v>56</v>
      </c>
      <c r="E534" s="5" t="s">
        <v>71</v>
      </c>
      <c r="F534" s="5" t="s">
        <v>72</v>
      </c>
      <c r="G534" s="5" t="s">
        <v>59</v>
      </c>
      <c r="H534" s="5" t="s">
        <v>60</v>
      </c>
      <c r="I534" s="6" t="n">
        <v>0.0625</v>
      </c>
      <c r="J534" s="7" t="n">
        <f aca="false">IF(I534="","",1/I534)</f>
        <v>16</v>
      </c>
      <c r="K534" s="8" t="n">
        <v>28.41</v>
      </c>
      <c r="L534" s="9" t="n">
        <v>0.34</v>
      </c>
      <c r="M534" s="10" t="n">
        <v>0.0121</v>
      </c>
      <c r="N534" s="8" t="n">
        <v>28.5</v>
      </c>
      <c r="O534" s="8" t="n">
        <v>28.41</v>
      </c>
      <c r="P534" s="8" t="n">
        <v>28.5</v>
      </c>
      <c r="Q534" s="8" t="n">
        <v>28.41</v>
      </c>
      <c r="R534" s="11" t="n">
        <v>264</v>
      </c>
      <c r="S534" s="11" t="n">
        <f aca="false">K534*R534</f>
        <v>7500.24</v>
      </c>
      <c r="T534" s="8" t="n">
        <v>20.1</v>
      </c>
      <c r="U534" s="8" t="n">
        <v>31.25</v>
      </c>
      <c r="V534" s="12" t="n">
        <f aca="false">IF(U534-T534=0,"",(K534-T534)/(U534-T534))</f>
        <v>0.745291479820628</v>
      </c>
      <c r="W534" s="13" t="n">
        <f aca="false">IF(U534=0,"",K534/U534-1)</f>
        <v>-0.09088</v>
      </c>
      <c r="X534" s="11" t="n">
        <v>799981</v>
      </c>
      <c r="Y534" s="5" t="s">
        <v>71</v>
      </c>
      <c r="Z534" s="5" t="s">
        <v>73</v>
      </c>
      <c r="AA534" s="5" t="s">
        <v>72</v>
      </c>
      <c r="AB534" s="5"/>
      <c r="AC534" s="5" t="s">
        <v>1731</v>
      </c>
      <c r="AD534" s="14" t="n">
        <v>46288.771875</v>
      </c>
    </row>
    <row r="535" customFormat="false" ht="15" hidden="false" customHeight="false" outlineLevel="0" collapsed="false">
      <c r="A535" s="5" t="s">
        <v>1732</v>
      </c>
      <c r="B535" s="5" t="s">
        <v>1733</v>
      </c>
      <c r="C535" s="5" t="s">
        <v>55</v>
      </c>
      <c r="D535" s="5" t="s">
        <v>56</v>
      </c>
      <c r="E535" s="5" t="s">
        <v>115</v>
      </c>
      <c r="F535" s="5" t="s">
        <v>116</v>
      </c>
      <c r="G535" s="5" t="s">
        <v>59</v>
      </c>
      <c r="H535" s="5" t="s">
        <v>60</v>
      </c>
      <c r="I535" s="6" t="n">
        <v>1</v>
      </c>
      <c r="J535" s="7" t="n">
        <f aca="false">IF(I535="","",1/I535)</f>
        <v>1</v>
      </c>
      <c r="K535" s="8" t="n">
        <v>1206.5</v>
      </c>
      <c r="L535" s="9" t="n">
        <v>20.28</v>
      </c>
      <c r="M535" s="10" t="n">
        <v>0.0171</v>
      </c>
      <c r="N535" s="8" t="n">
        <v>1195.35</v>
      </c>
      <c r="O535" s="8" t="n">
        <v>1195.35</v>
      </c>
      <c r="P535" s="8" t="n">
        <v>1220</v>
      </c>
      <c r="Q535" s="8" t="n">
        <v>1206.5</v>
      </c>
      <c r="R535" s="11" t="n">
        <v>145</v>
      </c>
      <c r="S535" s="11" t="n">
        <f aca="false">K535*R535</f>
        <v>174942.5</v>
      </c>
      <c r="T535" s="8" t="n">
        <v>1014.08</v>
      </c>
      <c r="U535" s="8" t="n">
        <v>1718.73</v>
      </c>
      <c r="V535" s="12" t="n">
        <f aca="false">IF(U535-T535=0,"",(K535-T535)/(U535-T535))</f>
        <v>0.273071737742141</v>
      </c>
      <c r="W535" s="13" t="n">
        <f aca="false">IF(U535=0,"",K535/U535-1)</f>
        <v>-0.298028195237181</v>
      </c>
      <c r="X535" s="11" t="n">
        <v>1115614</v>
      </c>
      <c r="Y535" s="5" t="s">
        <v>115</v>
      </c>
      <c r="Z535" s="5" t="s">
        <v>117</v>
      </c>
      <c r="AA535" s="5" t="s">
        <v>116</v>
      </c>
      <c r="AB535" s="5"/>
      <c r="AC535" s="5" t="s">
        <v>1734</v>
      </c>
      <c r="AD535" s="14" t="n">
        <v>46288.771875</v>
      </c>
    </row>
    <row r="536" customFormat="false" ht="15" hidden="false" customHeight="false" outlineLevel="0" collapsed="false">
      <c r="A536" s="5" t="s">
        <v>1735</v>
      </c>
      <c r="B536" s="5" t="s">
        <v>1736</v>
      </c>
      <c r="C536" s="5" t="s">
        <v>55</v>
      </c>
      <c r="D536" s="5" t="s">
        <v>56</v>
      </c>
      <c r="E536" s="5" t="s">
        <v>1388</v>
      </c>
      <c r="F536" s="5" t="s">
        <v>1389</v>
      </c>
      <c r="G536" s="5" t="s">
        <v>59</v>
      </c>
      <c r="H536" s="5" t="s">
        <v>60</v>
      </c>
      <c r="I536" s="6" t="n">
        <v>0.05</v>
      </c>
      <c r="J536" s="7" t="n">
        <f aca="false">IF(I536="","",1/I536)</f>
        <v>20</v>
      </c>
      <c r="K536" s="8" t="n">
        <v>43.4</v>
      </c>
      <c r="L536" s="9" t="n">
        <v>1.68</v>
      </c>
      <c r="M536" s="10" t="n">
        <v>0.0403</v>
      </c>
      <c r="N536" s="8" t="n">
        <v>43.3</v>
      </c>
      <c r="O536" s="8" t="n">
        <v>43.3</v>
      </c>
      <c r="P536" s="8" t="n">
        <v>43.4</v>
      </c>
      <c r="Q536" s="8" t="n">
        <v>43.4</v>
      </c>
      <c r="R536" s="11" t="n">
        <v>530</v>
      </c>
      <c r="S536" s="11" t="n">
        <f aca="false">K536*R536</f>
        <v>23002</v>
      </c>
      <c r="T536" s="8" t="n">
        <v>21.13</v>
      </c>
      <c r="U536" s="8" t="n">
        <v>43.4</v>
      </c>
      <c r="V536" s="12" t="n">
        <f aca="false">IF(U536-T536=0,"",(K536-T536)/(U536-T536))</f>
        <v>1</v>
      </c>
      <c r="W536" s="13" t="n">
        <f aca="false">IF(U536=0,"",K536/U536-1)</f>
        <v>0</v>
      </c>
      <c r="X536" s="11" t="n">
        <v>65984</v>
      </c>
      <c r="Y536" s="5" t="s">
        <v>1388</v>
      </c>
      <c r="Z536" s="5" t="s">
        <v>1390</v>
      </c>
      <c r="AA536" s="5" t="s">
        <v>1389</v>
      </c>
      <c r="AB536" s="5"/>
      <c r="AC536" s="5" t="s">
        <v>1737</v>
      </c>
      <c r="AD536" s="14" t="n">
        <v>46288.771875</v>
      </c>
    </row>
    <row r="537" customFormat="false" ht="15" hidden="false" customHeight="false" outlineLevel="0" collapsed="false">
      <c r="A537" s="5" t="s">
        <v>1738</v>
      </c>
      <c r="B537" s="5" t="s">
        <v>1739</v>
      </c>
      <c r="C537" s="5" t="s">
        <v>55</v>
      </c>
      <c r="D537" s="5" t="s">
        <v>1740</v>
      </c>
      <c r="E537" s="5" t="s">
        <v>71</v>
      </c>
      <c r="F537" s="5" t="s">
        <v>72</v>
      </c>
      <c r="G537" s="5" t="s">
        <v>59</v>
      </c>
      <c r="H537" s="5" t="s">
        <v>60</v>
      </c>
      <c r="I537" s="6" t="n">
        <v>1</v>
      </c>
      <c r="J537" s="7" t="n">
        <f aca="false">IF(I537="","",1/I537)</f>
        <v>1</v>
      </c>
      <c r="K537" s="8" t="n">
        <v>27</v>
      </c>
      <c r="L537" s="9" t="n">
        <v>-1.23</v>
      </c>
      <c r="M537" s="10" t="n">
        <v>-0.0436</v>
      </c>
      <c r="N537" s="8" t="n">
        <v>27.91</v>
      </c>
      <c r="O537" s="8" t="n">
        <v>27</v>
      </c>
      <c r="P537" s="8" t="n">
        <v>28.8</v>
      </c>
      <c r="Q537" s="8" t="n">
        <v>27.11</v>
      </c>
      <c r="R537" s="11" t="n">
        <v>3592784</v>
      </c>
      <c r="S537" s="11" t="n">
        <f aca="false">K537*R537</f>
        <v>97005168</v>
      </c>
      <c r="T537" s="8" t="n">
        <v>25.93</v>
      </c>
      <c r="U537" s="8" t="n">
        <v>53.5</v>
      </c>
      <c r="V537" s="12" t="n">
        <f aca="false">IF(U537-T537=0,"",(K537-T537)/(U537-T537))</f>
        <v>0.038810301051868</v>
      </c>
      <c r="W537" s="13" t="n">
        <f aca="false">IF(U537=0,"",K537/U537-1)</f>
        <v>-0.495327102803738</v>
      </c>
      <c r="X537" s="11" t="n">
        <v>12475</v>
      </c>
      <c r="Y537" s="5" t="s">
        <v>71</v>
      </c>
      <c r="Z537" s="5" t="s">
        <v>73</v>
      </c>
      <c r="AA537" s="5" t="s">
        <v>72</v>
      </c>
      <c r="AB537" s="5"/>
      <c r="AC537" s="5" t="s">
        <v>1741</v>
      </c>
      <c r="AD537" s="14" t="n">
        <v>46288.771875</v>
      </c>
    </row>
    <row r="538" customFormat="false" ht="15" hidden="false" customHeight="false" outlineLevel="0" collapsed="false">
      <c r="A538" s="5" t="s">
        <v>1742</v>
      </c>
      <c r="B538" s="5" t="s">
        <v>1743</v>
      </c>
      <c r="C538" s="5" t="s">
        <v>55</v>
      </c>
      <c r="D538" s="5" t="s">
        <v>56</v>
      </c>
      <c r="E538" s="5" t="s">
        <v>71</v>
      </c>
      <c r="F538" s="5" t="s">
        <v>72</v>
      </c>
      <c r="G538" s="5" t="s">
        <v>59</v>
      </c>
      <c r="H538" s="5" t="s">
        <v>86</v>
      </c>
      <c r="I538" s="6" t="n">
        <v>1</v>
      </c>
      <c r="J538" s="7" t="n">
        <f aca="false">IF(I538="","",1/I538)</f>
        <v>1</v>
      </c>
      <c r="K538" s="8" t="n">
        <v>186.01</v>
      </c>
      <c r="L538" s="9" t="n">
        <v>-0.19</v>
      </c>
      <c r="M538" s="10" t="n">
        <v>-0.001</v>
      </c>
      <c r="N538" s="8" t="n">
        <v>186</v>
      </c>
      <c r="O538" s="8" t="n">
        <v>186</v>
      </c>
      <c r="P538" s="8" t="n">
        <v>186.01</v>
      </c>
      <c r="Q538" s="8" t="n">
        <v>186.01</v>
      </c>
      <c r="R538" s="11" t="n">
        <v>17</v>
      </c>
      <c r="S538" s="11" t="n">
        <f aca="false">K538*R538</f>
        <v>3162.17</v>
      </c>
      <c r="T538" s="8" t="n">
        <v>127.4</v>
      </c>
      <c r="U538" s="8" t="n">
        <v>191.9</v>
      </c>
      <c r="V538" s="12" t="n">
        <f aca="false">IF(U538-T538=0,"",(K538-T538)/(U538-T538))</f>
        <v>0.908682170542635</v>
      </c>
      <c r="W538" s="13" t="n">
        <f aca="false">IF(U538=0,"",K538/U538-1)</f>
        <v>-0.0306930693069307</v>
      </c>
      <c r="X538" s="11" t="n">
        <v>517722</v>
      </c>
      <c r="Y538" s="5" t="s">
        <v>71</v>
      </c>
      <c r="Z538" s="5" t="s">
        <v>73</v>
      </c>
      <c r="AA538" s="5" t="s">
        <v>72</v>
      </c>
      <c r="AB538" s="5"/>
      <c r="AC538" s="5" t="s">
        <v>1744</v>
      </c>
      <c r="AD538" s="14" t="n">
        <v>46288.771875</v>
      </c>
    </row>
    <row r="539" customFormat="false" ht="15" hidden="false" customHeight="false" outlineLevel="0" collapsed="false">
      <c r="A539" s="5" t="s">
        <v>1745</v>
      </c>
      <c r="B539" s="5" t="s">
        <v>1746</v>
      </c>
      <c r="C539" s="5" t="s">
        <v>55</v>
      </c>
      <c r="D539" s="5" t="s">
        <v>56</v>
      </c>
      <c r="E539" s="5" t="s">
        <v>115</v>
      </c>
      <c r="F539" s="5" t="s">
        <v>116</v>
      </c>
      <c r="G539" s="5" t="s">
        <v>59</v>
      </c>
      <c r="H539" s="5" t="s">
        <v>60</v>
      </c>
      <c r="I539" s="6" t="n">
        <v>0.02272727</v>
      </c>
      <c r="J539" s="7" t="n">
        <f aca="false">IF(I539="","",1/I539)</f>
        <v>44.0000052800006</v>
      </c>
      <c r="K539" s="8" t="n">
        <v>33.86</v>
      </c>
      <c r="L539" s="9" t="n">
        <v>0.02</v>
      </c>
      <c r="M539" s="10" t="n">
        <v>0.0006</v>
      </c>
      <c r="N539" s="8" t="n">
        <v>33.9</v>
      </c>
      <c r="O539" s="8" t="n">
        <v>33.48</v>
      </c>
      <c r="P539" s="8" t="n">
        <v>33.97</v>
      </c>
      <c r="Q539" s="8" t="n">
        <v>33.86</v>
      </c>
      <c r="R539" s="11" t="n">
        <v>2008</v>
      </c>
      <c r="S539" s="11" t="n">
        <f aca="false">K539*R539</f>
        <v>67990.88</v>
      </c>
      <c r="T539" s="8" t="n">
        <v>29.46</v>
      </c>
      <c r="U539" s="8" t="n">
        <v>85.76</v>
      </c>
      <c r="V539" s="12" t="n">
        <f aca="false">IF(U539-T539=0,"",(K539-T539)/(U539-T539))</f>
        <v>0.0781527531083481</v>
      </c>
      <c r="W539" s="13" t="n">
        <f aca="false">IF(U539=0,"",K539/U539-1)</f>
        <v>-0.60517723880597</v>
      </c>
      <c r="X539" s="11" t="n">
        <v>399828</v>
      </c>
      <c r="Y539" s="5" t="s">
        <v>115</v>
      </c>
      <c r="Z539" s="5" t="s">
        <v>117</v>
      </c>
      <c r="AA539" s="5" t="s">
        <v>116</v>
      </c>
      <c r="AB539" s="5"/>
      <c r="AC539" s="5" t="s">
        <v>1747</v>
      </c>
      <c r="AD539" s="14" t="n">
        <v>46288.771875</v>
      </c>
    </row>
    <row r="540" customFormat="false" ht="15" hidden="false" customHeight="false" outlineLevel="0" collapsed="false">
      <c r="A540" s="5" t="s">
        <v>1748</v>
      </c>
      <c r="B540" s="5" t="s">
        <v>1749</v>
      </c>
      <c r="C540" s="5" t="s">
        <v>55</v>
      </c>
      <c r="D540" s="5" t="s">
        <v>56</v>
      </c>
      <c r="E540" s="5" t="s">
        <v>77</v>
      </c>
      <c r="F540" s="5" t="s">
        <v>78</v>
      </c>
      <c r="G540" s="5" t="s">
        <v>59</v>
      </c>
      <c r="H540" s="5" t="s">
        <v>60</v>
      </c>
      <c r="I540" s="6" t="n">
        <v>0.1667</v>
      </c>
      <c r="J540" s="7" t="n">
        <f aca="false">IF(I540="","",1/I540)</f>
        <v>5.99880023995201</v>
      </c>
      <c r="K540" s="8" t="n">
        <v>105.8</v>
      </c>
      <c r="L540" s="9" t="n">
        <v>0.74</v>
      </c>
      <c r="M540" s="10" t="n">
        <v>0.007</v>
      </c>
      <c r="N540" s="8" t="n">
        <v>104.8</v>
      </c>
      <c r="O540" s="8" t="n">
        <v>102.56</v>
      </c>
      <c r="P540" s="8" t="n">
        <v>105.95</v>
      </c>
      <c r="Q540" s="8" t="n">
        <v>105.02</v>
      </c>
      <c r="R540" s="11" t="n">
        <v>175161</v>
      </c>
      <c r="S540" s="11" t="n">
        <f aca="false">K540*R540</f>
        <v>18532033.8</v>
      </c>
      <c r="T540" s="8" t="n">
        <v>27.66</v>
      </c>
      <c r="U540" s="8" t="n">
        <v>122.62</v>
      </c>
      <c r="V540" s="12" t="n">
        <f aca="false">IF(U540-T540=0,"",(K540-T540)/(U540-T540))</f>
        <v>0.822872788542544</v>
      </c>
      <c r="W540" s="13" t="n">
        <f aca="false">IF(U540=0,"",K540/U540-1)</f>
        <v>-0.137171750122329</v>
      </c>
      <c r="X540" s="11" t="n">
        <v>3350752</v>
      </c>
      <c r="Y540" s="5" t="s">
        <v>77</v>
      </c>
      <c r="Z540" s="5" t="s">
        <v>79</v>
      </c>
      <c r="AA540" s="5" t="s">
        <v>78</v>
      </c>
      <c r="AB540" s="5"/>
      <c r="AC540" s="5" t="s">
        <v>1750</v>
      </c>
      <c r="AD540" s="14" t="n">
        <v>46288.771875</v>
      </c>
    </row>
    <row r="541" customFormat="false" ht="15" hidden="false" customHeight="false" outlineLevel="0" collapsed="false">
      <c r="A541" s="5" t="s">
        <v>1751</v>
      </c>
      <c r="B541" s="5" t="s">
        <v>1752</v>
      </c>
      <c r="C541" s="5" t="s">
        <v>55</v>
      </c>
      <c r="D541" s="5" t="s">
        <v>56</v>
      </c>
      <c r="E541" s="5" t="s">
        <v>127</v>
      </c>
      <c r="F541" s="5" t="s">
        <v>128</v>
      </c>
      <c r="G541" s="5" t="s">
        <v>59</v>
      </c>
      <c r="H541" s="5"/>
      <c r="I541" s="6"/>
      <c r="J541" s="7" t="str">
        <f aca="false">IF(I541="","",1/I541)</f>
        <v/>
      </c>
      <c r="K541" s="8" t="n">
        <v>35.96</v>
      </c>
      <c r="L541" s="9" t="n">
        <v>-0.19</v>
      </c>
      <c r="M541" s="10" t="n">
        <v>-0.0053</v>
      </c>
      <c r="N541" s="8" t="n">
        <v>35.96</v>
      </c>
      <c r="O541" s="8" t="n">
        <v>35.96</v>
      </c>
      <c r="P541" s="8" t="n">
        <v>35.96</v>
      </c>
      <c r="Q541" s="8" t="n">
        <v>35.96</v>
      </c>
      <c r="R541" s="11" t="n">
        <v>1</v>
      </c>
      <c r="S541" s="11" t="n">
        <f aca="false">K541*R541</f>
        <v>35.96</v>
      </c>
      <c r="T541" s="8" t="n">
        <v>20.76</v>
      </c>
      <c r="U541" s="8" t="n">
        <v>43.64</v>
      </c>
      <c r="V541" s="12" t="n">
        <f aca="false">IF(U541-T541=0,"",(K541-T541)/(U541-T541))</f>
        <v>0.664335664335664</v>
      </c>
      <c r="W541" s="13" t="n">
        <f aca="false">IF(U541=0,"",K541/U541-1)</f>
        <v>-0.175985334555454</v>
      </c>
      <c r="X541" s="11" t="n">
        <v>114106</v>
      </c>
      <c r="Y541" s="5" t="s">
        <v>127</v>
      </c>
      <c r="Z541" s="5" t="s">
        <v>129</v>
      </c>
      <c r="AA541" s="5" t="s">
        <v>128</v>
      </c>
      <c r="AB541" s="5" t="s">
        <v>111</v>
      </c>
      <c r="AC541" s="5" t="s">
        <v>1753</v>
      </c>
      <c r="AD541" s="14" t="n">
        <v>46288.771875</v>
      </c>
    </row>
    <row r="542" customFormat="false" ht="15" hidden="false" customHeight="false" outlineLevel="0" collapsed="false">
      <c r="A542" s="5" t="s">
        <v>1754</v>
      </c>
      <c r="B542" s="5" t="s">
        <v>1755</v>
      </c>
      <c r="C542" s="5" t="s">
        <v>55</v>
      </c>
      <c r="D542" s="5" t="s">
        <v>56</v>
      </c>
      <c r="E542" s="5" t="s">
        <v>142</v>
      </c>
      <c r="F542" s="5" t="s">
        <v>143</v>
      </c>
      <c r="G542" s="5" t="s">
        <v>59</v>
      </c>
      <c r="H542" s="5" t="s">
        <v>60</v>
      </c>
      <c r="I542" s="6" t="n">
        <v>0.066667</v>
      </c>
      <c r="J542" s="7" t="n">
        <f aca="false">IF(I542="","",1/I542)</f>
        <v>14.999925000375</v>
      </c>
      <c r="K542" s="8" t="n">
        <v>50.25</v>
      </c>
      <c r="L542" s="9" t="n">
        <v>0.45</v>
      </c>
      <c r="M542" s="10" t="n">
        <v>0.009</v>
      </c>
      <c r="N542" s="8" t="n">
        <v>49.4</v>
      </c>
      <c r="O542" s="8" t="n">
        <v>49.4</v>
      </c>
      <c r="P542" s="8" t="n">
        <v>50.4</v>
      </c>
      <c r="Q542" s="8" t="n">
        <v>50.25</v>
      </c>
      <c r="R542" s="11" t="n">
        <v>1114</v>
      </c>
      <c r="S542" s="11" t="n">
        <f aca="false">K542*R542</f>
        <v>55978.5</v>
      </c>
      <c r="T542" s="8" t="n">
        <v>39.46666864</v>
      </c>
      <c r="U542" s="8" t="n">
        <v>56.0080028</v>
      </c>
      <c r="V542" s="12" t="n">
        <f aca="false">IF(U542-T542=0,"",(K542-T542)/(U542-T542))</f>
        <v>0.65190215345967</v>
      </c>
      <c r="W542" s="13" t="n">
        <f aca="false">IF(U542=0,"",K542/U542-1)</f>
        <v>-0.102806786747268</v>
      </c>
      <c r="X542" s="11" t="n">
        <v>453965</v>
      </c>
      <c r="Y542" s="5" t="s">
        <v>142</v>
      </c>
      <c r="Z542" s="5" t="s">
        <v>144</v>
      </c>
      <c r="AA542" s="5" t="s">
        <v>143</v>
      </c>
      <c r="AB542" s="5"/>
      <c r="AC542" s="5" t="s">
        <v>1756</v>
      </c>
      <c r="AD542" s="14" t="n">
        <v>46288.771875</v>
      </c>
    </row>
    <row r="543" customFormat="false" ht="15" hidden="false" customHeight="false" outlineLevel="0" collapsed="false">
      <c r="A543" s="5" t="s">
        <v>1757</v>
      </c>
      <c r="B543" s="5" t="s">
        <v>1758</v>
      </c>
      <c r="C543" s="5" t="s">
        <v>55</v>
      </c>
      <c r="D543" s="5" t="s">
        <v>56</v>
      </c>
      <c r="E543" s="5" t="s">
        <v>71</v>
      </c>
      <c r="F543" s="5" t="s">
        <v>72</v>
      </c>
      <c r="G543" s="5" t="s">
        <v>59</v>
      </c>
      <c r="H543" s="5" t="s">
        <v>60</v>
      </c>
      <c r="I543" s="6" t="n">
        <v>0.2</v>
      </c>
      <c r="J543" s="7" t="n">
        <f aca="false">IF(I543="","",1/I543)</f>
        <v>5</v>
      </c>
      <c r="K543" s="8" t="n">
        <v>48.9</v>
      </c>
      <c r="L543" s="9" t="n">
        <v>0.01</v>
      </c>
      <c r="M543" s="10" t="n">
        <v>0.0002</v>
      </c>
      <c r="N543" s="8" t="n">
        <v>48.99</v>
      </c>
      <c r="O543" s="8" t="n">
        <v>48.8</v>
      </c>
      <c r="P543" s="8" t="n">
        <v>48.99</v>
      </c>
      <c r="Q543" s="8" t="n">
        <v>48.9</v>
      </c>
      <c r="R543" s="11" t="n">
        <v>244</v>
      </c>
      <c r="S543" s="11" t="n">
        <f aca="false">K543*R543</f>
        <v>11931.6</v>
      </c>
      <c r="T543" s="8" t="n">
        <v>37.8</v>
      </c>
      <c r="U543" s="8" t="n">
        <v>72</v>
      </c>
      <c r="V543" s="12" t="n">
        <f aca="false">IF(U543-T543=0,"",(K543-T543)/(U543-T543))</f>
        <v>0.324561403508772</v>
      </c>
      <c r="W543" s="13" t="n">
        <f aca="false">IF(U543=0,"",K543/U543-1)</f>
        <v>-0.320833333333333</v>
      </c>
      <c r="X543" s="11" t="n">
        <v>55915</v>
      </c>
      <c r="Y543" s="5" t="s">
        <v>71</v>
      </c>
      <c r="Z543" s="5" t="s">
        <v>73</v>
      </c>
      <c r="AA543" s="5" t="s">
        <v>72</v>
      </c>
      <c r="AB543" s="5"/>
      <c r="AC543" s="5" t="s">
        <v>1759</v>
      </c>
      <c r="AD543" s="14" t="n">
        <v>46288.771875</v>
      </c>
    </row>
    <row r="544" customFormat="false" ht="15" hidden="false" customHeight="false" outlineLevel="0" collapsed="false">
      <c r="A544" s="5" t="s">
        <v>1760</v>
      </c>
      <c r="B544" s="5" t="s">
        <v>1761</v>
      </c>
      <c r="C544" s="5" t="s">
        <v>55</v>
      </c>
      <c r="D544" s="5" t="s">
        <v>56</v>
      </c>
      <c r="E544" s="5" t="s">
        <v>99</v>
      </c>
      <c r="F544" s="5" t="s">
        <v>100</v>
      </c>
      <c r="G544" s="5" t="s">
        <v>59</v>
      </c>
      <c r="H544" s="5"/>
      <c r="I544" s="6"/>
      <c r="J544" s="7" t="str">
        <f aca="false">IF(I544="","",1/I544)</f>
        <v/>
      </c>
      <c r="K544" s="8" t="n">
        <v>82.16</v>
      </c>
      <c r="L544" s="9" t="n">
        <v>0.16</v>
      </c>
      <c r="M544" s="10" t="n">
        <v>0.002</v>
      </c>
      <c r="N544" s="8" t="n">
        <v>82.16</v>
      </c>
      <c r="O544" s="8" t="n">
        <v>82.16</v>
      </c>
      <c r="P544" s="8" t="n">
        <v>82.16</v>
      </c>
      <c r="Q544" s="8" t="n">
        <v>82.16</v>
      </c>
      <c r="R544" s="11" t="n">
        <v>10</v>
      </c>
      <c r="S544" s="11" t="n">
        <f aca="false">K544*R544</f>
        <v>821.6</v>
      </c>
      <c r="T544" s="8" t="n">
        <v>57.6</v>
      </c>
      <c r="U544" s="8" t="n">
        <v>91.62</v>
      </c>
      <c r="V544" s="12" t="n">
        <f aca="false">IF(U544-T544=0,"",(K544-T544)/(U544-T544))</f>
        <v>0.721928277483833</v>
      </c>
      <c r="W544" s="13" t="n">
        <f aca="false">IF(U544=0,"",K544/U544-1)</f>
        <v>-0.103252564942152</v>
      </c>
      <c r="X544" s="11" t="n">
        <v>79921</v>
      </c>
      <c r="Y544" s="5" t="s">
        <v>99</v>
      </c>
      <c r="Z544" s="5" t="s">
        <v>101</v>
      </c>
      <c r="AA544" s="5" t="s">
        <v>100</v>
      </c>
      <c r="AB544" s="5" t="s">
        <v>111</v>
      </c>
      <c r="AC544" s="5" t="s">
        <v>1762</v>
      </c>
      <c r="AD544" s="14" t="n">
        <v>46288.771875</v>
      </c>
    </row>
    <row r="545" customFormat="false" ht="15" hidden="false" customHeight="false" outlineLevel="0" collapsed="false">
      <c r="A545" s="5" t="s">
        <v>1763</v>
      </c>
      <c r="B545" s="5" t="s">
        <v>1764</v>
      </c>
      <c r="C545" s="5" t="s">
        <v>55</v>
      </c>
      <c r="D545" s="5" t="s">
        <v>56</v>
      </c>
      <c r="E545" s="5" t="s">
        <v>142</v>
      </c>
      <c r="F545" s="5" t="s">
        <v>143</v>
      </c>
      <c r="G545" s="5" t="s">
        <v>59</v>
      </c>
      <c r="H545" s="5" t="s">
        <v>60</v>
      </c>
      <c r="I545" s="6" t="n">
        <v>0.125</v>
      </c>
      <c r="J545" s="7" t="n">
        <f aca="false">IF(I545="","",1/I545)</f>
        <v>8</v>
      </c>
      <c r="K545" s="8" t="n">
        <v>199.38</v>
      </c>
      <c r="L545" s="9" t="n">
        <v>3.12</v>
      </c>
      <c r="M545" s="10" t="n">
        <v>0.0159</v>
      </c>
      <c r="N545" s="8" t="n">
        <v>197.97</v>
      </c>
      <c r="O545" s="8" t="n">
        <v>195.16</v>
      </c>
      <c r="P545" s="8" t="n">
        <v>199.59</v>
      </c>
      <c r="Q545" s="8" t="n">
        <v>199.38</v>
      </c>
      <c r="R545" s="11" t="n">
        <v>40</v>
      </c>
      <c r="S545" s="11" t="n">
        <f aca="false">K545*R545</f>
        <v>7975.2</v>
      </c>
      <c r="T545" s="8" t="n">
        <v>131.1</v>
      </c>
      <c r="U545" s="8" t="n">
        <v>265</v>
      </c>
      <c r="V545" s="12" t="n">
        <f aca="false">IF(U545-T545=0,"",(K545-T545)/(U545-T545))</f>
        <v>0.509932785660941</v>
      </c>
      <c r="W545" s="13" t="n">
        <f aca="false">IF(U545=0,"",K545/U545-1)</f>
        <v>-0.247622641509434</v>
      </c>
      <c r="X545" s="11" t="n">
        <v>165697</v>
      </c>
      <c r="Y545" s="5" t="s">
        <v>142</v>
      </c>
      <c r="Z545" s="5" t="s">
        <v>144</v>
      </c>
      <c r="AA545" s="5" t="s">
        <v>143</v>
      </c>
      <c r="AB545" s="5"/>
      <c r="AC545" s="5" t="s">
        <v>1765</v>
      </c>
      <c r="AD545" s="14" t="n">
        <v>46288.771875</v>
      </c>
    </row>
    <row r="546" customFormat="false" ht="15" hidden="false" customHeight="false" outlineLevel="0" collapsed="false">
      <c r="A546" s="5" t="s">
        <v>1766</v>
      </c>
      <c r="B546" s="5" t="s">
        <v>1767</v>
      </c>
      <c r="C546" s="5" t="s">
        <v>55</v>
      </c>
      <c r="D546" s="5" t="s">
        <v>1740</v>
      </c>
      <c r="E546" s="5" t="s">
        <v>273</v>
      </c>
      <c r="F546" s="5" t="s">
        <v>274</v>
      </c>
      <c r="G546" s="5" t="s">
        <v>1438</v>
      </c>
      <c r="H546" s="5" t="s">
        <v>60</v>
      </c>
      <c r="I546" s="6" t="n">
        <v>1</v>
      </c>
      <c r="J546" s="7" t="n">
        <f aca="false">IF(I546="","",1/I546)</f>
        <v>1</v>
      </c>
      <c r="K546" s="8" t="n">
        <v>59.62</v>
      </c>
      <c r="L546" s="9" t="n">
        <v>-1.36</v>
      </c>
      <c r="M546" s="10" t="n">
        <v>-0.0223</v>
      </c>
      <c r="N546" s="8" t="n">
        <v>60.98</v>
      </c>
      <c r="O546" s="8" t="n">
        <v>58.93</v>
      </c>
      <c r="P546" s="8" t="n">
        <v>61.1</v>
      </c>
      <c r="Q546" s="8" t="n">
        <v>59.44</v>
      </c>
      <c r="R546" s="11" t="n">
        <v>3529733</v>
      </c>
      <c r="S546" s="11" t="n">
        <f aca="false">K546*R546</f>
        <v>210442681.46</v>
      </c>
      <c r="T546" s="8" t="n">
        <v>58.93</v>
      </c>
      <c r="U546" s="8" t="n">
        <v>93.74</v>
      </c>
      <c r="V546" s="12" t="n">
        <f aca="false">IF(U546-T546=0,"",(K546-T546)/(U546-T546))</f>
        <v>0.0198218902614191</v>
      </c>
      <c r="W546" s="13" t="n">
        <f aca="false">IF(U546=0,"",K546/U546-1)</f>
        <v>-0.36398549178579</v>
      </c>
      <c r="X546" s="11" t="n">
        <v>65220</v>
      </c>
      <c r="Y546" s="5" t="s">
        <v>273</v>
      </c>
      <c r="Z546" s="5" t="s">
        <v>275</v>
      </c>
      <c r="AA546" s="5" t="s">
        <v>274</v>
      </c>
      <c r="AB546" s="5"/>
      <c r="AC546" s="5" t="s">
        <v>1768</v>
      </c>
      <c r="AD546" s="14" t="n">
        <v>46288.771875</v>
      </c>
    </row>
    <row r="547" customFormat="false" ht="15" hidden="false" customHeight="false" outlineLevel="0" collapsed="false">
      <c r="A547" s="5" t="s">
        <v>1769</v>
      </c>
      <c r="B547" s="5" t="s">
        <v>1770</v>
      </c>
      <c r="C547" s="5" t="s">
        <v>55</v>
      </c>
      <c r="D547" s="5" t="s">
        <v>56</v>
      </c>
      <c r="E547" s="5" t="s">
        <v>57</v>
      </c>
      <c r="F547" s="5" t="s">
        <v>58</v>
      </c>
      <c r="G547" s="5" t="s">
        <v>59</v>
      </c>
      <c r="H547" s="5" t="s">
        <v>86</v>
      </c>
      <c r="I547" s="6" t="n">
        <v>0.1666667</v>
      </c>
      <c r="J547" s="7" t="n">
        <f aca="false">IF(I547="","",1/I547)</f>
        <v>5.99999880000024</v>
      </c>
      <c r="K547" s="8" t="n">
        <v>23.36</v>
      </c>
      <c r="L547" s="9" t="n">
        <v>-0.02</v>
      </c>
      <c r="M547" s="10" t="n">
        <v>-0.0009</v>
      </c>
      <c r="N547" s="8" t="n">
        <v>23.37</v>
      </c>
      <c r="O547" s="8" t="n">
        <v>23.04</v>
      </c>
      <c r="P547" s="8" t="n">
        <v>23.4</v>
      </c>
      <c r="Q547" s="8" t="n">
        <v>23.36</v>
      </c>
      <c r="R547" s="11" t="n">
        <v>3636</v>
      </c>
      <c r="S547" s="11" t="n">
        <f aca="false">K547*R547</f>
        <v>84936.96</v>
      </c>
      <c r="T547" s="8" t="n">
        <v>21.44</v>
      </c>
      <c r="U547" s="8" t="n">
        <v>32.78</v>
      </c>
      <c r="V547" s="12" t="n">
        <f aca="false">IF(U547-T547=0,"",(K547-T547)/(U547-T547))</f>
        <v>0.169312169312169</v>
      </c>
      <c r="W547" s="13" t="n">
        <f aca="false">IF(U547=0,"",K547/U547-1)</f>
        <v>-0.287370347773032</v>
      </c>
      <c r="X547" s="11" t="n">
        <v>167402</v>
      </c>
      <c r="Y547" s="5" t="s">
        <v>57</v>
      </c>
      <c r="Z547" s="5" t="s">
        <v>61</v>
      </c>
      <c r="AA547" s="5" t="s">
        <v>58</v>
      </c>
      <c r="AB547" s="5"/>
      <c r="AC547" s="5" t="s">
        <v>1771</v>
      </c>
      <c r="AD547" s="14" t="n">
        <v>46288.771875</v>
      </c>
    </row>
    <row r="548" customFormat="false" ht="15" hidden="false" customHeight="false" outlineLevel="0" collapsed="false">
      <c r="A548" s="5" t="s">
        <v>1772</v>
      </c>
      <c r="B548" s="5" t="s">
        <v>1773</v>
      </c>
      <c r="C548" s="5" t="s">
        <v>248</v>
      </c>
      <c r="D548" s="5" t="s">
        <v>249</v>
      </c>
      <c r="E548" s="5" t="s">
        <v>988</v>
      </c>
      <c r="F548" s="5" t="s">
        <v>989</v>
      </c>
      <c r="G548" s="5" t="s">
        <v>59</v>
      </c>
      <c r="H548" s="5" t="s">
        <v>60</v>
      </c>
      <c r="I548" s="6" t="n">
        <v>0.166666667</v>
      </c>
      <c r="J548" s="7" t="n">
        <f aca="false">IF(I548="","",1/I548)</f>
        <v>5.999999988</v>
      </c>
      <c r="K548" s="8" t="n">
        <v>48.6</v>
      </c>
      <c r="L548" s="9" t="n">
        <v>0.15</v>
      </c>
      <c r="M548" s="10" t="n">
        <v>0.0031</v>
      </c>
      <c r="N548" s="8" t="n">
        <v>48.94</v>
      </c>
      <c r="O548" s="8" t="n">
        <v>48.45</v>
      </c>
      <c r="P548" s="8" t="n">
        <v>48.94</v>
      </c>
      <c r="Q548" s="8" t="n">
        <v>48.6</v>
      </c>
      <c r="R548" s="11" t="n">
        <v>1106</v>
      </c>
      <c r="S548" s="11" t="n">
        <f aca="false">K548*R548</f>
        <v>53751.6</v>
      </c>
      <c r="T548" s="8" t="n">
        <v>45.57</v>
      </c>
      <c r="U548" s="8" t="n">
        <v>60.97</v>
      </c>
      <c r="V548" s="12" t="n">
        <f aca="false">IF(U548-T548=0,"",(K548-T548)/(U548-T548))</f>
        <v>0.196753246753247</v>
      </c>
      <c r="W548" s="13" t="n">
        <f aca="false">IF(U548=0,"",K548/U548-1)</f>
        <v>-0.202886665573233</v>
      </c>
      <c r="X548" s="11"/>
      <c r="Y548" s="5" t="s">
        <v>253</v>
      </c>
      <c r="Z548" s="5" t="s">
        <v>254</v>
      </c>
      <c r="AA548" s="5" t="s">
        <v>988</v>
      </c>
      <c r="AB548" s="5"/>
      <c r="AC548" s="5" t="s">
        <v>1774</v>
      </c>
      <c r="AD548" s="14" t="n">
        <v>46288.771875</v>
      </c>
    </row>
    <row r="549" customFormat="false" ht="15" hidden="false" customHeight="false" outlineLevel="0" collapsed="false">
      <c r="A549" s="5" t="s">
        <v>1775</v>
      </c>
      <c r="B549" s="5" t="s">
        <v>1776</v>
      </c>
      <c r="C549" s="5" t="s">
        <v>55</v>
      </c>
      <c r="D549" s="5" t="s">
        <v>56</v>
      </c>
      <c r="E549" s="5" t="s">
        <v>99</v>
      </c>
      <c r="F549" s="5" t="s">
        <v>100</v>
      </c>
      <c r="G549" s="5" t="s">
        <v>59</v>
      </c>
      <c r="H549" s="5" t="s">
        <v>60</v>
      </c>
      <c r="I549" s="6" t="n">
        <v>0.0666667</v>
      </c>
      <c r="J549" s="7" t="n">
        <f aca="false">IF(I549="","",1/I549)</f>
        <v>14.9999925000038</v>
      </c>
      <c r="K549" s="8" t="n">
        <v>92.07</v>
      </c>
      <c r="L549" s="9" t="n">
        <v>0.87</v>
      </c>
      <c r="M549" s="10" t="n">
        <v>0.0095</v>
      </c>
      <c r="N549" s="8" t="n">
        <v>92.64</v>
      </c>
      <c r="O549" s="8" t="n">
        <v>91.72</v>
      </c>
      <c r="P549" s="8" t="n">
        <v>93.49</v>
      </c>
      <c r="Q549" s="8" t="n">
        <v>92.18</v>
      </c>
      <c r="R549" s="11" t="n">
        <v>4402</v>
      </c>
      <c r="S549" s="11" t="n">
        <f aca="false">K549*R549</f>
        <v>405292.14</v>
      </c>
      <c r="T549" s="8" t="n">
        <v>62.51</v>
      </c>
      <c r="U549" s="8" t="n">
        <v>96.19</v>
      </c>
      <c r="V549" s="12" t="n">
        <f aca="false">IF(U549-T549=0,"",(K549-T549)/(U549-T549))</f>
        <v>0.877672209026128</v>
      </c>
      <c r="W549" s="13" t="n">
        <f aca="false">IF(U549=0,"",K549/U549-1)</f>
        <v>-0.0428318952074021</v>
      </c>
      <c r="X549" s="11" t="n">
        <v>3319962</v>
      </c>
      <c r="Y549" s="5" t="s">
        <v>99</v>
      </c>
      <c r="Z549" s="5" t="s">
        <v>101</v>
      </c>
      <c r="AA549" s="5" t="s">
        <v>100</v>
      </c>
      <c r="AB549" s="5"/>
      <c r="AC549" s="5" t="s">
        <v>1777</v>
      </c>
      <c r="AD549" s="14" t="n">
        <v>46288.771875</v>
      </c>
    </row>
    <row r="550" customFormat="false" ht="15" hidden="false" customHeight="false" outlineLevel="0" collapsed="false">
      <c r="A550" s="5" t="s">
        <v>1778</v>
      </c>
      <c r="B550" s="5" t="s">
        <v>1779</v>
      </c>
      <c r="C550" s="5" t="s">
        <v>248</v>
      </c>
      <c r="D550" s="5" t="s">
        <v>249</v>
      </c>
      <c r="E550" s="5" t="s">
        <v>250</v>
      </c>
      <c r="F550" s="5" t="s">
        <v>251</v>
      </c>
      <c r="G550" s="5" t="s">
        <v>59</v>
      </c>
      <c r="H550" s="5" t="s">
        <v>60</v>
      </c>
      <c r="I550" s="6" t="n">
        <v>0.2</v>
      </c>
      <c r="J550" s="7" t="n">
        <f aca="false">IF(I550="","",1/I550)</f>
        <v>5</v>
      </c>
      <c r="K550" s="8" t="n">
        <v>66.85</v>
      </c>
      <c r="L550" s="9" t="n">
        <v>-1.4</v>
      </c>
      <c r="M550" s="10" t="n">
        <v>-0.0205</v>
      </c>
      <c r="N550" s="8" t="n">
        <v>66.85</v>
      </c>
      <c r="O550" s="8" t="n">
        <v>66.85</v>
      </c>
      <c r="P550" s="8" t="n">
        <v>66.85</v>
      </c>
      <c r="Q550" s="8" t="n">
        <v>66.85</v>
      </c>
      <c r="R550" s="11" t="n">
        <v>4</v>
      </c>
      <c r="S550" s="11" t="n">
        <f aca="false">K550*R550</f>
        <v>267.4</v>
      </c>
      <c r="T550" s="8" t="n">
        <v>66.85</v>
      </c>
      <c r="U550" s="8" t="n">
        <v>68.53</v>
      </c>
      <c r="V550" s="12" t="n">
        <f aca="false">IF(U550-T550=0,"",(K550-T550)/(U550-T550))</f>
        <v>0</v>
      </c>
      <c r="W550" s="13" t="n">
        <f aca="false">IF(U550=0,"",K550/U550-1)</f>
        <v>-0.0245148110316651</v>
      </c>
      <c r="X550" s="11"/>
      <c r="Y550" s="5" t="s">
        <v>253</v>
      </c>
      <c r="Z550" s="5" t="s">
        <v>254</v>
      </c>
      <c r="AA550" s="5" t="s">
        <v>251</v>
      </c>
      <c r="AB550" s="5"/>
      <c r="AC550" s="5" t="s">
        <v>1780</v>
      </c>
      <c r="AD550" s="14" t="n">
        <v>46288.771875</v>
      </c>
    </row>
    <row r="551" customFormat="false" ht="15" hidden="false" customHeight="false" outlineLevel="0" collapsed="false">
      <c r="A551" s="5" t="s">
        <v>1781</v>
      </c>
      <c r="B551" s="5" t="s">
        <v>1782</v>
      </c>
      <c r="C551" s="5" t="s">
        <v>248</v>
      </c>
      <c r="D551" s="5" t="s">
        <v>249</v>
      </c>
      <c r="E551" s="5" t="s">
        <v>250</v>
      </c>
      <c r="F551" s="5" t="s">
        <v>251</v>
      </c>
      <c r="G551" s="5" t="s">
        <v>59</v>
      </c>
      <c r="H551" s="5" t="s">
        <v>60</v>
      </c>
      <c r="I551" s="6" t="n">
        <v>0.2</v>
      </c>
      <c r="J551" s="7" t="n">
        <f aca="false">IF(I551="","",1/I551)</f>
        <v>5</v>
      </c>
      <c r="K551" s="8" t="n">
        <v>76.95</v>
      </c>
      <c r="L551" s="9" t="n">
        <v>2.95</v>
      </c>
      <c r="M551" s="10" t="n">
        <v>0.0399</v>
      </c>
      <c r="N551" s="8" t="n">
        <v>76.95</v>
      </c>
      <c r="O551" s="8" t="n">
        <v>76.95</v>
      </c>
      <c r="P551" s="8" t="n">
        <v>76.95</v>
      </c>
      <c r="Q551" s="8" t="n">
        <v>76.95</v>
      </c>
      <c r="R551" s="11" t="n">
        <v>2</v>
      </c>
      <c r="S551" s="11" t="n">
        <f aca="false">K551*R551</f>
        <v>153.9</v>
      </c>
      <c r="T551" s="8" t="n">
        <v>72.28</v>
      </c>
      <c r="U551" s="8" t="n">
        <v>79.83</v>
      </c>
      <c r="V551" s="12" t="n">
        <f aca="false">IF(U551-T551=0,"",(K551-T551)/(U551-T551))</f>
        <v>0.618543046357616</v>
      </c>
      <c r="W551" s="13" t="n">
        <f aca="false">IF(U551=0,"",K551/U551-1)</f>
        <v>-0.0360766629086809</v>
      </c>
      <c r="X551" s="11"/>
      <c r="Y551" s="5" t="s">
        <v>253</v>
      </c>
      <c r="Z551" s="5" t="s">
        <v>254</v>
      </c>
      <c r="AA551" s="5" t="s">
        <v>251</v>
      </c>
      <c r="AB551" s="5"/>
      <c r="AC551" s="5" t="s">
        <v>1783</v>
      </c>
      <c r="AD551" s="14" t="n">
        <v>46288.771875</v>
      </c>
    </row>
    <row r="552" customFormat="false" ht="15" hidden="false" customHeight="false" outlineLevel="0" collapsed="false">
      <c r="A552" s="5" t="s">
        <v>1784</v>
      </c>
      <c r="B552" s="5" t="s">
        <v>1785</v>
      </c>
      <c r="C552" s="5" t="s">
        <v>55</v>
      </c>
      <c r="D552" s="5" t="s">
        <v>56</v>
      </c>
      <c r="E552" s="5" t="s">
        <v>71</v>
      </c>
      <c r="F552" s="5" t="s">
        <v>72</v>
      </c>
      <c r="G552" s="5" t="s">
        <v>59</v>
      </c>
      <c r="H552" s="5" t="s">
        <v>60</v>
      </c>
      <c r="I552" s="6" t="n">
        <v>0.1</v>
      </c>
      <c r="J552" s="7" t="n">
        <f aca="false">IF(I552="","",1/I552)</f>
        <v>10</v>
      </c>
      <c r="K552" s="8" t="n">
        <v>174.11</v>
      </c>
      <c r="L552" s="9" t="n">
        <v>0.18</v>
      </c>
      <c r="M552" s="10" t="n">
        <v>0.001</v>
      </c>
      <c r="N552" s="8" t="n">
        <v>175.13</v>
      </c>
      <c r="O552" s="8" t="n">
        <v>173</v>
      </c>
      <c r="P552" s="8" t="n">
        <v>176.06</v>
      </c>
      <c r="Q552" s="8" t="n">
        <v>174.43</v>
      </c>
      <c r="R552" s="11" t="n">
        <v>15128</v>
      </c>
      <c r="S552" s="11" t="n">
        <f aca="false">K552*R552</f>
        <v>2633936.08</v>
      </c>
      <c r="T552" s="8" t="n">
        <v>145</v>
      </c>
      <c r="U552" s="8" t="n">
        <v>190.96</v>
      </c>
      <c r="V552" s="12" t="n">
        <f aca="false">IF(U552-T552=0,"",(K552-T552)/(U552-T552))</f>
        <v>0.633376849434291</v>
      </c>
      <c r="W552" s="13" t="n">
        <f aca="false">IF(U552=0,"",K552/U552-1)</f>
        <v>-0.0882383745286971</v>
      </c>
      <c r="X552" s="11" t="n">
        <v>4625299</v>
      </c>
      <c r="Y552" s="5" t="s">
        <v>71</v>
      </c>
      <c r="Z552" s="5" t="s">
        <v>73</v>
      </c>
      <c r="AA552" s="5" t="s">
        <v>72</v>
      </c>
      <c r="AB552" s="5"/>
      <c r="AC552" s="5" t="s">
        <v>1786</v>
      </c>
      <c r="AD552" s="14" t="n">
        <v>46288.771875</v>
      </c>
    </row>
    <row r="553" customFormat="false" ht="15" hidden="false" customHeight="false" outlineLevel="0" collapsed="false">
      <c r="A553" s="5" t="s">
        <v>1787</v>
      </c>
      <c r="B553" s="5" t="s">
        <v>1788</v>
      </c>
      <c r="C553" s="5" t="s">
        <v>248</v>
      </c>
      <c r="D553" s="5" t="s">
        <v>249</v>
      </c>
      <c r="E553" s="5" t="s">
        <v>250</v>
      </c>
      <c r="F553" s="5" t="s">
        <v>251</v>
      </c>
      <c r="G553" s="5" t="s">
        <v>59</v>
      </c>
      <c r="H553" s="5" t="s">
        <v>60</v>
      </c>
      <c r="I553" s="6" t="n">
        <v>0.125</v>
      </c>
      <c r="J553" s="7" t="n">
        <f aca="false">IF(I553="","",1/I553)</f>
        <v>8</v>
      </c>
      <c r="K553" s="8" t="n">
        <v>78.25</v>
      </c>
      <c r="L553" s="9" t="n">
        <v>-3.19</v>
      </c>
      <c r="M553" s="10" t="n">
        <v>-0.0392</v>
      </c>
      <c r="N553" s="8" t="n">
        <v>78.25</v>
      </c>
      <c r="O553" s="8" t="n">
        <v>78.25</v>
      </c>
      <c r="P553" s="8" t="n">
        <v>78.25</v>
      </c>
      <c r="Q553" s="8" t="n">
        <v>78.25</v>
      </c>
      <c r="R553" s="11" t="n">
        <v>5</v>
      </c>
      <c r="S553" s="11" t="n">
        <f aca="false">K553*R553</f>
        <v>391.25</v>
      </c>
      <c r="T553" s="8" t="n">
        <v>78.25</v>
      </c>
      <c r="U553" s="8" t="n">
        <v>78.25</v>
      </c>
      <c r="V553" s="12" t="str">
        <f aca="false">IF(U553-T553=0,"",(K553-T553)/(U553-T553))</f>
        <v/>
      </c>
      <c r="W553" s="13" t="n">
        <f aca="false">IF(U553=0,"",K553/U553-1)</f>
        <v>0</v>
      </c>
      <c r="X553" s="11"/>
      <c r="Y553" s="5" t="s">
        <v>253</v>
      </c>
      <c r="Z553" s="5" t="s">
        <v>254</v>
      </c>
      <c r="AA553" s="5" t="s">
        <v>251</v>
      </c>
      <c r="AB553" s="5"/>
      <c r="AC553" s="5" t="s">
        <v>1789</v>
      </c>
      <c r="AD553" s="14" t="n">
        <v>46288.771875</v>
      </c>
    </row>
    <row r="554" customFormat="false" ht="15" hidden="false" customHeight="false" outlineLevel="0" collapsed="false">
      <c r="A554" s="5" t="s">
        <v>1790</v>
      </c>
      <c r="B554" s="5" t="s">
        <v>1791</v>
      </c>
      <c r="C554" s="5" t="s">
        <v>248</v>
      </c>
      <c r="D554" s="5" t="s">
        <v>249</v>
      </c>
      <c r="E554" s="5" t="s">
        <v>250</v>
      </c>
      <c r="F554" s="5" t="s">
        <v>251</v>
      </c>
      <c r="G554" s="5" t="s">
        <v>59</v>
      </c>
      <c r="H554" s="5" t="s">
        <v>60</v>
      </c>
      <c r="I554" s="6" t="n">
        <v>0.25</v>
      </c>
      <c r="J554" s="7" t="n">
        <f aca="false">IF(I554="","",1/I554)</f>
        <v>4</v>
      </c>
      <c r="K554" s="8" t="n">
        <v>94.77</v>
      </c>
      <c r="L554" s="9" t="n">
        <v>-1.93</v>
      </c>
      <c r="M554" s="10" t="n">
        <v>-0.02</v>
      </c>
      <c r="N554" s="8" t="n">
        <v>94.77</v>
      </c>
      <c r="O554" s="8" t="n">
        <v>94.77</v>
      </c>
      <c r="P554" s="8" t="n">
        <v>94.77</v>
      </c>
      <c r="Q554" s="8" t="n">
        <v>94.77</v>
      </c>
      <c r="R554" s="11" t="n">
        <v>1</v>
      </c>
      <c r="S554" s="11" t="n">
        <f aca="false">K554*R554</f>
        <v>94.77</v>
      </c>
      <c r="T554" s="8" t="n">
        <v>80.58</v>
      </c>
      <c r="U554" s="8" t="n">
        <v>96.7</v>
      </c>
      <c r="V554" s="12" t="n">
        <f aca="false">IF(U554-T554=0,"",(K554-T554)/(U554-T554))</f>
        <v>0.880272952853598</v>
      </c>
      <c r="W554" s="13" t="n">
        <f aca="false">IF(U554=0,"",K554/U554-1)</f>
        <v>-0.0199586349534644</v>
      </c>
      <c r="X554" s="11"/>
      <c r="Y554" s="5" t="s">
        <v>253</v>
      </c>
      <c r="Z554" s="5" t="s">
        <v>254</v>
      </c>
      <c r="AA554" s="5" t="s">
        <v>251</v>
      </c>
      <c r="AB554" s="5"/>
      <c r="AC554" s="5" t="s">
        <v>1792</v>
      </c>
      <c r="AD554" s="14" t="n">
        <v>46288.771875</v>
      </c>
    </row>
    <row r="555" customFormat="false" ht="15" hidden="false" customHeight="false" outlineLevel="0" collapsed="false">
      <c r="A555" s="5" t="s">
        <v>1793</v>
      </c>
      <c r="B555" s="5" t="s">
        <v>1794</v>
      </c>
      <c r="C555" s="5" t="s">
        <v>248</v>
      </c>
      <c r="D555" s="5" t="s">
        <v>249</v>
      </c>
      <c r="E555" s="5" t="s">
        <v>250</v>
      </c>
      <c r="F555" s="5" t="s">
        <v>251</v>
      </c>
      <c r="G555" s="5" t="s">
        <v>59</v>
      </c>
      <c r="H555" s="5" t="s">
        <v>60</v>
      </c>
      <c r="I555" s="6" t="n">
        <v>0.1</v>
      </c>
      <c r="J555" s="7" t="n">
        <f aca="false">IF(I555="","",1/I555)</f>
        <v>10</v>
      </c>
      <c r="K555" s="8" t="n">
        <v>54.4</v>
      </c>
      <c r="L555" s="9" t="n">
        <v>0.51</v>
      </c>
      <c r="M555" s="10" t="n">
        <v>0.0095</v>
      </c>
      <c r="N555" s="8" t="n">
        <v>54.1</v>
      </c>
      <c r="O555" s="8" t="n">
        <v>54.09</v>
      </c>
      <c r="P555" s="8" t="n">
        <v>54.4</v>
      </c>
      <c r="Q555" s="8" t="n">
        <v>54.4</v>
      </c>
      <c r="R555" s="11" t="n">
        <v>17</v>
      </c>
      <c r="S555" s="11" t="n">
        <f aca="false">K555*R555</f>
        <v>924.8</v>
      </c>
      <c r="T555" s="8" t="n">
        <v>48.15</v>
      </c>
      <c r="U555" s="8" t="n">
        <v>57.74</v>
      </c>
      <c r="V555" s="12" t="n">
        <f aca="false">IF(U555-T555=0,"",(K555-T555)/(U555-T555))</f>
        <v>0.651720542231491</v>
      </c>
      <c r="W555" s="13" t="n">
        <f aca="false">IF(U555=0,"",K555/U555-1)</f>
        <v>-0.0578455143747836</v>
      </c>
      <c r="X555" s="11"/>
      <c r="Y555" s="5" t="s">
        <v>253</v>
      </c>
      <c r="Z555" s="5" t="s">
        <v>254</v>
      </c>
      <c r="AA555" s="5" t="s">
        <v>251</v>
      </c>
      <c r="AB555" s="5"/>
      <c r="AC555" s="5" t="s">
        <v>1795</v>
      </c>
      <c r="AD555" s="14" t="n">
        <v>46288.771875</v>
      </c>
    </row>
    <row r="556" customFormat="false" ht="15" hidden="false" customHeight="false" outlineLevel="0" collapsed="false">
      <c r="A556" s="5" t="s">
        <v>1796</v>
      </c>
      <c r="B556" s="5" t="s">
        <v>1797</v>
      </c>
      <c r="C556" s="5" t="s">
        <v>55</v>
      </c>
      <c r="D556" s="5" t="s">
        <v>56</v>
      </c>
      <c r="E556" s="5" t="s">
        <v>71</v>
      </c>
      <c r="F556" s="5" t="s">
        <v>72</v>
      </c>
      <c r="G556" s="5" t="s">
        <v>59</v>
      </c>
      <c r="H556" s="5" t="s">
        <v>86</v>
      </c>
      <c r="I556" s="6" t="n">
        <v>0.25</v>
      </c>
      <c r="J556" s="7" t="n">
        <f aca="false">IF(I556="","",1/I556)</f>
        <v>4</v>
      </c>
      <c r="K556" s="8" t="n">
        <v>162.57</v>
      </c>
      <c r="L556" s="9" t="n">
        <v>-1.35</v>
      </c>
      <c r="M556" s="10" t="n">
        <v>-0.0082</v>
      </c>
      <c r="N556" s="8" t="n">
        <v>162.57</v>
      </c>
      <c r="O556" s="8" t="n">
        <v>162.57</v>
      </c>
      <c r="P556" s="8" t="n">
        <v>162.57</v>
      </c>
      <c r="Q556" s="8" t="n">
        <v>162.57</v>
      </c>
      <c r="R556" s="11" t="n">
        <v>3</v>
      </c>
      <c r="S556" s="11" t="n">
        <f aca="false">K556*R556</f>
        <v>487.71</v>
      </c>
      <c r="T556" s="8" t="n">
        <v>105.71</v>
      </c>
      <c r="U556" s="8" t="n">
        <v>170.8</v>
      </c>
      <c r="V556" s="12" t="n">
        <f aca="false">IF(U556-T556=0,"",(K556-T556)/(U556-T556))</f>
        <v>0.873559686587801</v>
      </c>
      <c r="W556" s="13" t="n">
        <f aca="false">IF(U556=0,"",K556/U556-1)</f>
        <v>-0.048185011709602</v>
      </c>
      <c r="X556" s="11" t="n">
        <v>222669</v>
      </c>
      <c r="Y556" s="5" t="s">
        <v>71</v>
      </c>
      <c r="Z556" s="5" t="s">
        <v>73</v>
      </c>
      <c r="AA556" s="5" t="s">
        <v>72</v>
      </c>
      <c r="AB556" s="5"/>
      <c r="AC556" s="5" t="s">
        <v>1798</v>
      </c>
      <c r="AD556" s="14" t="n">
        <v>46288.771875</v>
      </c>
    </row>
    <row r="557" customFormat="false" ht="15" hidden="false" customHeight="false" outlineLevel="0" collapsed="false">
      <c r="A557" s="5" t="s">
        <v>1799</v>
      </c>
      <c r="B557" s="5" t="s">
        <v>1800</v>
      </c>
      <c r="C557" s="5" t="s">
        <v>55</v>
      </c>
      <c r="D557" s="5" t="s">
        <v>56</v>
      </c>
      <c r="E557" s="5" t="s">
        <v>77</v>
      </c>
      <c r="F557" s="5" t="s">
        <v>78</v>
      </c>
      <c r="G557" s="5" t="s">
        <v>59</v>
      </c>
      <c r="H557" s="5" t="s">
        <v>60</v>
      </c>
      <c r="I557" s="6" t="n">
        <v>0.05</v>
      </c>
      <c r="J557" s="7" t="n">
        <f aca="false">IF(I557="","",1/I557)</f>
        <v>20</v>
      </c>
      <c r="K557" s="8" t="n">
        <v>48.33</v>
      </c>
      <c r="L557" s="9" t="n">
        <v>0.52</v>
      </c>
      <c r="M557" s="10" t="n">
        <v>0.0109</v>
      </c>
      <c r="N557" s="8" t="n">
        <v>47.4</v>
      </c>
      <c r="O557" s="8" t="n">
        <v>46.74</v>
      </c>
      <c r="P557" s="8" t="n">
        <v>48.5</v>
      </c>
      <c r="Q557" s="8" t="n">
        <v>48.33</v>
      </c>
      <c r="R557" s="11" t="n">
        <v>832</v>
      </c>
      <c r="S557" s="11" t="n">
        <f aca="false">K557*R557</f>
        <v>40210.56</v>
      </c>
      <c r="T557" s="8" t="n">
        <v>27.319</v>
      </c>
      <c r="U557" s="8" t="n">
        <v>79.266</v>
      </c>
      <c r="V557" s="12" t="n">
        <f aca="false">IF(U557-T557=0,"",(K557-T557)/(U557-T557))</f>
        <v>0.404469940516295</v>
      </c>
      <c r="W557" s="13" t="n">
        <f aca="false">IF(U557=0,"",K557/U557-1)</f>
        <v>-0.390280826583907</v>
      </c>
      <c r="X557" s="11" t="n">
        <v>1259206</v>
      </c>
      <c r="Y557" s="5" t="s">
        <v>77</v>
      </c>
      <c r="Z557" s="5" t="s">
        <v>79</v>
      </c>
      <c r="AA557" s="5" t="s">
        <v>78</v>
      </c>
      <c r="AB557" s="5"/>
      <c r="AC557" s="5" t="s">
        <v>1801</v>
      </c>
      <c r="AD557" s="14" t="n">
        <v>46288.771875</v>
      </c>
    </row>
    <row r="558" customFormat="false" ht="15" hidden="false" customHeight="false" outlineLevel="0" collapsed="false">
      <c r="A558" s="5" t="s">
        <v>1802</v>
      </c>
      <c r="B558" s="5" t="s">
        <v>1803</v>
      </c>
      <c r="C558" s="5" t="s">
        <v>55</v>
      </c>
      <c r="D558" s="5" t="s">
        <v>56</v>
      </c>
      <c r="E558" s="5" t="s">
        <v>57</v>
      </c>
      <c r="F558" s="5" t="s">
        <v>58</v>
      </c>
      <c r="G558" s="5" t="s">
        <v>59</v>
      </c>
      <c r="H558" s="5" t="s">
        <v>60</v>
      </c>
      <c r="I558" s="6" t="n">
        <v>0.5</v>
      </c>
      <c r="J558" s="7" t="n">
        <f aca="false">IF(I558="","",1/I558)</f>
        <v>2</v>
      </c>
      <c r="K558" s="8" t="n">
        <v>149.52</v>
      </c>
      <c r="L558" s="9" t="n">
        <v>-15.44</v>
      </c>
      <c r="M558" s="10" t="n">
        <v>-0.0936</v>
      </c>
      <c r="N558" s="8" t="n">
        <v>149.52</v>
      </c>
      <c r="O558" s="8" t="n">
        <v>149.52</v>
      </c>
      <c r="P558" s="8" t="n">
        <v>149.52</v>
      </c>
      <c r="Q558" s="8" t="n">
        <v>149.52</v>
      </c>
      <c r="R558" s="11" t="n">
        <v>2</v>
      </c>
      <c r="S558" s="11" t="n">
        <f aca="false">K558*R558</f>
        <v>299.04</v>
      </c>
      <c r="T558" s="8" t="n">
        <v>81.3</v>
      </c>
      <c r="U558" s="8" t="n">
        <v>164.96</v>
      </c>
      <c r="V558" s="12" t="n">
        <f aca="false">IF(U558-T558=0,"",(K558-T558)/(U558-T558))</f>
        <v>0.815443461630409</v>
      </c>
      <c r="W558" s="13" t="n">
        <f aca="false">IF(U558=0,"",K558/U558-1)</f>
        <v>-0.0935984481086324</v>
      </c>
      <c r="X558" s="11" t="n">
        <v>41281</v>
      </c>
      <c r="Y558" s="5" t="s">
        <v>57</v>
      </c>
      <c r="Z558" s="5" t="s">
        <v>61</v>
      </c>
      <c r="AA558" s="5" t="s">
        <v>58</v>
      </c>
      <c r="AB558" s="5"/>
      <c r="AC558" s="5" t="s">
        <v>1804</v>
      </c>
      <c r="AD558" s="14" t="n">
        <v>46288.771875</v>
      </c>
    </row>
    <row r="559" customFormat="false" ht="15" hidden="false" customHeight="false" outlineLevel="0" collapsed="false">
      <c r="A559" s="5" t="s">
        <v>1805</v>
      </c>
      <c r="B559" s="5" t="s">
        <v>1806</v>
      </c>
      <c r="C559" s="5" t="s">
        <v>55</v>
      </c>
      <c r="D559" s="5" t="s">
        <v>56</v>
      </c>
      <c r="E559" s="5" t="s">
        <v>57</v>
      </c>
      <c r="F559" s="5" t="s">
        <v>58</v>
      </c>
      <c r="G559" s="5" t="s">
        <v>59</v>
      </c>
      <c r="H559" s="5" t="s">
        <v>60</v>
      </c>
      <c r="I559" s="6" t="n">
        <v>0.166667</v>
      </c>
      <c r="J559" s="7" t="n">
        <f aca="false">IF(I559="","",1/I559)</f>
        <v>5.999988000024</v>
      </c>
      <c r="K559" s="8" t="n">
        <v>50.15</v>
      </c>
      <c r="L559" s="9" t="n">
        <v>-0.45</v>
      </c>
      <c r="M559" s="10" t="n">
        <v>-0.0089</v>
      </c>
      <c r="N559" s="8" t="n">
        <v>50.15</v>
      </c>
      <c r="O559" s="8" t="n">
        <v>50.15</v>
      </c>
      <c r="P559" s="8" t="n">
        <v>50.15</v>
      </c>
      <c r="Q559" s="8" t="n">
        <v>50.15</v>
      </c>
      <c r="R559" s="11" t="n">
        <v>1</v>
      </c>
      <c r="S559" s="11" t="n">
        <f aca="false">K559*R559</f>
        <v>50.15</v>
      </c>
      <c r="T559" s="8" t="n">
        <v>48.59</v>
      </c>
      <c r="U559" s="8" t="n">
        <v>62.66666792</v>
      </c>
      <c r="V559" s="12" t="n">
        <f aca="false">IF(U559-T559=0,"",(K559-T559)/(U559-T559))</f>
        <v>0.110821680874034</v>
      </c>
      <c r="W559" s="13" t="n">
        <f aca="false">IF(U559=0,"",K559/U559-1)</f>
        <v>-0.19973405855851</v>
      </c>
      <c r="X559" s="11" t="n">
        <v>176995</v>
      </c>
      <c r="Y559" s="5" t="s">
        <v>57</v>
      </c>
      <c r="Z559" s="5" t="s">
        <v>61</v>
      </c>
      <c r="AA559" s="5" t="s">
        <v>58</v>
      </c>
      <c r="AB559" s="5"/>
      <c r="AC559" s="5" t="s">
        <v>1807</v>
      </c>
      <c r="AD559" s="14" t="n">
        <v>46288.771875</v>
      </c>
    </row>
    <row r="560" customFormat="false" ht="15" hidden="false" customHeight="false" outlineLevel="0" collapsed="false">
      <c r="A560" s="5" t="s">
        <v>1808</v>
      </c>
      <c r="B560" s="5" t="s">
        <v>1809</v>
      </c>
      <c r="C560" s="5" t="s">
        <v>55</v>
      </c>
      <c r="D560" s="5" t="s">
        <v>56</v>
      </c>
      <c r="E560" s="5" t="s">
        <v>77</v>
      </c>
      <c r="F560" s="5" t="s">
        <v>78</v>
      </c>
      <c r="G560" s="5" t="s">
        <v>59</v>
      </c>
      <c r="H560" s="5"/>
      <c r="I560" s="6"/>
      <c r="J560" s="7" t="str">
        <f aca="false">IF(I560="","",1/I560)</f>
        <v/>
      </c>
      <c r="K560" s="8" t="n">
        <v>907.8</v>
      </c>
      <c r="L560" s="9" t="n">
        <v>20.4</v>
      </c>
      <c r="M560" s="10" t="n">
        <v>0.023</v>
      </c>
      <c r="N560" s="8" t="n">
        <v>877.54</v>
      </c>
      <c r="O560" s="8" t="n">
        <v>875.76</v>
      </c>
      <c r="P560" s="8" t="n">
        <v>907.8</v>
      </c>
      <c r="Q560" s="8" t="n">
        <v>907.8</v>
      </c>
      <c r="R560" s="11" t="n">
        <v>42</v>
      </c>
      <c r="S560" s="11" t="n">
        <f aca="false">K560*R560</f>
        <v>38127.6</v>
      </c>
      <c r="T560" s="8" t="n">
        <v>560</v>
      </c>
      <c r="U560" s="8" t="n">
        <v>959.74</v>
      </c>
      <c r="V560" s="12" t="n">
        <f aca="false">IF(U560-T560=0,"",(K560-T560)/(U560-T560))</f>
        <v>0.870065542602692</v>
      </c>
      <c r="W560" s="13" t="n">
        <f aca="false">IF(U560=0,"",K560/U560-1)</f>
        <v>-0.0541188238481256</v>
      </c>
      <c r="X560" s="11" t="n">
        <v>302607</v>
      </c>
      <c r="Y560" s="5" t="s">
        <v>77</v>
      </c>
      <c r="Z560" s="5" t="s">
        <v>79</v>
      </c>
      <c r="AA560" s="5" t="s">
        <v>78</v>
      </c>
      <c r="AB560" s="5" t="s">
        <v>111</v>
      </c>
      <c r="AC560" s="5" t="s">
        <v>1810</v>
      </c>
      <c r="AD560" s="14" t="n">
        <v>46288.771875</v>
      </c>
    </row>
    <row r="561" customFormat="false" ht="15" hidden="false" customHeight="false" outlineLevel="0" collapsed="false">
      <c r="A561" s="5" t="s">
        <v>1811</v>
      </c>
      <c r="B561" s="5" t="s">
        <v>1812</v>
      </c>
      <c r="C561" s="5" t="s">
        <v>55</v>
      </c>
      <c r="D561" s="5" t="s">
        <v>56</v>
      </c>
      <c r="E561" s="5" t="s">
        <v>57</v>
      </c>
      <c r="F561" s="5" t="s">
        <v>58</v>
      </c>
      <c r="G561" s="5" t="s">
        <v>59</v>
      </c>
      <c r="H561" s="5" t="s">
        <v>60</v>
      </c>
      <c r="I561" s="6" t="n">
        <v>1</v>
      </c>
      <c r="J561" s="7" t="n">
        <f aca="false">IF(I561="","",1/I561)</f>
        <v>1</v>
      </c>
      <c r="K561" s="8" t="n">
        <v>93.05</v>
      </c>
      <c r="L561" s="9" t="n">
        <v>3.13</v>
      </c>
      <c r="M561" s="10" t="n">
        <v>0.0348</v>
      </c>
      <c r="N561" s="8" t="n">
        <v>92.88</v>
      </c>
      <c r="O561" s="8" t="n">
        <v>92.88</v>
      </c>
      <c r="P561" s="8" t="n">
        <v>93.05</v>
      </c>
      <c r="Q561" s="8" t="n">
        <v>93.05</v>
      </c>
      <c r="R561" s="11" t="n">
        <v>1210</v>
      </c>
      <c r="S561" s="11" t="n">
        <f aca="false">K561*R561</f>
        <v>112590.5</v>
      </c>
      <c r="T561" s="8" t="n">
        <v>59.12</v>
      </c>
      <c r="U561" s="8" t="n">
        <v>132.84</v>
      </c>
      <c r="V561" s="12" t="n">
        <f aca="false">IF(U561-T561=0,"",(K561-T561)/(U561-T561))</f>
        <v>0.460255018990776</v>
      </c>
      <c r="W561" s="13" t="n">
        <f aca="false">IF(U561=0,"",K561/U561-1)</f>
        <v>-0.299533273110509</v>
      </c>
      <c r="X561" s="11" t="n">
        <v>10601</v>
      </c>
      <c r="Y561" s="5" t="s">
        <v>57</v>
      </c>
      <c r="Z561" s="5" t="s">
        <v>61</v>
      </c>
      <c r="AA561" s="5" t="s">
        <v>58</v>
      </c>
      <c r="AB561" s="5"/>
      <c r="AC561" s="5" t="s">
        <v>1813</v>
      </c>
      <c r="AD561" s="14" t="n">
        <v>46288.771875</v>
      </c>
    </row>
    <row r="562" customFormat="false" ht="15" hidden="false" customHeight="false" outlineLevel="0" collapsed="false">
      <c r="A562" s="5" t="s">
        <v>1814</v>
      </c>
      <c r="B562" s="5" t="s">
        <v>1815</v>
      </c>
      <c r="C562" s="5" t="s">
        <v>55</v>
      </c>
      <c r="D562" s="5" t="s">
        <v>56</v>
      </c>
      <c r="E562" s="5" t="s">
        <v>324</v>
      </c>
      <c r="F562" s="5" t="s">
        <v>325</v>
      </c>
      <c r="G562" s="5" t="s">
        <v>59</v>
      </c>
      <c r="H562" s="5" t="s">
        <v>86</v>
      </c>
      <c r="I562" s="6" t="n">
        <v>1</v>
      </c>
      <c r="J562" s="7" t="n">
        <f aca="false">IF(I562="","",1/I562)</f>
        <v>1</v>
      </c>
      <c r="K562" s="8" t="n">
        <v>100.22</v>
      </c>
      <c r="L562" s="9" t="n">
        <v>0.28</v>
      </c>
      <c r="M562" s="10" t="n">
        <v>0.0028</v>
      </c>
      <c r="N562" s="8" t="n">
        <v>100.22</v>
      </c>
      <c r="O562" s="8" t="n">
        <v>100.22</v>
      </c>
      <c r="P562" s="8" t="n">
        <v>100.22</v>
      </c>
      <c r="Q562" s="8" t="n">
        <v>100.22</v>
      </c>
      <c r="R562" s="11" t="n">
        <v>2</v>
      </c>
      <c r="S562" s="11" t="n">
        <f aca="false">K562*R562</f>
        <v>200.44</v>
      </c>
      <c r="T562" s="8" t="n">
        <v>88.3</v>
      </c>
      <c r="U562" s="8" t="n">
        <v>125.87</v>
      </c>
      <c r="V562" s="12" t="n">
        <f aca="false">IF(U562-T562=0,"",(K562-T562)/(U562-T562))</f>
        <v>0.317274421080649</v>
      </c>
      <c r="W562" s="13" t="n">
        <f aca="false">IF(U562=0,"",K562/U562-1)</f>
        <v>-0.203781679510606</v>
      </c>
      <c r="X562" s="11" t="n">
        <v>48090</v>
      </c>
      <c r="Y562" s="5" t="s">
        <v>324</v>
      </c>
      <c r="Z562" s="5" t="s">
        <v>326</v>
      </c>
      <c r="AA562" s="5" t="s">
        <v>325</v>
      </c>
      <c r="AB562" s="5"/>
      <c r="AC562" s="5" t="s">
        <v>1816</v>
      </c>
      <c r="AD562" s="14" t="n">
        <v>46288.771875</v>
      </c>
    </row>
    <row r="563" customFormat="false" ht="15" hidden="false" customHeight="false" outlineLevel="0" collapsed="false">
      <c r="A563" s="5" t="s">
        <v>1817</v>
      </c>
      <c r="B563" s="5" t="s">
        <v>1818</v>
      </c>
      <c r="C563" s="5" t="s">
        <v>55</v>
      </c>
      <c r="D563" s="5" t="s">
        <v>56</v>
      </c>
      <c r="E563" s="5" t="s">
        <v>115</v>
      </c>
      <c r="F563" s="5" t="s">
        <v>116</v>
      </c>
      <c r="G563" s="5" t="s">
        <v>59</v>
      </c>
      <c r="H563" s="5" t="s">
        <v>86</v>
      </c>
      <c r="I563" s="6" t="n">
        <v>0.06666667</v>
      </c>
      <c r="J563" s="7" t="n">
        <f aca="false">IF(I563="","",1/I563)</f>
        <v>14.99999925</v>
      </c>
      <c r="K563" s="8" t="n">
        <v>8.32</v>
      </c>
      <c r="L563" s="9" t="n">
        <v>-0.36</v>
      </c>
      <c r="M563" s="10" t="n">
        <v>-0.0415</v>
      </c>
      <c r="N563" s="8" t="n">
        <v>8.41</v>
      </c>
      <c r="O563" s="8" t="n">
        <v>8.31</v>
      </c>
      <c r="P563" s="8" t="n">
        <v>8.41</v>
      </c>
      <c r="Q563" s="8" t="n">
        <v>8.32</v>
      </c>
      <c r="R563" s="11" t="n">
        <v>197</v>
      </c>
      <c r="S563" s="11" t="n">
        <f aca="false">K563*R563</f>
        <v>1639.04</v>
      </c>
      <c r="T563" s="8" t="n">
        <v>7.29</v>
      </c>
      <c r="U563" s="8" t="n">
        <v>15.7</v>
      </c>
      <c r="V563" s="12" t="n">
        <f aca="false">IF(U563-T563=0,"",(K563-T563)/(U563-T563))</f>
        <v>0.122473246135553</v>
      </c>
      <c r="W563" s="13" t="n">
        <f aca="false">IF(U563=0,"",K563/U563-1)</f>
        <v>-0.470063694267516</v>
      </c>
      <c r="X563" s="11" t="n">
        <v>15622</v>
      </c>
      <c r="Y563" s="5" t="s">
        <v>115</v>
      </c>
      <c r="Z563" s="5" t="s">
        <v>117</v>
      </c>
      <c r="AA563" s="5" t="s">
        <v>116</v>
      </c>
      <c r="AB563" s="5"/>
      <c r="AC563" s="5" t="s">
        <v>1819</v>
      </c>
      <c r="AD563" s="14" t="n">
        <v>46288.771875</v>
      </c>
    </row>
    <row r="564" customFormat="false" ht="15" hidden="false" customHeight="false" outlineLevel="0" collapsed="false">
      <c r="A564" s="5" t="s">
        <v>1820</v>
      </c>
      <c r="B564" s="5" t="s">
        <v>1821</v>
      </c>
      <c r="C564" s="5" t="s">
        <v>55</v>
      </c>
      <c r="D564" s="5" t="s">
        <v>56</v>
      </c>
      <c r="E564" s="5" t="s">
        <v>71</v>
      </c>
      <c r="F564" s="5" t="s">
        <v>72</v>
      </c>
      <c r="G564" s="5" t="s">
        <v>59</v>
      </c>
      <c r="H564" s="5" t="s">
        <v>60</v>
      </c>
      <c r="I564" s="6" t="n">
        <v>0.125</v>
      </c>
      <c r="J564" s="7" t="n">
        <f aca="false">IF(I564="","",1/I564)</f>
        <v>8</v>
      </c>
      <c r="K564" s="8" t="n">
        <v>22.12</v>
      </c>
      <c r="L564" s="9" t="n">
        <v>0</v>
      </c>
      <c r="M564" s="10" t="n">
        <v>0</v>
      </c>
      <c r="N564" s="8" t="n">
        <v>22.12</v>
      </c>
      <c r="O564" s="8" t="n">
        <v>22.12</v>
      </c>
      <c r="P564" s="8" t="n">
        <v>22.12</v>
      </c>
      <c r="Q564" s="8" t="n">
        <v>22.12</v>
      </c>
      <c r="R564" s="11" t="n">
        <v>1</v>
      </c>
      <c r="S564" s="11" t="n">
        <f aca="false">K564*R564</f>
        <v>22.12</v>
      </c>
      <c r="T564" s="8" t="n">
        <v>17.64</v>
      </c>
      <c r="U564" s="8" t="n">
        <v>28.47</v>
      </c>
      <c r="V564" s="12" t="n">
        <f aca="false">IF(U564-T564=0,"",(K564-T564)/(U564-T564))</f>
        <v>0.413665743305633</v>
      </c>
      <c r="W564" s="13" t="n">
        <f aca="false">IF(U564=0,"",K564/U564-1)</f>
        <v>-0.223041798384264</v>
      </c>
      <c r="X564" s="11" t="n">
        <v>20880</v>
      </c>
      <c r="Y564" s="5" t="s">
        <v>71</v>
      </c>
      <c r="Z564" s="5" t="s">
        <v>73</v>
      </c>
      <c r="AA564" s="5" t="s">
        <v>72</v>
      </c>
      <c r="AB564" s="5"/>
      <c r="AC564" s="5" t="s">
        <v>1822</v>
      </c>
      <c r="AD564" s="14" t="n">
        <v>46288.771875</v>
      </c>
    </row>
    <row r="565" customFormat="false" ht="15" hidden="false" customHeight="false" outlineLevel="0" collapsed="false">
      <c r="A565" s="5" t="s">
        <v>1823</v>
      </c>
      <c r="B565" s="5" t="s">
        <v>1824</v>
      </c>
      <c r="C565" s="5" t="s">
        <v>55</v>
      </c>
      <c r="D565" s="5" t="s">
        <v>56</v>
      </c>
      <c r="E565" s="5" t="s">
        <v>273</v>
      </c>
      <c r="F565" s="5" t="s">
        <v>274</v>
      </c>
      <c r="G565" s="5" t="s">
        <v>59</v>
      </c>
      <c r="H565" s="5" t="s">
        <v>60</v>
      </c>
      <c r="I565" s="6" t="n">
        <v>0.25</v>
      </c>
      <c r="J565" s="7" t="n">
        <f aca="false">IF(I565="","",1/I565)</f>
        <v>4</v>
      </c>
      <c r="K565" s="8" t="n">
        <v>30.52</v>
      </c>
      <c r="L565" s="9" t="n">
        <v>-0.18</v>
      </c>
      <c r="M565" s="10" t="n">
        <v>-0.0059</v>
      </c>
      <c r="N565" s="8" t="n">
        <v>31</v>
      </c>
      <c r="O565" s="8" t="n">
        <v>30.33</v>
      </c>
      <c r="P565" s="8" t="n">
        <v>31</v>
      </c>
      <c r="Q565" s="8" t="n">
        <v>30.52</v>
      </c>
      <c r="R565" s="11" t="n">
        <v>265</v>
      </c>
      <c r="S565" s="11" t="n">
        <f aca="false">K565*R565</f>
        <v>8087.8</v>
      </c>
      <c r="T565" s="8" t="n">
        <v>26.95</v>
      </c>
      <c r="U565" s="8" t="n">
        <v>36</v>
      </c>
      <c r="V565" s="12" t="n">
        <f aca="false">IF(U565-T565=0,"",(K565-T565)/(U565-T565))</f>
        <v>0.394475138121547</v>
      </c>
      <c r="W565" s="13" t="n">
        <f aca="false">IF(U565=0,"",K565/U565-1)</f>
        <v>-0.152222222222222</v>
      </c>
      <c r="X565" s="11" t="n">
        <v>145649</v>
      </c>
      <c r="Y565" s="5" t="s">
        <v>273</v>
      </c>
      <c r="Z565" s="5" t="s">
        <v>275</v>
      </c>
      <c r="AA565" s="5" t="s">
        <v>274</v>
      </c>
      <c r="AB565" s="5"/>
      <c r="AC565" s="5" t="s">
        <v>1825</v>
      </c>
      <c r="AD565" s="14" t="n">
        <v>46288.771875</v>
      </c>
    </row>
    <row r="566" customFormat="false" ht="15" hidden="false" customHeight="false" outlineLevel="0" collapsed="false">
      <c r="A566" s="5" t="s">
        <v>1826</v>
      </c>
      <c r="B566" s="5" t="s">
        <v>1827</v>
      </c>
      <c r="C566" s="5" t="s">
        <v>55</v>
      </c>
      <c r="D566" s="5" t="s">
        <v>56</v>
      </c>
      <c r="E566" s="5" t="s">
        <v>273</v>
      </c>
      <c r="F566" s="5" t="s">
        <v>274</v>
      </c>
      <c r="G566" s="5" t="s">
        <v>59</v>
      </c>
      <c r="H566" s="5" t="s">
        <v>60</v>
      </c>
      <c r="I566" s="6" t="n">
        <v>1</v>
      </c>
      <c r="J566" s="7" t="n">
        <f aca="false">IF(I566="","",1/I566)</f>
        <v>1</v>
      </c>
      <c r="K566" s="8" t="n">
        <v>505</v>
      </c>
      <c r="L566" s="9" t="n">
        <v>5.5</v>
      </c>
      <c r="M566" s="10" t="n">
        <v>0.011</v>
      </c>
      <c r="N566" s="8" t="n">
        <v>505</v>
      </c>
      <c r="O566" s="8" t="n">
        <v>505</v>
      </c>
      <c r="P566" s="8" t="n">
        <v>505</v>
      </c>
      <c r="Q566" s="8" t="n">
        <v>505</v>
      </c>
      <c r="R566" s="11" t="n">
        <v>50</v>
      </c>
      <c r="S566" s="11" t="n">
        <f aca="false">K566*R566</f>
        <v>25250</v>
      </c>
      <c r="T566" s="8" t="n">
        <v>466.9</v>
      </c>
      <c r="U566" s="8" t="n">
        <v>651.95</v>
      </c>
      <c r="V566" s="12" t="n">
        <f aca="false">IF(U566-T566=0,"",(K566-T566)/(U566-T566))</f>
        <v>0.205890299918941</v>
      </c>
      <c r="W566" s="13" t="n">
        <f aca="false">IF(U566=0,"",K566/U566-1)</f>
        <v>-0.225400720914181</v>
      </c>
      <c r="X566" s="11" t="n">
        <v>168349</v>
      </c>
      <c r="Y566" s="5" t="s">
        <v>273</v>
      </c>
      <c r="Z566" s="5" t="s">
        <v>275</v>
      </c>
      <c r="AA566" s="5" t="s">
        <v>274</v>
      </c>
      <c r="AB566" s="5"/>
      <c r="AC566" s="5" t="s">
        <v>1828</v>
      </c>
      <c r="AD566" s="14" t="n">
        <v>46288.771875</v>
      </c>
    </row>
    <row r="567" customFormat="false" ht="15" hidden="false" customHeight="false" outlineLevel="0" collapsed="false">
      <c r="A567" s="5" t="s">
        <v>1829</v>
      </c>
      <c r="B567" s="5" t="s">
        <v>1830</v>
      </c>
      <c r="C567" s="5" t="s">
        <v>55</v>
      </c>
      <c r="D567" s="5" t="s">
        <v>56</v>
      </c>
      <c r="E567" s="5" t="s">
        <v>370</v>
      </c>
      <c r="F567" s="5" t="s">
        <v>371</v>
      </c>
      <c r="G567" s="5" t="s">
        <v>59</v>
      </c>
      <c r="H567" s="5" t="s">
        <v>60</v>
      </c>
      <c r="I567" s="6" t="n">
        <v>0.333333</v>
      </c>
      <c r="J567" s="7" t="n">
        <f aca="false">IF(I567="","",1/I567)</f>
        <v>3.000003000003</v>
      </c>
      <c r="K567" s="8" t="n">
        <v>53.8</v>
      </c>
      <c r="L567" s="9" t="n">
        <v>-1.4</v>
      </c>
      <c r="M567" s="10" t="n">
        <v>-0.0254</v>
      </c>
      <c r="N567" s="8" t="n">
        <v>54.2</v>
      </c>
      <c r="O567" s="8" t="n">
        <v>53.75</v>
      </c>
      <c r="P567" s="8" t="n">
        <v>54.2</v>
      </c>
      <c r="Q567" s="8" t="n">
        <v>53.8</v>
      </c>
      <c r="R567" s="11" t="n">
        <v>59</v>
      </c>
      <c r="S567" s="11" t="n">
        <f aca="false">K567*R567</f>
        <v>3174.2</v>
      </c>
      <c r="T567" s="8" t="n">
        <v>46.03333287</v>
      </c>
      <c r="U567" s="8" t="n">
        <v>59.8799994</v>
      </c>
      <c r="V567" s="12" t="n">
        <f aca="false">IF(U567-T567=0,"",(K567-T567)/(U567-T567))</f>
        <v>0.56090519065891</v>
      </c>
      <c r="W567" s="13" t="n">
        <f aca="false">IF(U567=0,"",K567/U567-1)</f>
        <v>-0.101536397142983</v>
      </c>
      <c r="X567" s="11" t="n">
        <v>356357</v>
      </c>
      <c r="Y567" s="5" t="s">
        <v>370</v>
      </c>
      <c r="Z567" s="5" t="s">
        <v>372</v>
      </c>
      <c r="AA567" s="5" t="s">
        <v>371</v>
      </c>
      <c r="AB567" s="5"/>
      <c r="AC567" s="5" t="s">
        <v>1831</v>
      </c>
      <c r="AD567" s="14" t="n">
        <v>46288.771875</v>
      </c>
    </row>
    <row r="568" customFormat="false" ht="15" hidden="false" customHeight="false" outlineLevel="0" collapsed="false">
      <c r="A568" s="5" t="s">
        <v>1832</v>
      </c>
      <c r="B568" s="5" t="s">
        <v>1833</v>
      </c>
      <c r="C568" s="5" t="s">
        <v>55</v>
      </c>
      <c r="D568" s="5" t="s">
        <v>56</v>
      </c>
      <c r="E568" s="5" t="s">
        <v>71</v>
      </c>
      <c r="F568" s="5" t="s">
        <v>72</v>
      </c>
      <c r="G568" s="5" t="s">
        <v>59</v>
      </c>
      <c r="H568" s="5" t="s">
        <v>60</v>
      </c>
      <c r="I568" s="6" t="n">
        <v>0.066666667</v>
      </c>
      <c r="J568" s="7" t="n">
        <f aca="false">IF(I568="","",1/I568)</f>
        <v>14.999999925</v>
      </c>
      <c r="K568" s="8" t="n">
        <v>50.1</v>
      </c>
      <c r="L568" s="9" t="n">
        <v>-0.72</v>
      </c>
      <c r="M568" s="10" t="n">
        <v>-0.0142</v>
      </c>
      <c r="N568" s="8" t="n">
        <v>50.1</v>
      </c>
      <c r="O568" s="8" t="n">
        <v>50.1</v>
      </c>
      <c r="P568" s="8" t="n">
        <v>50.1</v>
      </c>
      <c r="Q568" s="8" t="n">
        <v>50.1</v>
      </c>
      <c r="R568" s="11" t="n">
        <v>1</v>
      </c>
      <c r="S568" s="11" t="n">
        <f aca="false">K568*R568</f>
        <v>50.1</v>
      </c>
      <c r="T568" s="8" t="n">
        <v>41.61</v>
      </c>
      <c r="U568" s="8" t="n">
        <v>50.82</v>
      </c>
      <c r="V568" s="12" t="n">
        <f aca="false">IF(U568-T568=0,"",(K568-T568)/(U568-T568))</f>
        <v>0.921824104234528</v>
      </c>
      <c r="W568" s="13" t="n">
        <f aca="false">IF(U568=0,"",K568/U568-1)</f>
        <v>-0.0141676505312869</v>
      </c>
      <c r="X568" s="11" t="n">
        <v>75424</v>
      </c>
      <c r="Y568" s="5" t="s">
        <v>71</v>
      </c>
      <c r="Z568" s="5" t="s">
        <v>73</v>
      </c>
      <c r="AA568" s="5" t="s">
        <v>72</v>
      </c>
      <c r="AB568" s="5"/>
      <c r="AC568" s="5" t="s">
        <v>1834</v>
      </c>
      <c r="AD568" s="14" t="n">
        <v>46288.771875</v>
      </c>
    </row>
    <row r="569" customFormat="false" ht="15" hidden="false" customHeight="false" outlineLevel="0" collapsed="false">
      <c r="A569" s="5" t="s">
        <v>1835</v>
      </c>
      <c r="B569" s="5" t="s">
        <v>1836</v>
      </c>
      <c r="C569" s="5" t="s">
        <v>55</v>
      </c>
      <c r="D569" s="5" t="s">
        <v>56</v>
      </c>
      <c r="E569" s="5" t="s">
        <v>115</v>
      </c>
      <c r="F569" s="5" t="s">
        <v>116</v>
      </c>
      <c r="G569" s="5" t="s">
        <v>59</v>
      </c>
      <c r="H569" s="5" t="s">
        <v>60</v>
      </c>
      <c r="I569" s="6" t="n">
        <v>0.1</v>
      </c>
      <c r="J569" s="7" t="n">
        <f aca="false">IF(I569="","",1/I569)</f>
        <v>10</v>
      </c>
      <c r="K569" s="8" t="n">
        <v>65.88</v>
      </c>
      <c r="L569" s="9" t="n">
        <v>-2.79</v>
      </c>
      <c r="M569" s="10" t="n">
        <v>-0.0406</v>
      </c>
      <c r="N569" s="8" t="n">
        <v>65.88</v>
      </c>
      <c r="O569" s="8" t="n">
        <v>65.88</v>
      </c>
      <c r="P569" s="8" t="n">
        <v>65.88</v>
      </c>
      <c r="Q569" s="8" t="n">
        <v>65.88</v>
      </c>
      <c r="R569" s="11" t="n">
        <v>4</v>
      </c>
      <c r="S569" s="11" t="n">
        <f aca="false">K569*R569</f>
        <v>263.52</v>
      </c>
      <c r="T569" s="8" t="n">
        <v>52.35</v>
      </c>
      <c r="U569" s="8" t="n">
        <v>106.81</v>
      </c>
      <c r="V569" s="12" t="n">
        <f aca="false">IF(U569-T569=0,"",(K569-T569)/(U569-T569))</f>
        <v>0.248439221446933</v>
      </c>
      <c r="W569" s="13" t="n">
        <f aca="false">IF(U569=0,"",K569/U569-1)</f>
        <v>-0.383203819867054</v>
      </c>
      <c r="X569" s="11" t="n">
        <v>79194</v>
      </c>
      <c r="Y569" s="5" t="s">
        <v>115</v>
      </c>
      <c r="Z569" s="5" t="s">
        <v>117</v>
      </c>
      <c r="AA569" s="5" t="s">
        <v>116</v>
      </c>
      <c r="AB569" s="5"/>
      <c r="AC569" s="5" t="s">
        <v>1837</v>
      </c>
      <c r="AD569" s="14" t="n">
        <v>46288.771875</v>
      </c>
    </row>
    <row r="570" customFormat="false" ht="15" hidden="false" customHeight="false" outlineLevel="0" collapsed="false">
      <c r="A570" s="5" t="s">
        <v>1838</v>
      </c>
      <c r="B570" s="5" t="s">
        <v>1839</v>
      </c>
      <c r="C570" s="5" t="s">
        <v>55</v>
      </c>
      <c r="D570" s="5" t="s">
        <v>56</v>
      </c>
      <c r="E570" s="5" t="s">
        <v>105</v>
      </c>
      <c r="F570" s="5" t="s">
        <v>106</v>
      </c>
      <c r="G570" s="5" t="s">
        <v>59</v>
      </c>
      <c r="H570" s="5" t="s">
        <v>60</v>
      </c>
      <c r="I570" s="6" t="n">
        <v>0.125</v>
      </c>
      <c r="J570" s="7" t="n">
        <f aca="false">IF(I570="","",1/I570)</f>
        <v>8</v>
      </c>
      <c r="K570" s="8" t="n">
        <v>49.55</v>
      </c>
      <c r="L570" s="9" t="n">
        <v>-1.54</v>
      </c>
      <c r="M570" s="10" t="n">
        <v>-0.0301</v>
      </c>
      <c r="N570" s="8" t="n">
        <v>50</v>
      </c>
      <c r="O570" s="8" t="n">
        <v>49</v>
      </c>
      <c r="P570" s="8" t="n">
        <v>50</v>
      </c>
      <c r="Q570" s="8" t="n">
        <v>49.55</v>
      </c>
      <c r="R570" s="11" t="n">
        <v>319</v>
      </c>
      <c r="S570" s="11" t="n">
        <f aca="false">K570*R570</f>
        <v>15806.45</v>
      </c>
      <c r="T570" s="8" t="n">
        <v>49</v>
      </c>
      <c r="U570" s="8" t="n">
        <v>86.2475</v>
      </c>
      <c r="V570" s="12" t="n">
        <f aca="false">IF(U570-T570=0,"",(K570-T570)/(U570-T570))</f>
        <v>0.0147660916840056</v>
      </c>
      <c r="W570" s="13" t="n">
        <f aca="false">IF(U570=0,"",K570/U570-1)</f>
        <v>-0.425490593930259</v>
      </c>
      <c r="X570" s="11" t="n">
        <v>102150</v>
      </c>
      <c r="Y570" s="5" t="s">
        <v>105</v>
      </c>
      <c r="Z570" s="5" t="s">
        <v>107</v>
      </c>
      <c r="AA570" s="5" t="s">
        <v>106</v>
      </c>
      <c r="AB570" s="5"/>
      <c r="AC570" s="5" t="s">
        <v>1840</v>
      </c>
      <c r="AD570" s="14" t="n">
        <v>46288.771875</v>
      </c>
    </row>
    <row r="571" customFormat="false" ht="15" hidden="false" customHeight="false" outlineLevel="0" collapsed="false">
      <c r="A571" s="5" t="s">
        <v>1841</v>
      </c>
      <c r="B571" s="5" t="s">
        <v>1842</v>
      </c>
      <c r="C571" s="5" t="s">
        <v>55</v>
      </c>
      <c r="D571" s="5" t="s">
        <v>56</v>
      </c>
      <c r="E571" s="5" t="s">
        <v>77</v>
      </c>
      <c r="F571" s="5" t="s">
        <v>78</v>
      </c>
      <c r="G571" s="5" t="s">
        <v>59</v>
      </c>
      <c r="H571" s="5" t="s">
        <v>60</v>
      </c>
      <c r="I571" s="6" t="n">
        <v>0.25</v>
      </c>
      <c r="J571" s="7" t="n">
        <f aca="false">IF(I571="","",1/I571)</f>
        <v>4</v>
      </c>
      <c r="K571" s="8" t="n">
        <v>318.4</v>
      </c>
      <c r="L571" s="9" t="n">
        <v>-8.96</v>
      </c>
      <c r="M571" s="10" t="n">
        <v>-0.0274</v>
      </c>
      <c r="N571" s="8" t="n">
        <v>318.72</v>
      </c>
      <c r="O571" s="8" t="n">
        <v>318.4</v>
      </c>
      <c r="P571" s="8" t="n">
        <v>318.72</v>
      </c>
      <c r="Q571" s="8" t="n">
        <v>318.4</v>
      </c>
      <c r="R571" s="11" t="n">
        <v>11</v>
      </c>
      <c r="S571" s="11" t="n">
        <f aca="false">K571*R571</f>
        <v>3502.4</v>
      </c>
      <c r="T571" s="8" t="n">
        <v>318.4</v>
      </c>
      <c r="U571" s="8" t="n">
        <v>486.92</v>
      </c>
      <c r="V571" s="12" t="n">
        <f aca="false">IF(U571-T571=0,"",(K571-T571)/(U571-T571))</f>
        <v>0</v>
      </c>
      <c r="W571" s="13" t="n">
        <f aca="false">IF(U571=0,"",K571/U571-1)</f>
        <v>-0.346093814178921</v>
      </c>
      <c r="X571" s="11" t="n">
        <v>228613</v>
      </c>
      <c r="Y571" s="5" t="s">
        <v>77</v>
      </c>
      <c r="Z571" s="5" t="s">
        <v>79</v>
      </c>
      <c r="AA571" s="5" t="s">
        <v>78</v>
      </c>
      <c r="AB571" s="5"/>
      <c r="AC571" s="5" t="s">
        <v>1843</v>
      </c>
      <c r="AD571" s="14" t="n">
        <v>46288.771875</v>
      </c>
    </row>
    <row r="572" customFormat="false" ht="15" hidden="false" customHeight="false" outlineLevel="0" collapsed="false">
      <c r="A572" s="5" t="s">
        <v>1844</v>
      </c>
      <c r="B572" s="5" t="s">
        <v>1845</v>
      </c>
      <c r="C572" s="5" t="s">
        <v>55</v>
      </c>
      <c r="D572" s="5" t="s">
        <v>56</v>
      </c>
      <c r="E572" s="5" t="s">
        <v>324</v>
      </c>
      <c r="F572" s="5" t="s">
        <v>325</v>
      </c>
      <c r="G572" s="5" t="s">
        <v>59</v>
      </c>
      <c r="H572" s="5" t="s">
        <v>60</v>
      </c>
      <c r="I572" s="6" t="n">
        <v>1</v>
      </c>
      <c r="J572" s="7" t="n">
        <f aca="false">IF(I572="","",1/I572)</f>
        <v>1</v>
      </c>
      <c r="K572" s="8" t="n">
        <v>31.39</v>
      </c>
      <c r="L572" s="9" t="n">
        <v>-1.28</v>
      </c>
      <c r="M572" s="10" t="n">
        <v>-0.0392</v>
      </c>
      <c r="N572" s="8" t="n">
        <v>32.67</v>
      </c>
      <c r="O572" s="8" t="n">
        <v>31.39</v>
      </c>
      <c r="P572" s="8" t="n">
        <v>32.67</v>
      </c>
      <c r="Q572" s="8" t="n">
        <v>32.04</v>
      </c>
      <c r="R572" s="11" t="n">
        <v>2558</v>
      </c>
      <c r="S572" s="11" t="n">
        <f aca="false">K572*R572</f>
        <v>80295.62</v>
      </c>
      <c r="T572" s="8" t="n">
        <v>28.25</v>
      </c>
      <c r="U572" s="8" t="n">
        <v>63.54</v>
      </c>
      <c r="V572" s="12" t="n">
        <f aca="false">IF(U572-T572=0,"",(K572-T572)/(U572-T572))</f>
        <v>0.0889770473221876</v>
      </c>
      <c r="W572" s="13" t="n">
        <f aca="false">IF(U572=0,"",K572/U572-1)</f>
        <v>-0.505980484734026</v>
      </c>
      <c r="X572" s="11" t="n">
        <v>33678</v>
      </c>
      <c r="Y572" s="5" t="s">
        <v>324</v>
      </c>
      <c r="Z572" s="5" t="s">
        <v>326</v>
      </c>
      <c r="AA572" s="5" t="s">
        <v>325</v>
      </c>
      <c r="AB572" s="5"/>
      <c r="AC572" s="5" t="s">
        <v>1846</v>
      </c>
      <c r="AD572" s="14" t="n">
        <v>46288.771875</v>
      </c>
    </row>
    <row r="573" customFormat="false" ht="15" hidden="false" customHeight="false" outlineLevel="0" collapsed="false">
      <c r="A573" s="5" t="s">
        <v>1847</v>
      </c>
      <c r="B573" s="5" t="s">
        <v>1848</v>
      </c>
      <c r="C573" s="5" t="s">
        <v>55</v>
      </c>
      <c r="D573" s="5" t="s">
        <v>56</v>
      </c>
      <c r="E573" s="5" t="s">
        <v>71</v>
      </c>
      <c r="F573" s="5" t="s">
        <v>72</v>
      </c>
      <c r="G573" s="5" t="s">
        <v>59</v>
      </c>
      <c r="H573" s="5" t="s">
        <v>60</v>
      </c>
      <c r="I573" s="6" t="n">
        <v>1</v>
      </c>
      <c r="J573" s="7" t="n">
        <f aca="false">IF(I573="","",1/I573)</f>
        <v>1</v>
      </c>
      <c r="K573" s="8" t="n">
        <v>220</v>
      </c>
      <c r="L573" s="9" t="n">
        <v>-3.74</v>
      </c>
      <c r="M573" s="10" t="n">
        <v>-0.0167</v>
      </c>
      <c r="N573" s="8" t="n">
        <v>220</v>
      </c>
      <c r="O573" s="8" t="n">
        <v>220</v>
      </c>
      <c r="P573" s="8" t="n">
        <v>220</v>
      </c>
      <c r="Q573" s="8" t="n">
        <v>220</v>
      </c>
      <c r="R573" s="11" t="n">
        <v>320</v>
      </c>
      <c r="S573" s="11" t="n">
        <f aca="false">K573*R573</f>
        <v>70400</v>
      </c>
      <c r="T573" s="8" t="n">
        <v>170.17</v>
      </c>
      <c r="U573" s="8" t="n">
        <v>255.5</v>
      </c>
      <c r="V573" s="12" t="n">
        <f aca="false">IF(U573-T573=0,"",(K573-T573)/(U573-T573))</f>
        <v>0.583968123754834</v>
      </c>
      <c r="W573" s="13" t="n">
        <f aca="false">IF(U573=0,"",K573/U573-1)</f>
        <v>-0.13894324853229</v>
      </c>
      <c r="X573" s="11" t="n">
        <v>40180</v>
      </c>
      <c r="Y573" s="5" t="s">
        <v>71</v>
      </c>
      <c r="Z573" s="5" t="s">
        <v>73</v>
      </c>
      <c r="AA573" s="5" t="s">
        <v>72</v>
      </c>
      <c r="AB573" s="5"/>
      <c r="AC573" s="5" t="s">
        <v>1849</v>
      </c>
      <c r="AD573" s="14" t="n">
        <v>46288.771875</v>
      </c>
    </row>
    <row r="574" customFormat="false" ht="15" hidden="false" customHeight="false" outlineLevel="0" collapsed="false">
      <c r="A574" s="5" t="s">
        <v>1850</v>
      </c>
      <c r="B574" s="5" t="s">
        <v>1851</v>
      </c>
      <c r="C574" s="5" t="s">
        <v>55</v>
      </c>
      <c r="D574" s="5" t="s">
        <v>56</v>
      </c>
      <c r="E574" s="5" t="s">
        <v>71</v>
      </c>
      <c r="F574" s="5" t="s">
        <v>72</v>
      </c>
      <c r="G574" s="5" t="s">
        <v>59</v>
      </c>
      <c r="H574" s="5" t="s">
        <v>60</v>
      </c>
      <c r="I574" s="6" t="n">
        <v>0.125</v>
      </c>
      <c r="J574" s="7" t="n">
        <f aca="false">IF(I574="","",1/I574)</f>
        <v>8</v>
      </c>
      <c r="K574" s="8" t="n">
        <v>23.5</v>
      </c>
      <c r="L574" s="9" t="n">
        <v>-0.9</v>
      </c>
      <c r="M574" s="10" t="n">
        <v>-0.0369</v>
      </c>
      <c r="N574" s="8" t="n">
        <v>23.65</v>
      </c>
      <c r="O574" s="8" t="n">
        <v>23.5</v>
      </c>
      <c r="P574" s="8" t="n">
        <v>23.65</v>
      </c>
      <c r="Q574" s="8" t="n">
        <v>23.5</v>
      </c>
      <c r="R574" s="11" t="n">
        <v>21</v>
      </c>
      <c r="S574" s="11" t="n">
        <f aca="false">K574*R574</f>
        <v>493.5</v>
      </c>
      <c r="T574" s="8" t="n">
        <v>21</v>
      </c>
      <c r="U574" s="8" t="n">
        <v>28.2</v>
      </c>
      <c r="V574" s="12" t="n">
        <f aca="false">IF(U574-T574=0,"",(K574-T574)/(U574-T574))</f>
        <v>0.347222222222222</v>
      </c>
      <c r="W574" s="13" t="n">
        <f aca="false">IF(U574=0,"",K574/U574-1)</f>
        <v>-0.166666666666667</v>
      </c>
      <c r="X574" s="11" t="n">
        <v>43584</v>
      </c>
      <c r="Y574" s="5" t="s">
        <v>71</v>
      </c>
      <c r="Z574" s="5" t="s">
        <v>73</v>
      </c>
      <c r="AA574" s="5" t="s">
        <v>72</v>
      </c>
      <c r="AB574" s="5"/>
      <c r="AC574" s="5" t="s">
        <v>1852</v>
      </c>
      <c r="AD574" s="14" t="n">
        <v>46288.771875</v>
      </c>
    </row>
    <row r="575" customFormat="false" ht="15" hidden="false" customHeight="false" outlineLevel="0" collapsed="false">
      <c r="A575" s="5" t="s">
        <v>1853</v>
      </c>
      <c r="B575" s="5" t="s">
        <v>1854</v>
      </c>
      <c r="C575" s="5" t="s">
        <v>55</v>
      </c>
      <c r="D575" s="5" t="s">
        <v>56</v>
      </c>
      <c r="E575" s="5" t="s">
        <v>142</v>
      </c>
      <c r="F575" s="5" t="s">
        <v>143</v>
      </c>
      <c r="G575" s="5" t="s">
        <v>59</v>
      </c>
      <c r="H575" s="5"/>
      <c r="I575" s="6"/>
      <c r="J575" s="7" t="str">
        <f aca="false">IF(I575="","",1/I575)</f>
        <v/>
      </c>
      <c r="K575" s="8" t="n">
        <v>35.7</v>
      </c>
      <c r="L575" s="9" t="n">
        <v>-0.3</v>
      </c>
      <c r="M575" s="10" t="n">
        <v>-0.0083</v>
      </c>
      <c r="N575" s="8" t="n">
        <v>35</v>
      </c>
      <c r="O575" s="8" t="n">
        <v>35</v>
      </c>
      <c r="P575" s="8" t="n">
        <v>36.1</v>
      </c>
      <c r="Q575" s="8" t="n">
        <v>35.91</v>
      </c>
      <c r="R575" s="11" t="n">
        <v>4283</v>
      </c>
      <c r="S575" s="11" t="n">
        <f aca="false">K575*R575</f>
        <v>152903.1</v>
      </c>
      <c r="T575" s="8" t="n">
        <v>15.39</v>
      </c>
      <c r="U575" s="8" t="n">
        <v>51.59</v>
      </c>
      <c r="V575" s="12" t="n">
        <f aca="false">IF(U575-T575=0,"",(K575-T575)/(U575-T575))</f>
        <v>0.561049723756906</v>
      </c>
      <c r="W575" s="13" t="n">
        <f aca="false">IF(U575=0,"",K575/U575-1)</f>
        <v>-0.308005427408413</v>
      </c>
      <c r="X575" s="11" t="n">
        <v>1991355</v>
      </c>
      <c r="Y575" s="5" t="s">
        <v>142</v>
      </c>
      <c r="Z575" s="5" t="s">
        <v>144</v>
      </c>
      <c r="AA575" s="5" t="s">
        <v>143</v>
      </c>
      <c r="AB575" s="5" t="s">
        <v>111</v>
      </c>
      <c r="AC575" s="5" t="s">
        <v>1855</v>
      </c>
      <c r="AD575" s="14" t="n">
        <v>46288.771875</v>
      </c>
    </row>
    <row r="576" customFormat="false" ht="15" hidden="false" customHeight="false" outlineLevel="0" collapsed="false">
      <c r="A576" s="5" t="s">
        <v>1856</v>
      </c>
      <c r="B576" s="5" t="s">
        <v>1857</v>
      </c>
      <c r="C576" s="5" t="s">
        <v>55</v>
      </c>
      <c r="D576" s="5" t="s">
        <v>56</v>
      </c>
      <c r="E576" s="5" t="s">
        <v>273</v>
      </c>
      <c r="F576" s="5" t="s">
        <v>274</v>
      </c>
      <c r="G576" s="5" t="s">
        <v>59</v>
      </c>
      <c r="H576" s="5" t="s">
        <v>60</v>
      </c>
      <c r="I576" s="6" t="n">
        <v>0.25</v>
      </c>
      <c r="J576" s="7" t="n">
        <f aca="false">IF(I576="","",1/I576)</f>
        <v>4</v>
      </c>
      <c r="K576" s="8" t="n">
        <v>132.34</v>
      </c>
      <c r="L576" s="9" t="n">
        <v>0.13</v>
      </c>
      <c r="M576" s="10" t="n">
        <v>0.001</v>
      </c>
      <c r="N576" s="8" t="n">
        <v>133.25</v>
      </c>
      <c r="O576" s="8" t="n">
        <v>131.9</v>
      </c>
      <c r="P576" s="8" t="n">
        <v>133.64</v>
      </c>
      <c r="Q576" s="8" t="n">
        <v>132.34</v>
      </c>
      <c r="R576" s="11" t="n">
        <v>429</v>
      </c>
      <c r="S576" s="11" t="n">
        <f aca="false">K576*R576</f>
        <v>56773.86</v>
      </c>
      <c r="T576" s="8" t="n">
        <v>122.5</v>
      </c>
      <c r="U576" s="8" t="n">
        <v>310</v>
      </c>
      <c r="V576" s="12" t="n">
        <f aca="false">IF(U576-T576=0,"",(K576-T576)/(U576-T576))</f>
        <v>0.05248</v>
      </c>
      <c r="W576" s="13" t="n">
        <f aca="false">IF(U576=0,"",K576/U576-1)</f>
        <v>-0.573096774193548</v>
      </c>
      <c r="X576" s="11" t="n">
        <v>61487</v>
      </c>
      <c r="Y576" s="5" t="s">
        <v>273</v>
      </c>
      <c r="Z576" s="5" t="s">
        <v>275</v>
      </c>
      <c r="AA576" s="5" t="s">
        <v>274</v>
      </c>
      <c r="AB576" s="5"/>
      <c r="AC576" s="5" t="s">
        <v>1858</v>
      </c>
      <c r="AD576" s="14" t="n">
        <v>46288.771875</v>
      </c>
    </row>
    <row r="577" customFormat="false" ht="15" hidden="false" customHeight="false" outlineLevel="0" collapsed="false">
      <c r="A577" s="5" t="s">
        <v>1859</v>
      </c>
      <c r="B577" s="5" t="s">
        <v>1860</v>
      </c>
      <c r="C577" s="5" t="s">
        <v>55</v>
      </c>
      <c r="D577" s="5" t="s">
        <v>56</v>
      </c>
      <c r="E577" s="5" t="s">
        <v>182</v>
      </c>
      <c r="F577" s="5" t="s">
        <v>183</v>
      </c>
      <c r="G577" s="5" t="s">
        <v>59</v>
      </c>
      <c r="H577" s="5" t="s">
        <v>60</v>
      </c>
      <c r="I577" s="6" t="n">
        <v>0.2</v>
      </c>
      <c r="J577" s="7" t="n">
        <f aca="false">IF(I577="","",1/I577)</f>
        <v>5</v>
      </c>
      <c r="K577" s="8" t="n">
        <v>42.84</v>
      </c>
      <c r="L577" s="9" t="n">
        <v>-8.27</v>
      </c>
      <c r="M577" s="10" t="n">
        <v>-0.1618</v>
      </c>
      <c r="N577" s="8" t="n">
        <v>43.28</v>
      </c>
      <c r="O577" s="8" t="n">
        <v>42.84</v>
      </c>
      <c r="P577" s="8" t="n">
        <v>43.28</v>
      </c>
      <c r="Q577" s="8" t="n">
        <v>42.84</v>
      </c>
      <c r="R577" s="11" t="n">
        <v>4</v>
      </c>
      <c r="S577" s="11" t="n">
        <f aca="false">K577*R577</f>
        <v>171.36</v>
      </c>
      <c r="T577" s="8" t="n">
        <v>42.84</v>
      </c>
      <c r="U577" s="8" t="n">
        <v>75.11</v>
      </c>
      <c r="V577" s="12" t="n">
        <f aca="false">IF(U577-T577=0,"",(K577-T577)/(U577-T577))</f>
        <v>0</v>
      </c>
      <c r="W577" s="13" t="n">
        <f aca="false">IF(U577=0,"",K577/U577-1)</f>
        <v>-0.429636533084809</v>
      </c>
      <c r="X577" s="11" t="n">
        <v>131595</v>
      </c>
      <c r="Y577" s="5" t="s">
        <v>182</v>
      </c>
      <c r="Z577" s="5" t="s">
        <v>184</v>
      </c>
      <c r="AA577" s="5" t="s">
        <v>183</v>
      </c>
      <c r="AB577" s="5"/>
      <c r="AC577" s="5" t="s">
        <v>1861</v>
      </c>
      <c r="AD577" s="14" t="n">
        <v>46288.771875</v>
      </c>
    </row>
    <row r="578" customFormat="false" ht="15" hidden="false" customHeight="false" outlineLevel="0" collapsed="false">
      <c r="A578" s="5" t="s">
        <v>1862</v>
      </c>
      <c r="B578" s="5" t="s">
        <v>1863</v>
      </c>
      <c r="C578" s="5" t="s">
        <v>55</v>
      </c>
      <c r="D578" s="5" t="s">
        <v>56</v>
      </c>
      <c r="E578" s="5" t="s">
        <v>65</v>
      </c>
      <c r="F578" s="5" t="s">
        <v>66</v>
      </c>
      <c r="G578" s="5" t="s">
        <v>59</v>
      </c>
      <c r="H578" s="5"/>
      <c r="I578" s="6"/>
      <c r="J578" s="7" t="str">
        <f aca="false">IF(I578="","",1/I578)</f>
        <v/>
      </c>
      <c r="K578" s="8" t="n">
        <v>160.32</v>
      </c>
      <c r="L578" s="9" t="n">
        <v>-5.49</v>
      </c>
      <c r="M578" s="10" t="n">
        <v>-0.0331</v>
      </c>
      <c r="N578" s="8" t="n">
        <v>160.96</v>
      </c>
      <c r="O578" s="8" t="n">
        <v>160.32</v>
      </c>
      <c r="P578" s="8" t="n">
        <v>160.96</v>
      </c>
      <c r="Q578" s="8" t="n">
        <v>160.32</v>
      </c>
      <c r="R578" s="11" t="n">
        <v>1002</v>
      </c>
      <c r="S578" s="11" t="n">
        <f aca="false">K578*R578</f>
        <v>160640.64</v>
      </c>
      <c r="T578" s="8" t="n">
        <v>111.5</v>
      </c>
      <c r="U578" s="8" t="n">
        <v>219.87</v>
      </c>
      <c r="V578" s="12" t="n">
        <f aca="false">IF(U578-T578=0,"",(K578-T578)/(U578-T578))</f>
        <v>0.450493679062471</v>
      </c>
      <c r="W578" s="13" t="n">
        <f aca="false">IF(U578=0,"",K578/U578-1)</f>
        <v>-0.270841861099741</v>
      </c>
      <c r="X578" s="11" t="n">
        <v>97936</v>
      </c>
      <c r="Y578" s="5" t="s">
        <v>65</v>
      </c>
      <c r="Z578" s="5" t="s">
        <v>67</v>
      </c>
      <c r="AA578" s="5" t="s">
        <v>66</v>
      </c>
      <c r="AB578" s="5" t="s">
        <v>111</v>
      </c>
      <c r="AC578" s="5" t="s">
        <v>1864</v>
      </c>
      <c r="AD578" s="14" t="n">
        <v>46288.771875</v>
      </c>
    </row>
    <row r="579" customFormat="false" ht="15" hidden="false" customHeight="false" outlineLevel="0" collapsed="false">
      <c r="A579" s="5" t="s">
        <v>1865</v>
      </c>
      <c r="B579" s="5" t="s">
        <v>1866</v>
      </c>
      <c r="C579" s="5" t="s">
        <v>55</v>
      </c>
      <c r="D579" s="5" t="s">
        <v>56</v>
      </c>
      <c r="E579" s="5" t="s">
        <v>71</v>
      </c>
      <c r="F579" s="5" t="s">
        <v>72</v>
      </c>
      <c r="G579" s="5" t="s">
        <v>59</v>
      </c>
      <c r="H579" s="5" t="s">
        <v>86</v>
      </c>
      <c r="I579" s="6" t="n">
        <v>1</v>
      </c>
      <c r="J579" s="7" t="n">
        <f aca="false">IF(I579="","",1/I579)</f>
        <v>1</v>
      </c>
      <c r="K579" s="8" t="n">
        <v>29.4</v>
      </c>
      <c r="L579" s="9" t="n">
        <v>-0.27</v>
      </c>
      <c r="M579" s="10" t="n">
        <v>-0.0091</v>
      </c>
      <c r="N579" s="8" t="n">
        <v>29.49</v>
      </c>
      <c r="O579" s="8" t="n">
        <v>29.31</v>
      </c>
      <c r="P579" s="8" t="n">
        <v>29.56</v>
      </c>
      <c r="Q579" s="8" t="n">
        <v>29.4</v>
      </c>
      <c r="R579" s="11" t="n">
        <v>90</v>
      </c>
      <c r="S579" s="11" t="n">
        <f aca="false">K579*R579</f>
        <v>2646</v>
      </c>
      <c r="T579" s="8" t="n">
        <v>23.38</v>
      </c>
      <c r="U579" s="8" t="n">
        <v>33.57</v>
      </c>
      <c r="V579" s="12" t="n">
        <f aca="false">IF(U579-T579=0,"",(K579-T579)/(U579-T579))</f>
        <v>0.590775269872424</v>
      </c>
      <c r="W579" s="13" t="n">
        <f aca="false">IF(U579=0,"",K579/U579-1)</f>
        <v>-0.124218051831993</v>
      </c>
      <c r="X579" s="11" t="n">
        <v>426955</v>
      </c>
      <c r="Y579" s="5" t="s">
        <v>71</v>
      </c>
      <c r="Z579" s="5" t="s">
        <v>73</v>
      </c>
      <c r="AA579" s="5" t="s">
        <v>72</v>
      </c>
      <c r="AB579" s="5"/>
      <c r="AC579" s="5" t="s">
        <v>1867</v>
      </c>
      <c r="AD579" s="14" t="n">
        <v>46288.771875</v>
      </c>
    </row>
    <row r="580" customFormat="false" ht="15" hidden="false" customHeight="false" outlineLevel="0" collapsed="false">
      <c r="A580" s="5" t="s">
        <v>1868</v>
      </c>
      <c r="B580" s="5" t="s">
        <v>1869</v>
      </c>
      <c r="C580" s="5" t="s">
        <v>55</v>
      </c>
      <c r="D580" s="5" t="s">
        <v>56</v>
      </c>
      <c r="E580" s="5" t="s">
        <v>182</v>
      </c>
      <c r="F580" s="5" t="s">
        <v>183</v>
      </c>
      <c r="G580" s="5" t="s">
        <v>59</v>
      </c>
      <c r="H580" s="5" t="s">
        <v>60</v>
      </c>
      <c r="I580" s="6" t="n">
        <v>0.2</v>
      </c>
      <c r="J580" s="7" t="n">
        <f aca="false">IF(I580="","",1/I580)</f>
        <v>5</v>
      </c>
      <c r="K580" s="8" t="n">
        <v>172.05</v>
      </c>
      <c r="L580" s="9" t="n">
        <v>-2.52</v>
      </c>
      <c r="M580" s="10" t="n">
        <v>-0.0144</v>
      </c>
      <c r="N580" s="8" t="n">
        <v>172.05</v>
      </c>
      <c r="O580" s="8" t="n">
        <v>172.05</v>
      </c>
      <c r="P580" s="8" t="n">
        <v>172.05</v>
      </c>
      <c r="Q580" s="8" t="n">
        <v>172.05</v>
      </c>
      <c r="R580" s="11" t="n">
        <v>1000</v>
      </c>
      <c r="S580" s="11" t="n">
        <f aca="false">K580*R580</f>
        <v>172050</v>
      </c>
      <c r="T580" s="8" t="n">
        <v>135.24</v>
      </c>
      <c r="U580" s="8" t="n">
        <v>193</v>
      </c>
      <c r="V580" s="12" t="n">
        <f aca="false">IF(U580-T580=0,"",(K580-T580)/(U580-T580))</f>
        <v>0.637292243767313</v>
      </c>
      <c r="W580" s="13" t="n">
        <f aca="false">IF(U580=0,"",K580/U580-1)</f>
        <v>-0.108549222797927</v>
      </c>
      <c r="X580" s="11" t="n">
        <v>204811</v>
      </c>
      <c r="Y580" s="5" t="s">
        <v>182</v>
      </c>
      <c r="Z580" s="5" t="s">
        <v>184</v>
      </c>
      <c r="AA580" s="5" t="s">
        <v>183</v>
      </c>
      <c r="AB580" s="5"/>
      <c r="AC580" s="5" t="s">
        <v>1870</v>
      </c>
      <c r="AD580" s="14" t="n">
        <v>46288.771875</v>
      </c>
    </row>
    <row r="581" customFormat="false" ht="15" hidden="false" customHeight="false" outlineLevel="0" collapsed="false">
      <c r="A581" s="5" t="s">
        <v>1871</v>
      </c>
      <c r="B581" s="5" t="s">
        <v>1872</v>
      </c>
      <c r="C581" s="5" t="s">
        <v>55</v>
      </c>
      <c r="D581" s="5" t="s">
        <v>56</v>
      </c>
      <c r="E581" s="5" t="s">
        <v>71</v>
      </c>
      <c r="F581" s="5" t="s">
        <v>72</v>
      </c>
      <c r="G581" s="5" t="s">
        <v>59</v>
      </c>
      <c r="H581" s="5" t="s">
        <v>60</v>
      </c>
      <c r="I581" s="6" t="n">
        <v>0.055555</v>
      </c>
      <c r="J581" s="7" t="n">
        <f aca="false">IF(I581="","",1/I581)</f>
        <v>18.0001800018</v>
      </c>
      <c r="K581" s="8" t="n">
        <v>93.78</v>
      </c>
      <c r="L581" s="9" t="n">
        <v>-5.52</v>
      </c>
      <c r="M581" s="10" t="n">
        <v>-0.0556</v>
      </c>
      <c r="N581" s="8" t="n">
        <v>93.78</v>
      </c>
      <c r="O581" s="8" t="n">
        <v>93.78</v>
      </c>
      <c r="P581" s="8" t="n">
        <v>93.78</v>
      </c>
      <c r="Q581" s="8" t="n">
        <v>93.78</v>
      </c>
      <c r="R581" s="11" t="n">
        <v>15</v>
      </c>
      <c r="S581" s="11" t="n">
        <f aca="false">K581*R581</f>
        <v>1406.7</v>
      </c>
      <c r="T581" s="8" t="n">
        <v>74.41</v>
      </c>
      <c r="U581" s="8" t="n">
        <v>116.5</v>
      </c>
      <c r="V581" s="12" t="n">
        <f aca="false">IF(U581-T581=0,"",(K581-T581)/(U581-T581))</f>
        <v>0.460204324067475</v>
      </c>
      <c r="W581" s="13" t="n">
        <f aca="false">IF(U581=0,"",K581/U581-1)</f>
        <v>-0.195021459227468</v>
      </c>
      <c r="X581" s="11" t="n">
        <v>123916</v>
      </c>
      <c r="Y581" s="5" t="s">
        <v>71</v>
      </c>
      <c r="Z581" s="5" t="s">
        <v>73</v>
      </c>
      <c r="AA581" s="5" t="s">
        <v>72</v>
      </c>
      <c r="AB581" s="5"/>
      <c r="AC581" s="5" t="s">
        <v>1873</v>
      </c>
      <c r="AD581" s="14" t="n">
        <v>46288.771875</v>
      </c>
    </row>
    <row r="582" customFormat="false" ht="15" hidden="false" customHeight="false" outlineLevel="0" collapsed="false">
      <c r="A582" s="5" t="s">
        <v>1874</v>
      </c>
      <c r="B582" s="5" t="s">
        <v>1875</v>
      </c>
      <c r="C582" s="5" t="s">
        <v>55</v>
      </c>
      <c r="D582" s="5" t="s">
        <v>56</v>
      </c>
      <c r="E582" s="5" t="s">
        <v>182</v>
      </c>
      <c r="F582" s="5" t="s">
        <v>183</v>
      </c>
      <c r="G582" s="5" t="s">
        <v>59</v>
      </c>
      <c r="H582" s="5" t="s">
        <v>60</v>
      </c>
      <c r="I582" s="6" t="n">
        <v>0.25</v>
      </c>
      <c r="J582" s="7" t="n">
        <f aca="false">IF(I582="","",1/I582)</f>
        <v>4</v>
      </c>
      <c r="K582" s="8" t="n">
        <v>100.45</v>
      </c>
      <c r="L582" s="9" t="n">
        <v>-2.95</v>
      </c>
      <c r="M582" s="10" t="n">
        <v>-0.0285</v>
      </c>
      <c r="N582" s="8" t="n">
        <v>100.45</v>
      </c>
      <c r="O582" s="8" t="n">
        <v>100.45</v>
      </c>
      <c r="P582" s="8" t="n">
        <v>100.45</v>
      </c>
      <c r="Q582" s="8" t="n">
        <v>100.45</v>
      </c>
      <c r="R582" s="11" t="n">
        <v>948</v>
      </c>
      <c r="S582" s="11" t="n">
        <f aca="false">K582*R582</f>
        <v>95226.6</v>
      </c>
      <c r="T582" s="8" t="n">
        <v>80.56</v>
      </c>
      <c r="U582" s="8" t="n">
        <v>207.89</v>
      </c>
      <c r="V582" s="12" t="n">
        <f aca="false">IF(U582-T582=0,"",(K582-T582)/(U582-T582))</f>
        <v>0.156208277703605</v>
      </c>
      <c r="W582" s="13" t="n">
        <f aca="false">IF(U582=0,"",K582/U582-1)</f>
        <v>-0.516811775458175</v>
      </c>
      <c r="X582" s="11" t="n">
        <v>16737</v>
      </c>
      <c r="Y582" s="5" t="s">
        <v>182</v>
      </c>
      <c r="Z582" s="5" t="s">
        <v>184</v>
      </c>
      <c r="AA582" s="5" t="s">
        <v>183</v>
      </c>
      <c r="AB582" s="5"/>
      <c r="AC582" s="5" t="s">
        <v>1876</v>
      </c>
      <c r="AD582" s="14" t="n">
        <v>46288.771875</v>
      </c>
    </row>
    <row r="583" customFormat="false" ht="15" hidden="false" customHeight="false" outlineLevel="0" collapsed="false">
      <c r="A583" s="5" t="s">
        <v>1877</v>
      </c>
      <c r="B583" s="5" t="s">
        <v>1878</v>
      </c>
      <c r="C583" s="5" t="s">
        <v>55</v>
      </c>
      <c r="D583" s="5" t="s">
        <v>56</v>
      </c>
      <c r="E583" s="5" t="s">
        <v>99</v>
      </c>
      <c r="F583" s="5" t="s">
        <v>100</v>
      </c>
      <c r="G583" s="5" t="s">
        <v>59</v>
      </c>
      <c r="H583" s="5"/>
      <c r="I583" s="6"/>
      <c r="J583" s="7" t="str">
        <f aca="false">IF(I583="","",1/I583)</f>
        <v/>
      </c>
      <c r="K583" s="8" t="n">
        <v>199.2</v>
      </c>
      <c r="L583" s="9" t="n">
        <v>-0.7</v>
      </c>
      <c r="M583" s="10" t="n">
        <v>-0.0035</v>
      </c>
      <c r="N583" s="8" t="n">
        <v>200</v>
      </c>
      <c r="O583" s="8" t="n">
        <v>197.26</v>
      </c>
      <c r="P583" s="8" t="n">
        <v>203.41</v>
      </c>
      <c r="Q583" s="8" t="n">
        <v>198.67</v>
      </c>
      <c r="R583" s="11" t="n">
        <v>19289</v>
      </c>
      <c r="S583" s="11" t="n">
        <f aca="false">K583*R583</f>
        <v>3842368.8</v>
      </c>
      <c r="T583" s="8" t="n">
        <v>126.72</v>
      </c>
      <c r="U583" s="8" t="n">
        <v>223.07</v>
      </c>
      <c r="V583" s="12" t="n">
        <f aca="false">IF(U583-T583=0,"",(K583-T583)/(U583-T583))</f>
        <v>0.752257394914375</v>
      </c>
      <c r="W583" s="13" t="n">
        <f aca="false">IF(U583=0,"",K583/U583-1)</f>
        <v>-0.107006769175595</v>
      </c>
      <c r="X583" s="11" t="n">
        <v>5637255</v>
      </c>
      <c r="Y583" s="5" t="s">
        <v>99</v>
      </c>
      <c r="Z583" s="5" t="s">
        <v>101</v>
      </c>
      <c r="AA583" s="5" t="s">
        <v>100</v>
      </c>
      <c r="AB583" s="5" t="s">
        <v>111</v>
      </c>
      <c r="AC583" s="5" t="s">
        <v>1879</v>
      </c>
      <c r="AD583" s="14" t="n">
        <v>46288.771875</v>
      </c>
    </row>
    <row r="584" customFormat="false" ht="15" hidden="false" customHeight="false" outlineLevel="0" collapsed="false">
      <c r="A584" s="5" t="s">
        <v>1880</v>
      </c>
      <c r="B584" s="5" t="s">
        <v>1881</v>
      </c>
      <c r="C584" s="5" t="s">
        <v>55</v>
      </c>
      <c r="D584" s="5" t="s">
        <v>56</v>
      </c>
      <c r="E584" s="5" t="s">
        <v>99</v>
      </c>
      <c r="F584" s="5" t="s">
        <v>100</v>
      </c>
      <c r="G584" s="5" t="s">
        <v>59</v>
      </c>
      <c r="H584" s="5" t="s">
        <v>86</v>
      </c>
      <c r="I584" s="6" t="n">
        <v>0.05</v>
      </c>
      <c r="J584" s="7" t="n">
        <f aca="false">IF(I584="","",1/I584)</f>
        <v>20</v>
      </c>
      <c r="K584" s="8" t="n">
        <v>8.08</v>
      </c>
      <c r="L584" s="9" t="n">
        <v>0.49</v>
      </c>
      <c r="M584" s="10" t="n">
        <v>0.0646</v>
      </c>
      <c r="N584" s="8" t="n">
        <v>8.05</v>
      </c>
      <c r="O584" s="8" t="n">
        <v>8.05</v>
      </c>
      <c r="P584" s="8" t="n">
        <v>8.08</v>
      </c>
      <c r="Q584" s="8" t="n">
        <v>8.08</v>
      </c>
      <c r="R584" s="11" t="n">
        <v>11</v>
      </c>
      <c r="S584" s="11" t="n">
        <f aca="false">K584*R584</f>
        <v>88.88</v>
      </c>
      <c r="T584" s="8" t="n">
        <v>5.97</v>
      </c>
      <c r="U584" s="8" t="n">
        <v>8.08</v>
      </c>
      <c r="V584" s="12" t="n">
        <f aca="false">IF(U584-T584=0,"",(K584-T584)/(U584-T584))</f>
        <v>1</v>
      </c>
      <c r="W584" s="13" t="n">
        <f aca="false">IF(U584=0,"",K584/U584-1)</f>
        <v>0</v>
      </c>
      <c r="X584" s="11" t="n">
        <v>10177</v>
      </c>
      <c r="Y584" s="5" t="s">
        <v>99</v>
      </c>
      <c r="Z584" s="5" t="s">
        <v>101</v>
      </c>
      <c r="AA584" s="5" t="s">
        <v>100</v>
      </c>
      <c r="AB584" s="5"/>
      <c r="AC584" s="5" t="s">
        <v>1882</v>
      </c>
      <c r="AD584" s="14" t="n">
        <v>46288.771875</v>
      </c>
    </row>
    <row r="585" customFormat="false" ht="15" hidden="false" customHeight="false" outlineLevel="0" collapsed="false">
      <c r="A585" s="5" t="s">
        <v>1883</v>
      </c>
      <c r="B585" s="5" t="s">
        <v>1884</v>
      </c>
      <c r="C585" s="5" t="s">
        <v>55</v>
      </c>
      <c r="D585" s="5" t="s">
        <v>56</v>
      </c>
      <c r="E585" s="5" t="s">
        <v>77</v>
      </c>
      <c r="F585" s="5" t="s">
        <v>78</v>
      </c>
      <c r="G585" s="5" t="s">
        <v>59</v>
      </c>
      <c r="H585" s="5" t="s">
        <v>60</v>
      </c>
      <c r="I585" s="6" t="n">
        <v>1</v>
      </c>
      <c r="J585" s="7" t="n">
        <f aca="false">IF(I585="","",1/I585)</f>
        <v>1</v>
      </c>
      <c r="K585" s="8" t="n">
        <v>2723.82</v>
      </c>
      <c r="L585" s="9" t="n">
        <v>46.82</v>
      </c>
      <c r="M585" s="10" t="n">
        <v>0.0175</v>
      </c>
      <c r="N585" s="8" t="n">
        <v>2699.72</v>
      </c>
      <c r="O585" s="8" t="n">
        <v>2699.72</v>
      </c>
      <c r="P585" s="8" t="n">
        <v>2726.14</v>
      </c>
      <c r="Q585" s="8" t="n">
        <v>2723.82</v>
      </c>
      <c r="R585" s="11" t="n">
        <v>67</v>
      </c>
      <c r="S585" s="11" t="n">
        <f aca="false">K585*R585</f>
        <v>182495.94</v>
      </c>
      <c r="T585" s="8" t="n">
        <v>2349.66</v>
      </c>
      <c r="U585" s="8" t="n">
        <v>3991</v>
      </c>
      <c r="V585" s="12" t="n">
        <f aca="false">IF(U585-T585=0,"",(K585-T585)/(U585-T585))</f>
        <v>0.227960081396908</v>
      </c>
      <c r="W585" s="13" t="n">
        <f aca="false">IF(U585=0,"",K585/U585-1)</f>
        <v>-0.317509396141318</v>
      </c>
      <c r="X585" s="11" t="n">
        <v>616946</v>
      </c>
      <c r="Y585" s="5" t="s">
        <v>77</v>
      </c>
      <c r="Z585" s="5" t="s">
        <v>79</v>
      </c>
      <c r="AA585" s="5" t="s">
        <v>78</v>
      </c>
      <c r="AB585" s="5"/>
      <c r="AC585" s="5" t="s">
        <v>1885</v>
      </c>
      <c r="AD585" s="14" t="n">
        <v>46288.771875</v>
      </c>
    </row>
    <row r="586" customFormat="false" ht="15" hidden="false" customHeight="false" outlineLevel="0" collapsed="false">
      <c r="A586" s="5" t="s">
        <v>1886</v>
      </c>
      <c r="B586" s="5" t="s">
        <v>1887</v>
      </c>
      <c r="C586" s="5" t="s">
        <v>55</v>
      </c>
      <c r="D586" s="5" t="s">
        <v>56</v>
      </c>
      <c r="E586" s="5" t="s">
        <v>57</v>
      </c>
      <c r="F586" s="5" t="s">
        <v>58</v>
      </c>
      <c r="G586" s="5" t="s">
        <v>59</v>
      </c>
      <c r="H586" s="5" t="s">
        <v>60</v>
      </c>
      <c r="I586" s="6" t="n">
        <v>0.05</v>
      </c>
      <c r="J586" s="7" t="n">
        <f aca="false">IF(I586="","",1/I586)</f>
        <v>20</v>
      </c>
      <c r="K586" s="8" t="n">
        <v>49.45</v>
      </c>
      <c r="L586" s="9" t="n">
        <v>0.55</v>
      </c>
      <c r="M586" s="10" t="n">
        <v>0.0112</v>
      </c>
      <c r="N586" s="8" t="n">
        <v>49.45</v>
      </c>
      <c r="O586" s="8" t="n">
        <v>49.45</v>
      </c>
      <c r="P586" s="8" t="n">
        <v>49.45</v>
      </c>
      <c r="Q586" s="8" t="n">
        <v>49.45</v>
      </c>
      <c r="R586" s="11" t="n">
        <v>20</v>
      </c>
      <c r="S586" s="11" t="n">
        <f aca="false">K586*R586</f>
        <v>989</v>
      </c>
      <c r="T586" s="8" t="n">
        <v>48.3</v>
      </c>
      <c r="U586" s="8" t="n">
        <v>74.25</v>
      </c>
      <c r="V586" s="12" t="n">
        <f aca="false">IF(U586-T586=0,"",(K586-T586)/(U586-T586))</f>
        <v>0.0443159922928711</v>
      </c>
      <c r="W586" s="13" t="n">
        <f aca="false">IF(U586=0,"",K586/U586-1)</f>
        <v>-0.334006734006734</v>
      </c>
      <c r="X586" s="11" t="n">
        <v>563007</v>
      </c>
      <c r="Y586" s="5" t="s">
        <v>57</v>
      </c>
      <c r="Z586" s="5" t="s">
        <v>61</v>
      </c>
      <c r="AA586" s="5" t="s">
        <v>58</v>
      </c>
      <c r="AB586" s="5"/>
      <c r="AC586" s="5" t="s">
        <v>1888</v>
      </c>
      <c r="AD586" s="14" t="n">
        <v>46288.771875</v>
      </c>
    </row>
    <row r="587" customFormat="false" ht="15" hidden="false" customHeight="false" outlineLevel="0" collapsed="false">
      <c r="A587" s="5" t="s">
        <v>1889</v>
      </c>
      <c r="B587" s="5" t="s">
        <v>1890</v>
      </c>
      <c r="C587" s="5" t="s">
        <v>55</v>
      </c>
      <c r="D587" s="5" t="s">
        <v>56</v>
      </c>
      <c r="E587" s="5" t="s">
        <v>71</v>
      </c>
      <c r="F587" s="5" t="s">
        <v>72</v>
      </c>
      <c r="G587" s="5" t="s">
        <v>59</v>
      </c>
      <c r="H587" s="5" t="s">
        <v>60</v>
      </c>
      <c r="I587" s="6" t="n">
        <v>0.083333</v>
      </c>
      <c r="J587" s="7" t="n">
        <f aca="false">IF(I587="","",1/I587)</f>
        <v>12.000048000192</v>
      </c>
      <c r="K587" s="8" t="n">
        <v>50.85</v>
      </c>
      <c r="L587" s="9" t="n">
        <v>-3.6</v>
      </c>
      <c r="M587" s="10" t="n">
        <v>-0.0661</v>
      </c>
      <c r="N587" s="8" t="n">
        <v>53</v>
      </c>
      <c r="O587" s="8" t="n">
        <v>50.85</v>
      </c>
      <c r="P587" s="8" t="n">
        <v>53</v>
      </c>
      <c r="Q587" s="8" t="n">
        <v>50.85</v>
      </c>
      <c r="R587" s="11" t="n">
        <v>13</v>
      </c>
      <c r="S587" s="11" t="n">
        <f aca="false">K587*R587</f>
        <v>661.05</v>
      </c>
      <c r="T587" s="8" t="n">
        <v>50.85</v>
      </c>
      <c r="U587" s="8" t="n">
        <v>64.25999936</v>
      </c>
      <c r="V587" s="12" t="n">
        <f aca="false">IF(U587-T587=0,"",(K587-T587)/(U587-T587))</f>
        <v>0</v>
      </c>
      <c r="W587" s="13" t="n">
        <f aca="false">IF(U587=0,"",K587/U587-1)</f>
        <v>-0.208683465508208</v>
      </c>
      <c r="X587" s="11" t="n">
        <v>70747</v>
      </c>
      <c r="Y587" s="5" t="s">
        <v>71</v>
      </c>
      <c r="Z587" s="5" t="s">
        <v>73</v>
      </c>
      <c r="AA587" s="5" t="s">
        <v>72</v>
      </c>
      <c r="AB587" s="5"/>
      <c r="AC587" s="5" t="s">
        <v>1891</v>
      </c>
      <c r="AD587" s="14" t="n">
        <v>46288.771875</v>
      </c>
    </row>
    <row r="588" customFormat="false" ht="15" hidden="false" customHeight="false" outlineLevel="0" collapsed="false">
      <c r="A588" s="5" t="s">
        <v>1892</v>
      </c>
      <c r="B588" s="5" t="s">
        <v>1893</v>
      </c>
      <c r="C588" s="5" t="s">
        <v>55</v>
      </c>
      <c r="D588" s="5" t="s">
        <v>56</v>
      </c>
      <c r="E588" s="5" t="s">
        <v>273</v>
      </c>
      <c r="F588" s="5" t="s">
        <v>274</v>
      </c>
      <c r="G588" s="5" t="s">
        <v>59</v>
      </c>
      <c r="H588" s="5" t="s">
        <v>60</v>
      </c>
      <c r="I588" s="6" t="n">
        <v>1</v>
      </c>
      <c r="J588" s="7" t="n">
        <f aca="false">IF(I588="","",1/I588)</f>
        <v>1</v>
      </c>
      <c r="K588" s="8" t="n">
        <v>190.57</v>
      </c>
      <c r="L588" s="9" t="n">
        <v>-29.25</v>
      </c>
      <c r="M588" s="10" t="n">
        <v>-0.1331</v>
      </c>
      <c r="N588" s="8" t="n">
        <v>191.13</v>
      </c>
      <c r="O588" s="8" t="n">
        <v>190.38</v>
      </c>
      <c r="P588" s="8" t="n">
        <v>191.13</v>
      </c>
      <c r="Q588" s="8" t="n">
        <v>190.57</v>
      </c>
      <c r="R588" s="11" t="n">
        <v>406</v>
      </c>
      <c r="S588" s="11" t="n">
        <f aca="false">K588*R588</f>
        <v>77371.42</v>
      </c>
      <c r="T588" s="8" t="n">
        <v>190.38</v>
      </c>
      <c r="U588" s="8" t="n">
        <v>269.73</v>
      </c>
      <c r="V588" s="12" t="n">
        <f aca="false">IF(U588-T588=0,"",(K588-T588)/(U588-T588))</f>
        <v>0.00239445494643979</v>
      </c>
      <c r="W588" s="13" t="n">
        <f aca="false">IF(U588=0,"",K588/U588-1)</f>
        <v>-0.293478663849034</v>
      </c>
      <c r="X588" s="11" t="n">
        <v>35538</v>
      </c>
      <c r="Y588" s="5" t="s">
        <v>273</v>
      </c>
      <c r="Z588" s="5" t="s">
        <v>275</v>
      </c>
      <c r="AA588" s="5" t="s">
        <v>274</v>
      </c>
      <c r="AB588" s="5"/>
      <c r="AC588" s="5" t="s">
        <v>1894</v>
      </c>
      <c r="AD588" s="14" t="n">
        <v>46288.771875</v>
      </c>
    </row>
    <row r="589" customFormat="false" ht="15" hidden="false" customHeight="false" outlineLevel="0" collapsed="false">
      <c r="A589" s="5" t="s">
        <v>1895</v>
      </c>
      <c r="B589" s="5" t="s">
        <v>1896</v>
      </c>
      <c r="C589" s="5" t="s">
        <v>55</v>
      </c>
      <c r="D589" s="5" t="s">
        <v>56</v>
      </c>
      <c r="E589" s="5" t="s">
        <v>77</v>
      </c>
      <c r="F589" s="5" t="s">
        <v>78</v>
      </c>
      <c r="G589" s="5" t="s">
        <v>59</v>
      </c>
      <c r="H589" s="5" t="s">
        <v>60</v>
      </c>
      <c r="I589" s="6" t="n">
        <v>0.5</v>
      </c>
      <c r="J589" s="7" t="n">
        <f aca="false">IF(I589="","",1/I589)</f>
        <v>2</v>
      </c>
      <c r="K589" s="8" t="n">
        <v>195.33</v>
      </c>
      <c r="L589" s="9" t="n">
        <v>3.23</v>
      </c>
      <c r="M589" s="10" t="n">
        <v>0.0168</v>
      </c>
      <c r="N589" s="8" t="n">
        <v>192.11</v>
      </c>
      <c r="O589" s="8" t="n">
        <v>192.11</v>
      </c>
      <c r="P589" s="8" t="n">
        <v>195.33</v>
      </c>
      <c r="Q589" s="8" t="n">
        <v>195.33</v>
      </c>
      <c r="R589" s="11" t="n">
        <v>22</v>
      </c>
      <c r="S589" s="11" t="n">
        <f aca="false">K589*R589</f>
        <v>4297.26</v>
      </c>
      <c r="T589" s="8" t="n">
        <v>135.31</v>
      </c>
      <c r="U589" s="8" t="n">
        <v>264.16</v>
      </c>
      <c r="V589" s="12" t="n">
        <f aca="false">IF(U589-T589=0,"",(K589-T589)/(U589-T589))</f>
        <v>0.46581296080714</v>
      </c>
      <c r="W589" s="13" t="n">
        <f aca="false">IF(U589=0,"",K589/U589-1)</f>
        <v>-0.260561780738946</v>
      </c>
      <c r="X589" s="11" t="n">
        <v>210701</v>
      </c>
      <c r="Y589" s="5" t="s">
        <v>77</v>
      </c>
      <c r="Z589" s="5" t="s">
        <v>79</v>
      </c>
      <c r="AA589" s="5" t="s">
        <v>78</v>
      </c>
      <c r="AB589" s="5"/>
      <c r="AC589" s="5" t="s">
        <v>1897</v>
      </c>
      <c r="AD589" s="14" t="n">
        <v>46288.771875</v>
      </c>
    </row>
    <row r="590" customFormat="false" ht="15" hidden="false" customHeight="false" outlineLevel="0" collapsed="false">
      <c r="A590" s="5" t="s">
        <v>1898</v>
      </c>
      <c r="B590" s="5" t="s">
        <v>1899</v>
      </c>
      <c r="C590" s="5" t="s">
        <v>55</v>
      </c>
      <c r="D590" s="5" t="s">
        <v>56</v>
      </c>
      <c r="E590" s="5" t="s">
        <v>230</v>
      </c>
      <c r="F590" s="5" t="s">
        <v>231</v>
      </c>
      <c r="G590" s="5" t="s">
        <v>59</v>
      </c>
      <c r="H590" s="5" t="s">
        <v>60</v>
      </c>
      <c r="I590" s="6" t="n">
        <v>0.015625</v>
      </c>
      <c r="J590" s="7" t="n">
        <f aca="false">IF(I590="","",1/I590)</f>
        <v>64</v>
      </c>
      <c r="K590" s="8" t="n">
        <v>71.19</v>
      </c>
      <c r="L590" s="9" t="n">
        <v>0.04</v>
      </c>
      <c r="M590" s="10" t="n">
        <v>0.0006</v>
      </c>
      <c r="N590" s="8" t="n">
        <v>71.13</v>
      </c>
      <c r="O590" s="8" t="n">
        <v>71.08</v>
      </c>
      <c r="P590" s="8" t="n">
        <v>72.73</v>
      </c>
      <c r="Q590" s="8" t="n">
        <v>71.19</v>
      </c>
      <c r="R590" s="11" t="n">
        <v>950</v>
      </c>
      <c r="S590" s="11" t="n">
        <f aca="false">K590*R590</f>
        <v>67630.5</v>
      </c>
      <c r="T590" s="8" t="n">
        <v>55.71</v>
      </c>
      <c r="U590" s="8" t="n">
        <v>81.78375</v>
      </c>
      <c r="V590" s="12" t="n">
        <f aca="false">IF(U590-T590=0,"",(K590-T590)/(U590-T590))</f>
        <v>0.59370056090896</v>
      </c>
      <c r="W590" s="13" t="n">
        <f aca="false">IF(U590=0,"",K590/U590-1)</f>
        <v>-0.129533678756477</v>
      </c>
      <c r="X590" s="11" t="n">
        <v>531775</v>
      </c>
      <c r="Y590" s="5" t="s">
        <v>230</v>
      </c>
      <c r="Z590" s="5" t="s">
        <v>232</v>
      </c>
      <c r="AA590" s="5" t="s">
        <v>231</v>
      </c>
      <c r="AB590" s="5"/>
      <c r="AC590" s="5" t="s">
        <v>1900</v>
      </c>
      <c r="AD590" s="14" t="n">
        <v>46288.771875</v>
      </c>
    </row>
    <row r="591" customFormat="false" ht="15" hidden="false" customHeight="false" outlineLevel="0" collapsed="false">
      <c r="A591" s="5" t="s">
        <v>1901</v>
      </c>
      <c r="B591" s="5" t="s">
        <v>1902</v>
      </c>
      <c r="C591" s="5" t="s">
        <v>55</v>
      </c>
      <c r="D591" s="5" t="s">
        <v>56</v>
      </c>
      <c r="E591" s="5" t="s">
        <v>115</v>
      </c>
      <c r="F591" s="5" t="s">
        <v>116</v>
      </c>
      <c r="G591" s="5" t="s">
        <v>59</v>
      </c>
      <c r="H591" s="5" t="s">
        <v>60</v>
      </c>
      <c r="I591" s="6" t="n">
        <v>0.05</v>
      </c>
      <c r="J591" s="7" t="n">
        <f aca="false">IF(I591="","",1/I591)</f>
        <v>20</v>
      </c>
      <c r="K591" s="8" t="n">
        <v>111.17</v>
      </c>
      <c r="L591" s="9" t="n">
        <v>-0.13</v>
      </c>
      <c r="M591" s="10" t="n">
        <v>-0.0012</v>
      </c>
      <c r="N591" s="8" t="n">
        <v>112.42</v>
      </c>
      <c r="O591" s="8" t="n">
        <v>110.16</v>
      </c>
      <c r="P591" s="8" t="n">
        <v>112.42</v>
      </c>
      <c r="Q591" s="8" t="n">
        <v>111.17</v>
      </c>
      <c r="R591" s="11" t="n">
        <v>334</v>
      </c>
      <c r="S591" s="11" t="n">
        <f aca="false">K591*R591</f>
        <v>37130.78</v>
      </c>
      <c r="T591" s="8" t="n">
        <v>56.12</v>
      </c>
      <c r="U591" s="8" t="n">
        <v>122.51</v>
      </c>
      <c r="V591" s="12" t="n">
        <f aca="false">IF(U591-T591=0,"",(K591-T591)/(U591-T591))</f>
        <v>0.829191143244464</v>
      </c>
      <c r="W591" s="13" t="n">
        <f aca="false">IF(U591=0,"",K591/U591-1)</f>
        <v>-0.0925638723369521</v>
      </c>
      <c r="X591" s="11" t="n">
        <v>176321</v>
      </c>
      <c r="Y591" s="5" t="s">
        <v>115</v>
      </c>
      <c r="Z591" s="5" t="s">
        <v>117</v>
      </c>
      <c r="AA591" s="5" t="s">
        <v>116</v>
      </c>
      <c r="AB591" s="5"/>
      <c r="AC591" s="5" t="s">
        <v>1903</v>
      </c>
      <c r="AD591" s="14" t="n">
        <v>46288.771875</v>
      </c>
    </row>
    <row r="592" customFormat="false" ht="15" hidden="false" customHeight="false" outlineLevel="0" collapsed="false">
      <c r="A592" s="5" t="s">
        <v>1904</v>
      </c>
      <c r="B592" s="5" t="s">
        <v>1905</v>
      </c>
      <c r="C592" s="5" t="s">
        <v>55</v>
      </c>
      <c r="D592" s="5" t="s">
        <v>56</v>
      </c>
      <c r="E592" s="5" t="s">
        <v>182</v>
      </c>
      <c r="F592" s="5" t="s">
        <v>183</v>
      </c>
      <c r="G592" s="5" t="s">
        <v>59</v>
      </c>
      <c r="H592" s="5" t="s">
        <v>60</v>
      </c>
      <c r="I592" s="6" t="n">
        <v>1</v>
      </c>
      <c r="J592" s="7" t="n">
        <f aca="false">IF(I592="","",1/I592)</f>
        <v>1</v>
      </c>
      <c r="K592" s="8" t="n">
        <v>202</v>
      </c>
      <c r="L592" s="9" t="n">
        <v>-6.32</v>
      </c>
      <c r="M592" s="10" t="n">
        <v>-0.0303</v>
      </c>
      <c r="N592" s="8" t="n">
        <v>202</v>
      </c>
      <c r="O592" s="8" t="n">
        <v>202</v>
      </c>
      <c r="P592" s="8" t="n">
        <v>202</v>
      </c>
      <c r="Q592" s="8" t="n">
        <v>202</v>
      </c>
      <c r="R592" s="11" t="n">
        <v>5</v>
      </c>
      <c r="S592" s="11" t="n">
        <f aca="false">K592*R592</f>
        <v>1010</v>
      </c>
      <c r="T592" s="8" t="n">
        <v>167.45</v>
      </c>
      <c r="U592" s="8" t="n">
        <v>247</v>
      </c>
      <c r="V592" s="12" t="n">
        <f aca="false">IF(U592-T592=0,"",(K592-T592)/(U592-T592))</f>
        <v>0.434318038969202</v>
      </c>
      <c r="W592" s="13" t="n">
        <f aca="false">IF(U592=0,"",K592/U592-1)</f>
        <v>-0.182186234817814</v>
      </c>
      <c r="X592" s="11" t="n">
        <v>50087</v>
      </c>
      <c r="Y592" s="5" t="s">
        <v>182</v>
      </c>
      <c r="Z592" s="5" t="s">
        <v>184</v>
      </c>
      <c r="AA592" s="5" t="s">
        <v>183</v>
      </c>
      <c r="AB592" s="5"/>
      <c r="AC592" s="5" t="s">
        <v>1906</v>
      </c>
      <c r="AD592" s="14" t="n">
        <v>46288.771875</v>
      </c>
    </row>
    <row r="593" customFormat="false" ht="15" hidden="false" customHeight="false" outlineLevel="0" collapsed="false">
      <c r="A593" s="5" t="s">
        <v>1907</v>
      </c>
      <c r="B593" s="5" t="s">
        <v>1908</v>
      </c>
      <c r="C593" s="5" t="s">
        <v>55</v>
      </c>
      <c r="D593" s="5" t="s">
        <v>56</v>
      </c>
      <c r="E593" s="5" t="s">
        <v>182</v>
      </c>
      <c r="F593" s="5" t="s">
        <v>183</v>
      </c>
      <c r="G593" s="5" t="s">
        <v>59</v>
      </c>
      <c r="H593" s="5" t="s">
        <v>86</v>
      </c>
      <c r="I593" s="6" t="n">
        <v>0.5</v>
      </c>
      <c r="J593" s="7" t="n">
        <f aca="false">IF(I593="","",1/I593)</f>
        <v>2</v>
      </c>
      <c r="K593" s="8" t="n">
        <v>12.16</v>
      </c>
      <c r="L593" s="9" t="n">
        <v>0</v>
      </c>
      <c r="M593" s="10" t="n">
        <v>0</v>
      </c>
      <c r="N593" s="8" t="n">
        <v>12.16</v>
      </c>
      <c r="O593" s="8" t="n">
        <v>12.16</v>
      </c>
      <c r="P593" s="8" t="n">
        <v>12.16</v>
      </c>
      <c r="Q593" s="8" t="n">
        <v>12.16</v>
      </c>
      <c r="R593" s="11" t="n">
        <v>110</v>
      </c>
      <c r="S593" s="11" t="n">
        <f aca="false">K593*R593</f>
        <v>1337.6</v>
      </c>
      <c r="T593" s="8" t="n">
        <v>11.91</v>
      </c>
      <c r="U593" s="8" t="n">
        <v>25.5</v>
      </c>
      <c r="V593" s="12" t="n">
        <f aca="false">IF(U593-T593=0,"",(K593-T593)/(U593-T593))</f>
        <v>0.0183958793230316</v>
      </c>
      <c r="W593" s="13" t="n">
        <f aca="false">IF(U593=0,"",K593/U593-1)</f>
        <v>-0.523137254901961</v>
      </c>
      <c r="X593" s="11" t="n">
        <v>9302</v>
      </c>
      <c r="Y593" s="5" t="s">
        <v>182</v>
      </c>
      <c r="Z593" s="5" t="s">
        <v>184</v>
      </c>
      <c r="AA593" s="5" t="s">
        <v>183</v>
      </c>
      <c r="AB593" s="5"/>
      <c r="AC593" s="5" t="s">
        <v>1909</v>
      </c>
      <c r="AD593" s="14" t="n">
        <v>46288.771875</v>
      </c>
    </row>
    <row r="594" customFormat="false" ht="15" hidden="false" customHeight="false" outlineLevel="0" collapsed="false">
      <c r="A594" s="5" t="s">
        <v>1910</v>
      </c>
      <c r="B594" s="5" t="s">
        <v>1911</v>
      </c>
      <c r="C594" s="5" t="s">
        <v>55</v>
      </c>
      <c r="D594" s="5" t="s">
        <v>56</v>
      </c>
      <c r="E594" s="5" t="s">
        <v>312</v>
      </c>
      <c r="F594" s="5" t="s">
        <v>313</v>
      </c>
      <c r="G594" s="5" t="s">
        <v>59</v>
      </c>
      <c r="H594" s="5" t="s">
        <v>60</v>
      </c>
      <c r="I594" s="6" t="n">
        <v>0.2</v>
      </c>
      <c r="J594" s="7" t="n">
        <f aca="false">IF(I594="","",1/I594)</f>
        <v>5</v>
      </c>
      <c r="K594" s="8" t="n">
        <v>513.1</v>
      </c>
      <c r="L594" s="9" t="n">
        <v>-28.16</v>
      </c>
      <c r="M594" s="10" t="n">
        <v>-0.052</v>
      </c>
      <c r="N594" s="8" t="n">
        <v>513.1</v>
      </c>
      <c r="O594" s="8" t="n">
        <v>513.1</v>
      </c>
      <c r="P594" s="8" t="n">
        <v>513.1</v>
      </c>
      <c r="Q594" s="8" t="n">
        <v>541.26</v>
      </c>
      <c r="R594" s="11" t="n">
        <v>25</v>
      </c>
      <c r="S594" s="11" t="n">
        <f aca="false">K594*R594</f>
        <v>12827.5</v>
      </c>
      <c r="T594" s="8" t="n">
        <v>513.1</v>
      </c>
      <c r="U594" s="8" t="n">
        <v>686.81</v>
      </c>
      <c r="V594" s="12" t="n">
        <f aca="false">IF(U594-T594=0,"",(K594-T594)/(U594-T594))</f>
        <v>0</v>
      </c>
      <c r="W594" s="13" t="n">
        <f aca="false">IF(U594=0,"",K594/U594-1)</f>
        <v>-0.252922933562412</v>
      </c>
      <c r="X594" s="11" t="n">
        <v>181491</v>
      </c>
      <c r="Y594" s="5" t="s">
        <v>312</v>
      </c>
      <c r="Z594" s="5" t="s">
        <v>314</v>
      </c>
      <c r="AA594" s="5" t="s">
        <v>313</v>
      </c>
      <c r="AB594" s="5"/>
      <c r="AC594" s="5" t="s">
        <v>1912</v>
      </c>
      <c r="AD594" s="14" t="n">
        <v>46288.771875</v>
      </c>
    </row>
    <row r="595" customFormat="false" ht="15" hidden="false" customHeight="false" outlineLevel="0" collapsed="false">
      <c r="A595" s="5" t="s">
        <v>1913</v>
      </c>
      <c r="B595" s="5" t="s">
        <v>1914</v>
      </c>
      <c r="C595" s="5" t="s">
        <v>55</v>
      </c>
      <c r="D595" s="5" t="s">
        <v>56</v>
      </c>
      <c r="E595" s="5" t="s">
        <v>71</v>
      </c>
      <c r="F595" s="5" t="s">
        <v>72</v>
      </c>
      <c r="G595" s="5" t="s">
        <v>59</v>
      </c>
      <c r="H595" s="5" t="s">
        <v>60</v>
      </c>
      <c r="I595" s="6" t="n">
        <v>0.0625</v>
      </c>
      <c r="J595" s="7" t="n">
        <f aca="false">IF(I595="","",1/I595)</f>
        <v>16</v>
      </c>
      <c r="K595" s="8" t="n">
        <v>55.2</v>
      </c>
      <c r="L595" s="9" t="n">
        <v>1.08</v>
      </c>
      <c r="M595" s="10" t="n">
        <v>0.02</v>
      </c>
      <c r="N595" s="8" t="n">
        <v>55</v>
      </c>
      <c r="O595" s="8" t="n">
        <v>55</v>
      </c>
      <c r="P595" s="8" t="n">
        <v>55.2</v>
      </c>
      <c r="Q595" s="8" t="n">
        <v>55.2</v>
      </c>
      <c r="R595" s="11" t="n">
        <v>3</v>
      </c>
      <c r="S595" s="11" t="n">
        <f aca="false">K595*R595</f>
        <v>165.6</v>
      </c>
      <c r="T595" s="8" t="n">
        <v>49.45625</v>
      </c>
      <c r="U595" s="8" t="n">
        <v>70</v>
      </c>
      <c r="V595" s="12" t="n">
        <f aca="false">IF(U595-T595=0,"",(K595-T595)/(U595-T595))</f>
        <v>0.279586248859142</v>
      </c>
      <c r="W595" s="13" t="n">
        <f aca="false">IF(U595=0,"",K595/U595-1)</f>
        <v>-0.211428571428571</v>
      </c>
      <c r="X595" s="11" t="n">
        <v>415203</v>
      </c>
      <c r="Y595" s="5" t="s">
        <v>71</v>
      </c>
      <c r="Z595" s="5" t="s">
        <v>73</v>
      </c>
      <c r="AA595" s="5" t="s">
        <v>72</v>
      </c>
      <c r="AB595" s="5"/>
      <c r="AC595" s="5" t="s">
        <v>1915</v>
      </c>
      <c r="AD595" s="14" t="n">
        <v>46288.771875</v>
      </c>
    </row>
    <row r="596" customFormat="false" ht="15" hidden="false" customHeight="false" outlineLevel="0" collapsed="false">
      <c r="A596" s="5" t="s">
        <v>1916</v>
      </c>
      <c r="B596" s="5" t="s">
        <v>1917</v>
      </c>
      <c r="C596" s="5" t="s">
        <v>55</v>
      </c>
      <c r="D596" s="5" t="s">
        <v>56</v>
      </c>
      <c r="E596" s="5" t="s">
        <v>273</v>
      </c>
      <c r="F596" s="5" t="s">
        <v>274</v>
      </c>
      <c r="G596" s="5" t="s">
        <v>59</v>
      </c>
      <c r="H596" s="5" t="s">
        <v>60</v>
      </c>
      <c r="I596" s="6" t="n">
        <v>1</v>
      </c>
      <c r="J596" s="7" t="n">
        <f aca="false">IF(I596="","",1/I596)</f>
        <v>1</v>
      </c>
      <c r="K596" s="8" t="n">
        <v>28.2</v>
      </c>
      <c r="L596" s="9" t="n">
        <v>-0.1</v>
      </c>
      <c r="M596" s="10" t="n">
        <v>-0.0035</v>
      </c>
      <c r="N596" s="8" t="n">
        <v>27.73</v>
      </c>
      <c r="O596" s="8" t="n">
        <v>27.73</v>
      </c>
      <c r="P596" s="8" t="n">
        <v>28.3</v>
      </c>
      <c r="Q596" s="8" t="n">
        <v>28.2</v>
      </c>
      <c r="R596" s="11" t="n">
        <v>79</v>
      </c>
      <c r="S596" s="11" t="n">
        <f aca="false">K596*R596</f>
        <v>2227.8</v>
      </c>
      <c r="T596" s="8" t="n">
        <v>21.65</v>
      </c>
      <c r="U596" s="8" t="n">
        <v>32.16</v>
      </c>
      <c r="V596" s="12" t="n">
        <f aca="false">IF(U596-T596=0,"",(K596-T596)/(U596-T596))</f>
        <v>0.623215984776404</v>
      </c>
      <c r="W596" s="13" t="n">
        <f aca="false">IF(U596=0,"",K596/U596-1)</f>
        <v>-0.123134328358209</v>
      </c>
      <c r="X596" s="11" t="n">
        <v>443845</v>
      </c>
      <c r="Y596" s="5" t="s">
        <v>273</v>
      </c>
      <c r="Z596" s="5" t="s">
        <v>275</v>
      </c>
      <c r="AA596" s="5" t="s">
        <v>274</v>
      </c>
      <c r="AB596" s="5"/>
      <c r="AC596" s="5" t="s">
        <v>1918</v>
      </c>
      <c r="AD596" s="14" t="n">
        <v>46288.771875</v>
      </c>
    </row>
    <row r="597" customFormat="false" ht="15" hidden="false" customHeight="false" outlineLevel="0" collapsed="false">
      <c r="A597" s="5" t="s">
        <v>1919</v>
      </c>
      <c r="B597" s="5" t="s">
        <v>1920</v>
      </c>
      <c r="C597" s="5" t="s">
        <v>55</v>
      </c>
      <c r="D597" s="5" t="s">
        <v>56</v>
      </c>
      <c r="E597" s="5" t="s">
        <v>160</v>
      </c>
      <c r="F597" s="5" t="s">
        <v>161</v>
      </c>
      <c r="G597" s="5" t="s">
        <v>59</v>
      </c>
      <c r="H597" s="5" t="s">
        <v>60</v>
      </c>
      <c r="I597" s="6" t="n">
        <v>0.0625</v>
      </c>
      <c r="J597" s="7" t="n">
        <f aca="false">IF(I597="","",1/I597)</f>
        <v>16</v>
      </c>
      <c r="K597" s="8" t="n">
        <v>126.12</v>
      </c>
      <c r="L597" s="9" t="n">
        <v>0.67</v>
      </c>
      <c r="M597" s="10" t="n">
        <v>0.0053</v>
      </c>
      <c r="N597" s="8" t="n">
        <v>125.04</v>
      </c>
      <c r="O597" s="8" t="n">
        <v>125.04</v>
      </c>
      <c r="P597" s="8" t="n">
        <v>126.12</v>
      </c>
      <c r="Q597" s="8" t="n">
        <v>126.12</v>
      </c>
      <c r="R597" s="11" t="n">
        <v>45</v>
      </c>
      <c r="S597" s="11" t="n">
        <f aca="false">K597*R597</f>
        <v>5675.4</v>
      </c>
      <c r="T597" s="8" t="n">
        <v>56.98</v>
      </c>
      <c r="U597" s="8" t="n">
        <v>135.07</v>
      </c>
      <c r="V597" s="12" t="n">
        <f aca="false">IF(U597-T597=0,"",(K597-T597)/(U597-T597))</f>
        <v>0.885388654117045</v>
      </c>
      <c r="W597" s="13" t="n">
        <f aca="false">IF(U597=0,"",K597/U597-1)</f>
        <v>-0.0662619382542384</v>
      </c>
      <c r="X597" s="11" t="n">
        <v>560040</v>
      </c>
      <c r="Y597" s="5" t="s">
        <v>160</v>
      </c>
      <c r="Z597" s="5" t="s">
        <v>162</v>
      </c>
      <c r="AA597" s="5" t="s">
        <v>161</v>
      </c>
      <c r="AB597" s="5"/>
      <c r="AC597" s="5" t="s">
        <v>1921</v>
      </c>
      <c r="AD597" s="14" t="n">
        <v>46288.771875</v>
      </c>
    </row>
    <row r="598" customFormat="false" ht="15" hidden="false" customHeight="false" outlineLevel="0" collapsed="false">
      <c r="A598" s="5" t="s">
        <v>1922</v>
      </c>
      <c r="B598" s="5" t="s">
        <v>1923</v>
      </c>
      <c r="C598" s="5" t="s">
        <v>55</v>
      </c>
      <c r="D598" s="5" t="s">
        <v>56</v>
      </c>
      <c r="E598" s="5" t="s">
        <v>99</v>
      </c>
      <c r="F598" s="5" t="s">
        <v>100</v>
      </c>
      <c r="G598" s="5" t="s">
        <v>59</v>
      </c>
      <c r="H598" s="5" t="s">
        <v>60</v>
      </c>
      <c r="I598" s="6" t="n">
        <v>0.05</v>
      </c>
      <c r="J598" s="7" t="n">
        <f aca="false">IF(I598="","",1/I598)</f>
        <v>20</v>
      </c>
      <c r="K598" s="8" t="n">
        <v>46.63</v>
      </c>
      <c r="L598" s="9" t="n">
        <v>-0.3</v>
      </c>
      <c r="M598" s="10" t="n">
        <v>-0.0064</v>
      </c>
      <c r="N598" s="8" t="n">
        <v>46.93</v>
      </c>
      <c r="O598" s="8" t="n">
        <v>46.18</v>
      </c>
      <c r="P598" s="8" t="n">
        <v>49.34</v>
      </c>
      <c r="Q598" s="8" t="n">
        <v>46.91</v>
      </c>
      <c r="R598" s="11" t="n">
        <v>63618</v>
      </c>
      <c r="S598" s="11" t="n">
        <f aca="false">K598*R598</f>
        <v>2966507.34</v>
      </c>
      <c r="T598" s="8" t="n">
        <v>6.02</v>
      </c>
      <c r="U598" s="8" t="n">
        <v>49.34</v>
      </c>
      <c r="V598" s="12" t="n">
        <f aca="false">IF(U598-T598=0,"",(K598-T598)/(U598-T598))</f>
        <v>0.937442289935365</v>
      </c>
      <c r="W598" s="13" t="n">
        <f aca="false">IF(U598=0,"",K598/U598-1)</f>
        <v>-0.0549250101337657</v>
      </c>
      <c r="X598" s="11" t="n">
        <v>373002</v>
      </c>
      <c r="Y598" s="5" t="s">
        <v>99</v>
      </c>
      <c r="Z598" s="5" t="s">
        <v>101</v>
      </c>
      <c r="AA598" s="5" t="s">
        <v>100</v>
      </c>
      <c r="AB598" s="5"/>
      <c r="AC598" s="5" t="s">
        <v>1924</v>
      </c>
      <c r="AD598" s="14" t="n">
        <v>46288.771875</v>
      </c>
    </row>
    <row r="599" customFormat="false" ht="15" hidden="false" customHeight="false" outlineLevel="0" collapsed="false">
      <c r="A599" s="5" t="s">
        <v>1925</v>
      </c>
      <c r="B599" s="5" t="s">
        <v>1926</v>
      </c>
      <c r="C599" s="5" t="s">
        <v>55</v>
      </c>
      <c r="D599" s="5" t="s">
        <v>56</v>
      </c>
      <c r="E599" s="5" t="s">
        <v>77</v>
      </c>
      <c r="F599" s="5" t="s">
        <v>78</v>
      </c>
      <c r="G599" s="5" t="s">
        <v>59</v>
      </c>
      <c r="H599" s="5" t="s">
        <v>60</v>
      </c>
      <c r="I599" s="6" t="n">
        <v>0.03125</v>
      </c>
      <c r="J599" s="7" t="n">
        <f aca="false">IF(I599="","",1/I599)</f>
        <v>32</v>
      </c>
      <c r="K599" s="8" t="n">
        <v>73.36</v>
      </c>
      <c r="L599" s="9" t="n">
        <v>-0.84</v>
      </c>
      <c r="M599" s="10" t="n">
        <v>-0.0113</v>
      </c>
      <c r="N599" s="8" t="n">
        <v>73.36</v>
      </c>
      <c r="O599" s="8" t="n">
        <v>73.36</v>
      </c>
      <c r="P599" s="8" t="n">
        <v>73.36</v>
      </c>
      <c r="Q599" s="8" t="n">
        <v>73.36</v>
      </c>
      <c r="R599" s="11" t="n">
        <v>8</v>
      </c>
      <c r="S599" s="11" t="n">
        <f aca="false">K599*R599</f>
        <v>586.88</v>
      </c>
      <c r="T599" s="8" t="n">
        <v>61.00625</v>
      </c>
      <c r="U599" s="8" t="n">
        <v>79.09</v>
      </c>
      <c r="V599" s="12" t="n">
        <f aca="false">IF(U599-T599=0,"",(K599-T599)/(U599-T599))</f>
        <v>0.683140941452962</v>
      </c>
      <c r="W599" s="13" t="n">
        <f aca="false">IF(U599=0,"",K599/U599-1)</f>
        <v>-0.0724491086104439</v>
      </c>
      <c r="X599" s="11" t="n">
        <v>386801</v>
      </c>
      <c r="Y599" s="5" t="s">
        <v>77</v>
      </c>
      <c r="Z599" s="5" t="s">
        <v>79</v>
      </c>
      <c r="AA599" s="5" t="s">
        <v>78</v>
      </c>
      <c r="AB599" s="5"/>
      <c r="AC599" s="5" t="s">
        <v>1927</v>
      </c>
      <c r="AD599" s="14" t="n">
        <v>46288.771875</v>
      </c>
    </row>
    <row r="600" customFormat="false" ht="15" hidden="false" customHeight="false" outlineLevel="0" collapsed="false">
      <c r="A600" s="5" t="s">
        <v>1928</v>
      </c>
      <c r="B600" s="5" t="s">
        <v>1929</v>
      </c>
      <c r="C600" s="5" t="s">
        <v>55</v>
      </c>
      <c r="D600" s="5" t="s">
        <v>56</v>
      </c>
      <c r="E600" s="5" t="s">
        <v>115</v>
      </c>
      <c r="F600" s="5" t="s">
        <v>116</v>
      </c>
      <c r="G600" s="5" t="s">
        <v>59</v>
      </c>
      <c r="H600" s="5" t="s">
        <v>60</v>
      </c>
      <c r="I600" s="6" t="n">
        <v>0.03571</v>
      </c>
      <c r="J600" s="7" t="n">
        <f aca="false">IF(I600="","",1/I600)</f>
        <v>28.0033604032484</v>
      </c>
      <c r="K600" s="8" t="n">
        <v>137.99</v>
      </c>
      <c r="L600" s="9" t="n">
        <v>4.17</v>
      </c>
      <c r="M600" s="10" t="n">
        <v>0.0312</v>
      </c>
      <c r="N600" s="8" t="n">
        <v>135.19</v>
      </c>
      <c r="O600" s="8" t="n">
        <v>135</v>
      </c>
      <c r="P600" s="8" t="n">
        <v>140.26</v>
      </c>
      <c r="Q600" s="8" t="n">
        <v>137.59</v>
      </c>
      <c r="R600" s="11" t="n">
        <v>680090</v>
      </c>
      <c r="S600" s="11" t="n">
        <f aca="false">K600*R600</f>
        <v>93845619.1</v>
      </c>
      <c r="T600" s="8" t="n">
        <v>95.26</v>
      </c>
      <c r="U600" s="8" t="n">
        <v>145.46</v>
      </c>
      <c r="V600" s="12" t="n">
        <f aca="false">IF(U600-T600=0,"",(K600-T600)/(U600-T600))</f>
        <v>0.851195219123506</v>
      </c>
      <c r="W600" s="13" t="n">
        <f aca="false">IF(U600=0,"",K600/U600-1)</f>
        <v>-0.051354324212842</v>
      </c>
      <c r="X600" s="11" t="n">
        <v>9603276</v>
      </c>
      <c r="Y600" s="5" t="s">
        <v>115</v>
      </c>
      <c r="Z600" s="5" t="s">
        <v>117</v>
      </c>
      <c r="AA600" s="5" t="s">
        <v>116</v>
      </c>
      <c r="AB600" s="5"/>
      <c r="AC600" s="5" t="s">
        <v>1930</v>
      </c>
      <c r="AD600" s="14" t="n">
        <v>46288.771875</v>
      </c>
    </row>
    <row r="601" customFormat="false" ht="15" hidden="false" customHeight="false" outlineLevel="0" collapsed="false">
      <c r="A601" s="5" t="s">
        <v>1931</v>
      </c>
      <c r="B601" s="5" t="s">
        <v>1932</v>
      </c>
      <c r="C601" s="5" t="s">
        <v>55</v>
      </c>
      <c r="D601" s="5" t="s">
        <v>56</v>
      </c>
      <c r="E601" s="5" t="s">
        <v>115</v>
      </c>
      <c r="F601" s="5" t="s">
        <v>116</v>
      </c>
      <c r="G601" s="5" t="s">
        <v>59</v>
      </c>
      <c r="H601" s="5" t="s">
        <v>60</v>
      </c>
      <c r="I601" s="6" t="n">
        <v>0.05</v>
      </c>
      <c r="J601" s="7" t="n">
        <f aca="false">IF(I601="","",1/I601)</f>
        <v>20</v>
      </c>
      <c r="K601" s="8" t="n">
        <v>10.38</v>
      </c>
      <c r="L601" s="9" t="n">
        <v>-0.36</v>
      </c>
      <c r="M601" s="10" t="n">
        <v>-0.0335</v>
      </c>
      <c r="N601" s="8" t="n">
        <v>10.38</v>
      </c>
      <c r="O601" s="8" t="n">
        <v>10.38</v>
      </c>
      <c r="P601" s="8" t="n">
        <v>10.38</v>
      </c>
      <c r="Q601" s="8" t="n">
        <v>10.38</v>
      </c>
      <c r="R601" s="11" t="n">
        <v>1</v>
      </c>
      <c r="S601" s="11" t="n">
        <f aca="false">K601*R601</f>
        <v>10.38</v>
      </c>
      <c r="T601" s="8" t="n">
        <v>7.63</v>
      </c>
      <c r="U601" s="8" t="n">
        <v>11.2</v>
      </c>
      <c r="V601" s="12" t="n">
        <f aca="false">IF(U601-T601=0,"",(K601-T601)/(U601-T601))</f>
        <v>0.7703081232493</v>
      </c>
      <c r="W601" s="13" t="n">
        <f aca="false">IF(U601=0,"",K601/U601-1)</f>
        <v>-0.0732142857142856</v>
      </c>
      <c r="X601" s="11" t="n">
        <v>49000</v>
      </c>
      <c r="Y601" s="5" t="s">
        <v>115</v>
      </c>
      <c r="Z601" s="5" t="s">
        <v>117</v>
      </c>
      <c r="AA601" s="5" t="s">
        <v>116</v>
      </c>
      <c r="AB601" s="5"/>
      <c r="AC601" s="5" t="s">
        <v>1933</v>
      </c>
      <c r="AD601" s="14" t="n">
        <v>46288.771875</v>
      </c>
    </row>
    <row r="602" customFormat="false" ht="15" hidden="false" customHeight="false" outlineLevel="0" collapsed="false">
      <c r="A602" s="5" t="s">
        <v>1934</v>
      </c>
      <c r="B602" s="5" t="s">
        <v>1935</v>
      </c>
      <c r="C602" s="5" t="s">
        <v>55</v>
      </c>
      <c r="D602" s="5" t="s">
        <v>56</v>
      </c>
      <c r="E602" s="5" t="s">
        <v>182</v>
      </c>
      <c r="F602" s="5" t="s">
        <v>183</v>
      </c>
      <c r="G602" s="5" t="s">
        <v>59</v>
      </c>
      <c r="H602" s="5" t="s">
        <v>60</v>
      </c>
      <c r="I602" s="6" t="n">
        <v>0.25</v>
      </c>
      <c r="J602" s="7" t="n">
        <f aca="false">IF(I602="","",1/I602)</f>
        <v>4</v>
      </c>
      <c r="K602" s="8" t="n">
        <v>438.68</v>
      </c>
      <c r="L602" s="9" t="n">
        <v>19.52</v>
      </c>
      <c r="M602" s="10" t="n">
        <v>0.0466</v>
      </c>
      <c r="N602" s="8" t="n">
        <v>438</v>
      </c>
      <c r="O602" s="8" t="n">
        <v>438</v>
      </c>
      <c r="P602" s="8" t="n">
        <v>438.68</v>
      </c>
      <c r="Q602" s="8" t="n">
        <v>438.68</v>
      </c>
      <c r="R602" s="11" t="n">
        <v>20</v>
      </c>
      <c r="S602" s="11" t="n">
        <f aca="false">K602*R602</f>
        <v>8773.6</v>
      </c>
      <c r="T602" s="8" t="n">
        <v>342.31</v>
      </c>
      <c r="U602" s="8" t="n">
        <v>513.57</v>
      </c>
      <c r="V602" s="12" t="n">
        <f aca="false">IF(U602-T602=0,"",(K602-T602)/(U602-T602))</f>
        <v>0.562711666472031</v>
      </c>
      <c r="W602" s="13" t="n">
        <f aca="false">IF(U602=0,"",K602/U602-1)</f>
        <v>-0.145822380590767</v>
      </c>
      <c r="X602" s="11" t="n">
        <v>464495</v>
      </c>
      <c r="Y602" s="5" t="s">
        <v>182</v>
      </c>
      <c r="Z602" s="5" t="s">
        <v>184</v>
      </c>
      <c r="AA602" s="5" t="s">
        <v>183</v>
      </c>
      <c r="AB602" s="5"/>
      <c r="AC602" s="5" t="s">
        <v>1936</v>
      </c>
      <c r="AD602" s="14" t="n">
        <v>46288.771875</v>
      </c>
    </row>
    <row r="603" customFormat="false" ht="15" hidden="false" customHeight="false" outlineLevel="0" collapsed="false">
      <c r="A603" s="5" t="s">
        <v>1937</v>
      </c>
      <c r="B603" s="5" t="s">
        <v>1938</v>
      </c>
      <c r="C603" s="5" t="s">
        <v>55</v>
      </c>
      <c r="D603" s="5" t="s">
        <v>56</v>
      </c>
      <c r="E603" s="5" t="s">
        <v>71</v>
      </c>
      <c r="F603" s="5" t="s">
        <v>72</v>
      </c>
      <c r="G603" s="5" t="s">
        <v>59</v>
      </c>
      <c r="H603" s="5" t="s">
        <v>86</v>
      </c>
      <c r="I603" s="6" t="n">
        <v>1</v>
      </c>
      <c r="J603" s="7" t="n">
        <f aca="false">IF(I603="","",1/I603)</f>
        <v>1</v>
      </c>
      <c r="K603" s="8" t="n">
        <v>118.08</v>
      </c>
      <c r="L603" s="9" t="n">
        <v>-0.22</v>
      </c>
      <c r="M603" s="10" t="n">
        <v>-0.0019</v>
      </c>
      <c r="N603" s="8" t="n">
        <v>119.88</v>
      </c>
      <c r="O603" s="8" t="n">
        <v>118.08</v>
      </c>
      <c r="P603" s="8" t="n">
        <v>119.88</v>
      </c>
      <c r="Q603" s="8" t="n">
        <v>118.08</v>
      </c>
      <c r="R603" s="11" t="n">
        <v>4</v>
      </c>
      <c r="S603" s="11" t="n">
        <f aca="false">K603*R603</f>
        <v>472.32</v>
      </c>
      <c r="T603" s="8" t="n">
        <v>57</v>
      </c>
      <c r="U603" s="8" t="n">
        <v>124.2</v>
      </c>
      <c r="V603" s="12" t="n">
        <f aca="false">IF(U603-T603=0,"",(K603-T603)/(U603-T603))</f>
        <v>0.908928571428571</v>
      </c>
      <c r="W603" s="13" t="n">
        <f aca="false">IF(U603=0,"",K603/U603-1)</f>
        <v>-0.0492753623188407</v>
      </c>
      <c r="X603" s="11" t="n">
        <v>1315873</v>
      </c>
      <c r="Y603" s="5" t="s">
        <v>71</v>
      </c>
      <c r="Z603" s="5" t="s">
        <v>73</v>
      </c>
      <c r="AA603" s="5" t="s">
        <v>72</v>
      </c>
      <c r="AB603" s="5"/>
      <c r="AC603" s="5" t="s">
        <v>1939</v>
      </c>
      <c r="AD603" s="14" t="n">
        <v>46288.771875</v>
      </c>
    </row>
    <row r="604" customFormat="false" ht="15" hidden="false" customHeight="false" outlineLevel="0" collapsed="false">
      <c r="A604" s="5" t="s">
        <v>1940</v>
      </c>
      <c r="B604" s="5" t="s">
        <v>1941</v>
      </c>
      <c r="C604" s="5" t="s">
        <v>55</v>
      </c>
      <c r="D604" s="5" t="s">
        <v>56</v>
      </c>
      <c r="E604" s="5" t="s">
        <v>142</v>
      </c>
      <c r="F604" s="5" t="s">
        <v>143</v>
      </c>
      <c r="G604" s="5" t="s">
        <v>59</v>
      </c>
      <c r="H604" s="5" t="s">
        <v>60</v>
      </c>
      <c r="I604" s="6" t="n">
        <v>0.055555</v>
      </c>
      <c r="J604" s="7" t="n">
        <f aca="false">IF(I604="","",1/I604)</f>
        <v>18.0001800018</v>
      </c>
      <c r="K604" s="8" t="n">
        <v>73.3</v>
      </c>
      <c r="L604" s="9" t="n">
        <v>0.07</v>
      </c>
      <c r="M604" s="10" t="n">
        <v>0.001</v>
      </c>
      <c r="N604" s="8" t="n">
        <v>72.94</v>
      </c>
      <c r="O604" s="8" t="n">
        <v>72.94</v>
      </c>
      <c r="P604" s="8" t="n">
        <v>73.3</v>
      </c>
      <c r="Q604" s="8" t="n">
        <v>73.3</v>
      </c>
      <c r="R604" s="11" t="n">
        <v>9</v>
      </c>
      <c r="S604" s="11" t="n">
        <f aca="false">K604*R604</f>
        <v>659.7</v>
      </c>
      <c r="T604" s="8" t="n">
        <v>36.36</v>
      </c>
      <c r="U604" s="8" t="n">
        <v>127.57</v>
      </c>
      <c r="V604" s="12" t="n">
        <f aca="false">IF(U604-T604=0,"",(K604-T604)/(U604-T604))</f>
        <v>0.404999451814494</v>
      </c>
      <c r="W604" s="13" t="n">
        <f aca="false">IF(U604=0,"",K604/U604-1)</f>
        <v>-0.425413498471427</v>
      </c>
      <c r="X604" s="11" t="n">
        <v>90100</v>
      </c>
      <c r="Y604" s="5" t="s">
        <v>142</v>
      </c>
      <c r="Z604" s="5" t="s">
        <v>144</v>
      </c>
      <c r="AA604" s="5" t="s">
        <v>143</v>
      </c>
      <c r="AB604" s="5"/>
      <c r="AC604" s="5" t="s">
        <v>1942</v>
      </c>
      <c r="AD604" s="14" t="n">
        <v>46288.771875</v>
      </c>
    </row>
    <row r="605" customFormat="false" ht="15" hidden="false" customHeight="false" outlineLevel="0" collapsed="false">
      <c r="A605" s="5" t="s">
        <v>1943</v>
      </c>
      <c r="B605" s="5" t="s">
        <v>1944</v>
      </c>
      <c r="C605" s="5" t="s">
        <v>55</v>
      </c>
      <c r="D605" s="5" t="s">
        <v>56</v>
      </c>
      <c r="E605" s="5" t="s">
        <v>312</v>
      </c>
      <c r="F605" s="5" t="s">
        <v>313</v>
      </c>
      <c r="G605" s="5" t="s">
        <v>59</v>
      </c>
      <c r="H605" s="5" t="s">
        <v>60</v>
      </c>
      <c r="I605" s="6" t="n">
        <v>0.2</v>
      </c>
      <c r="J605" s="7" t="n">
        <f aca="false">IF(I605="","",1/I605)</f>
        <v>5</v>
      </c>
      <c r="K605" s="8" t="n">
        <v>51.04</v>
      </c>
      <c r="L605" s="9" t="n">
        <v>-0.2</v>
      </c>
      <c r="M605" s="10" t="n">
        <v>-0.0039</v>
      </c>
      <c r="N605" s="8" t="n">
        <v>52.42</v>
      </c>
      <c r="O605" s="8" t="n">
        <v>50.51</v>
      </c>
      <c r="P605" s="8" t="n">
        <v>52.42</v>
      </c>
      <c r="Q605" s="8" t="n">
        <v>51.04</v>
      </c>
      <c r="R605" s="11" t="n">
        <v>4020</v>
      </c>
      <c r="S605" s="11" t="n">
        <f aca="false">K605*R605</f>
        <v>205180.8</v>
      </c>
      <c r="T605" s="8" t="n">
        <v>38.68</v>
      </c>
      <c r="U605" s="8" t="n">
        <v>114</v>
      </c>
      <c r="V605" s="12" t="n">
        <f aca="false">IF(U605-T605=0,"",(K605-T605)/(U605-T605))</f>
        <v>0.164099840679766</v>
      </c>
      <c r="W605" s="13" t="n">
        <f aca="false">IF(U605=0,"",K605/U605-1)</f>
        <v>-0.552280701754386</v>
      </c>
      <c r="X605" s="11" t="n">
        <v>46522</v>
      </c>
      <c r="Y605" s="5" t="s">
        <v>312</v>
      </c>
      <c r="Z605" s="5" t="s">
        <v>314</v>
      </c>
      <c r="AA605" s="5" t="s">
        <v>313</v>
      </c>
      <c r="AB605" s="5"/>
      <c r="AC605" s="5" t="s">
        <v>1945</v>
      </c>
      <c r="AD605" s="14" t="n">
        <v>46288.771875</v>
      </c>
    </row>
    <row r="606" customFormat="false" ht="15" hidden="false" customHeight="false" outlineLevel="0" collapsed="false">
      <c r="A606" s="5" t="s">
        <v>1946</v>
      </c>
      <c r="B606" s="5" t="s">
        <v>1947</v>
      </c>
      <c r="C606" s="5" t="s">
        <v>55</v>
      </c>
      <c r="D606" s="5" t="s">
        <v>56</v>
      </c>
      <c r="E606" s="5" t="s">
        <v>77</v>
      </c>
      <c r="F606" s="5" t="s">
        <v>78</v>
      </c>
      <c r="G606" s="5" t="s">
        <v>1438</v>
      </c>
      <c r="H606" s="5" t="s">
        <v>60</v>
      </c>
      <c r="I606" s="6" t="n">
        <v>0.016666</v>
      </c>
      <c r="J606" s="7" t="n">
        <f aca="false">IF(I606="","",1/I606)</f>
        <v>60.0024000960038</v>
      </c>
      <c r="K606" s="8" t="n">
        <v>116.04</v>
      </c>
      <c r="L606" s="9" t="n">
        <v>-1.44</v>
      </c>
      <c r="M606" s="10" t="n">
        <v>-0.0123</v>
      </c>
      <c r="N606" s="8" t="n">
        <v>114.22</v>
      </c>
      <c r="O606" s="8" t="n">
        <v>113.4</v>
      </c>
      <c r="P606" s="8" t="n">
        <v>116.04</v>
      </c>
      <c r="Q606" s="8" t="n">
        <v>116.04</v>
      </c>
      <c r="R606" s="11" t="n">
        <v>400</v>
      </c>
      <c r="S606" s="11" t="n">
        <f aca="false">K606*R606</f>
        <v>46416</v>
      </c>
      <c r="T606" s="8" t="n">
        <v>77.04</v>
      </c>
      <c r="U606" s="8" t="n">
        <v>148.96</v>
      </c>
      <c r="V606" s="12" t="n">
        <f aca="false">IF(U606-T606=0,"",(K606-T606)/(U606-T606))</f>
        <v>0.542269187986652</v>
      </c>
      <c r="W606" s="13" t="n">
        <f aca="false">IF(U606=0,"",K606/U606-1)</f>
        <v>-0.220998925886144</v>
      </c>
      <c r="X606" s="11" t="n">
        <v>347225</v>
      </c>
      <c r="Y606" s="5" t="s">
        <v>77</v>
      </c>
      <c r="Z606" s="5" t="s">
        <v>79</v>
      </c>
      <c r="AA606" s="5" t="s">
        <v>78</v>
      </c>
      <c r="AB606" s="5"/>
      <c r="AC606" s="5" t="s">
        <v>1948</v>
      </c>
      <c r="AD606" s="14" t="n">
        <v>46288.771875</v>
      </c>
    </row>
    <row r="607" customFormat="false" ht="15" hidden="false" customHeight="false" outlineLevel="0" collapsed="false">
      <c r="A607" s="5" t="s">
        <v>1949</v>
      </c>
      <c r="B607" s="5" t="s">
        <v>1950</v>
      </c>
      <c r="C607" s="5" t="s">
        <v>55</v>
      </c>
      <c r="D607" s="5" t="s">
        <v>56</v>
      </c>
      <c r="E607" s="5" t="s">
        <v>71</v>
      </c>
      <c r="F607" s="5" t="s">
        <v>72</v>
      </c>
      <c r="G607" s="5" t="s">
        <v>59</v>
      </c>
      <c r="H607" s="5" t="s">
        <v>60</v>
      </c>
      <c r="I607" s="6" t="n">
        <v>0.5</v>
      </c>
      <c r="J607" s="7" t="n">
        <f aca="false">IF(I607="","",1/I607)</f>
        <v>2</v>
      </c>
      <c r="K607" s="8" t="n">
        <v>9.15</v>
      </c>
      <c r="L607" s="9" t="n">
        <v>-0.04</v>
      </c>
      <c r="M607" s="10" t="n">
        <v>-0.0044</v>
      </c>
      <c r="N607" s="8" t="n">
        <v>9.15</v>
      </c>
      <c r="O607" s="8" t="n">
        <v>9.15</v>
      </c>
      <c r="P607" s="8" t="n">
        <v>9.15</v>
      </c>
      <c r="Q607" s="8" t="n">
        <v>9.15</v>
      </c>
      <c r="R607" s="11" t="n">
        <v>50</v>
      </c>
      <c r="S607" s="11" t="n">
        <f aca="false">K607*R607</f>
        <v>457.5</v>
      </c>
      <c r="T607" s="8" t="n">
        <v>8.7</v>
      </c>
      <c r="U607" s="8" t="n">
        <v>16.81</v>
      </c>
      <c r="V607" s="12" t="n">
        <f aca="false">IF(U607-T607=0,"",(K607-T607)/(U607-T607))</f>
        <v>0.0554870530209619</v>
      </c>
      <c r="W607" s="13" t="n">
        <f aca="false">IF(U607=0,"",K607/U607-1)</f>
        <v>-0.455681142177275</v>
      </c>
      <c r="X607" s="11" t="n">
        <v>11125</v>
      </c>
      <c r="Y607" s="5" t="s">
        <v>71</v>
      </c>
      <c r="Z607" s="5" t="s">
        <v>73</v>
      </c>
      <c r="AA607" s="5" t="s">
        <v>72</v>
      </c>
      <c r="AB607" s="5"/>
      <c r="AC607" s="5" t="s">
        <v>1951</v>
      </c>
      <c r="AD607" s="14" t="n">
        <v>46288.771875</v>
      </c>
    </row>
    <row r="608" customFormat="false" ht="15" hidden="false" customHeight="false" outlineLevel="0" collapsed="false">
      <c r="A608" s="5" t="s">
        <v>1952</v>
      </c>
      <c r="B608" s="5" t="s">
        <v>1953</v>
      </c>
      <c r="C608" s="5" t="s">
        <v>55</v>
      </c>
      <c r="D608" s="5" t="s">
        <v>56</v>
      </c>
      <c r="E608" s="5" t="s">
        <v>77</v>
      </c>
      <c r="F608" s="5" t="s">
        <v>78</v>
      </c>
      <c r="G608" s="5" t="s">
        <v>59</v>
      </c>
      <c r="H608" s="5" t="s">
        <v>60</v>
      </c>
      <c r="I608" s="6" t="n">
        <v>0.1</v>
      </c>
      <c r="J608" s="7" t="n">
        <f aca="false">IF(I608="","",1/I608)</f>
        <v>10</v>
      </c>
      <c r="K608" s="8" t="n">
        <v>135.64</v>
      </c>
      <c r="L608" s="9" t="n">
        <v>2.64</v>
      </c>
      <c r="M608" s="10" t="n">
        <v>0.0198</v>
      </c>
      <c r="N608" s="8" t="n">
        <v>133</v>
      </c>
      <c r="O608" s="8" t="n">
        <v>132.4</v>
      </c>
      <c r="P608" s="8" t="n">
        <v>135.65</v>
      </c>
      <c r="Q608" s="8" t="n">
        <v>133.65</v>
      </c>
      <c r="R608" s="11" t="n">
        <v>29362</v>
      </c>
      <c r="S608" s="11" t="n">
        <f aca="false">K608*R608</f>
        <v>3982661.68</v>
      </c>
      <c r="T608" s="8" t="n">
        <v>37.45</v>
      </c>
      <c r="U608" s="8" t="n">
        <v>171.15</v>
      </c>
      <c r="V608" s="12" t="n">
        <f aca="false">IF(U608-T608=0,"",(K608-T608)/(U608-T608))</f>
        <v>0.734405385190725</v>
      </c>
      <c r="W608" s="13" t="n">
        <f aca="false">IF(U608=0,"",K608/U608-1)</f>
        <v>-0.207478819748758</v>
      </c>
      <c r="X608" s="11" t="n">
        <v>1177398</v>
      </c>
      <c r="Y608" s="5" t="s">
        <v>77</v>
      </c>
      <c r="Z608" s="5" t="s">
        <v>79</v>
      </c>
      <c r="AA608" s="5" t="s">
        <v>78</v>
      </c>
      <c r="AB608" s="5"/>
      <c r="AC608" s="5" t="s">
        <v>1954</v>
      </c>
      <c r="AD608" s="14" t="n">
        <v>46288.771875</v>
      </c>
    </row>
    <row r="609" customFormat="false" ht="15" hidden="false" customHeight="false" outlineLevel="0" collapsed="false">
      <c r="A609" s="5" t="s">
        <v>1955</v>
      </c>
      <c r="B609" s="5" t="s">
        <v>1956</v>
      </c>
      <c r="C609" s="5" t="s">
        <v>55</v>
      </c>
      <c r="D609" s="5" t="s">
        <v>56</v>
      </c>
      <c r="E609" s="5" t="s">
        <v>115</v>
      </c>
      <c r="F609" s="5" t="s">
        <v>116</v>
      </c>
      <c r="G609" s="5" t="s">
        <v>59</v>
      </c>
      <c r="H609" s="5"/>
      <c r="I609" s="6"/>
      <c r="J609" s="7" t="str">
        <f aca="false">IF(I609="","",1/I609)</f>
        <v/>
      </c>
      <c r="K609" s="8" t="n">
        <v>12</v>
      </c>
      <c r="L609" s="9" t="n">
        <v>-0.21</v>
      </c>
      <c r="M609" s="10" t="n">
        <v>-0.0172</v>
      </c>
      <c r="N609" s="8" t="n">
        <v>12.16</v>
      </c>
      <c r="O609" s="8" t="n">
        <v>11.92</v>
      </c>
      <c r="P609" s="8" t="n">
        <v>12.43</v>
      </c>
      <c r="Q609" s="8" t="n">
        <v>12</v>
      </c>
      <c r="R609" s="11" t="n">
        <v>5256211</v>
      </c>
      <c r="S609" s="11" t="n">
        <f aca="false">K609*R609</f>
        <v>63074532</v>
      </c>
      <c r="T609" s="8" t="n">
        <v>6.06</v>
      </c>
      <c r="U609" s="8" t="n">
        <v>27.75</v>
      </c>
      <c r="V609" s="12" t="n">
        <f aca="false">IF(U609-T609=0,"",(K609-T609)/(U609-T609))</f>
        <v>0.273858921161826</v>
      </c>
      <c r="W609" s="13" t="n">
        <f aca="false">IF(U609=0,"",K609/U609-1)</f>
        <v>-0.567567567567568</v>
      </c>
      <c r="X609" s="11" t="n">
        <v>329030</v>
      </c>
      <c r="Y609" s="5" t="s">
        <v>115</v>
      </c>
      <c r="Z609" s="5" t="s">
        <v>117</v>
      </c>
      <c r="AA609" s="5" t="s">
        <v>116</v>
      </c>
      <c r="AB609" s="5" t="s">
        <v>111</v>
      </c>
      <c r="AC609" s="5" t="s">
        <v>1957</v>
      </c>
      <c r="AD609" s="14" t="n">
        <v>46288.771875</v>
      </c>
    </row>
    <row r="610" customFormat="false" ht="15" hidden="false" customHeight="false" outlineLevel="0" collapsed="false">
      <c r="A610" s="5" t="s">
        <v>1958</v>
      </c>
      <c r="B610" s="5" t="s">
        <v>1959</v>
      </c>
      <c r="C610" s="5" t="s">
        <v>55</v>
      </c>
      <c r="D610" s="5" t="s">
        <v>56</v>
      </c>
      <c r="E610" s="5" t="s">
        <v>57</v>
      </c>
      <c r="F610" s="5" t="s">
        <v>58</v>
      </c>
      <c r="G610" s="5" t="s">
        <v>59</v>
      </c>
      <c r="H610" s="5"/>
      <c r="I610" s="6"/>
      <c r="J610" s="7" t="str">
        <f aca="false">IF(I610="","",1/I610)</f>
        <v/>
      </c>
      <c r="K610" s="8" t="n">
        <v>117.41</v>
      </c>
      <c r="L610" s="9" t="n">
        <v>6.21</v>
      </c>
      <c r="M610" s="10" t="n">
        <v>0.0558</v>
      </c>
      <c r="N610" s="8" t="n">
        <v>110</v>
      </c>
      <c r="O610" s="8" t="n">
        <v>110</v>
      </c>
      <c r="P610" s="8" t="n">
        <v>117.41</v>
      </c>
      <c r="Q610" s="8" t="n">
        <v>117.41</v>
      </c>
      <c r="R610" s="11" t="n">
        <v>119</v>
      </c>
      <c r="S610" s="11" t="n">
        <f aca="false">K610*R610</f>
        <v>13971.79</v>
      </c>
      <c r="T610" s="8" t="n">
        <v>88.4</v>
      </c>
      <c r="U610" s="8" t="n">
        <v>138.5</v>
      </c>
      <c r="V610" s="12" t="n">
        <f aca="false">IF(U610-T610=0,"",(K610-T610)/(U610-T610))</f>
        <v>0.579041916167665</v>
      </c>
      <c r="W610" s="13" t="n">
        <f aca="false">IF(U610=0,"",K610/U610-1)</f>
        <v>-0.152274368231047</v>
      </c>
      <c r="X610" s="11" t="n">
        <v>30448</v>
      </c>
      <c r="Y610" s="5" t="s">
        <v>57</v>
      </c>
      <c r="Z610" s="5" t="s">
        <v>61</v>
      </c>
      <c r="AA610" s="5" t="s">
        <v>58</v>
      </c>
      <c r="AB610" s="5" t="s">
        <v>111</v>
      </c>
      <c r="AC610" s="5" t="s">
        <v>1960</v>
      </c>
      <c r="AD610" s="14" t="n">
        <v>46288.771875</v>
      </c>
    </row>
    <row r="611" customFormat="false" ht="15" hidden="false" customHeight="false" outlineLevel="0" collapsed="false">
      <c r="A611" s="5" t="s">
        <v>1961</v>
      </c>
      <c r="B611" s="5" t="s">
        <v>1962</v>
      </c>
      <c r="C611" s="5" t="s">
        <v>55</v>
      </c>
      <c r="D611" s="5" t="s">
        <v>56</v>
      </c>
      <c r="E611" s="5" t="s">
        <v>182</v>
      </c>
      <c r="F611" s="5" t="s">
        <v>183</v>
      </c>
      <c r="G611" s="5" t="s">
        <v>59</v>
      </c>
      <c r="H611" s="5" t="s">
        <v>60</v>
      </c>
      <c r="I611" s="6" t="n">
        <v>0.05</v>
      </c>
      <c r="J611" s="7" t="n">
        <f aca="false">IF(I611="","",1/I611)</f>
        <v>20</v>
      </c>
      <c r="K611" s="8" t="n">
        <v>61.2</v>
      </c>
      <c r="L611" s="9" t="n">
        <v>-2.5</v>
      </c>
      <c r="M611" s="10" t="n">
        <v>-0.0392</v>
      </c>
      <c r="N611" s="8" t="n">
        <v>64.4</v>
      </c>
      <c r="O611" s="8" t="n">
        <v>60.52</v>
      </c>
      <c r="P611" s="8" t="n">
        <v>64.7</v>
      </c>
      <c r="Q611" s="8" t="n">
        <v>61.45</v>
      </c>
      <c r="R611" s="11" t="n">
        <v>26831</v>
      </c>
      <c r="S611" s="11" t="n">
        <f aca="false">K611*R611</f>
        <v>1642057.2</v>
      </c>
      <c r="T611" s="8" t="n">
        <v>60.52</v>
      </c>
      <c r="U611" s="8" t="n">
        <v>90.9</v>
      </c>
      <c r="V611" s="12" t="n">
        <f aca="false">IF(U611-T611=0,"",(K611-T611)/(U611-T611))</f>
        <v>0.0223831468071099</v>
      </c>
      <c r="W611" s="13" t="n">
        <f aca="false">IF(U611=0,"",K611/U611-1)</f>
        <v>-0.326732673267327</v>
      </c>
      <c r="X611" s="11" t="n">
        <v>906643</v>
      </c>
      <c r="Y611" s="5" t="s">
        <v>182</v>
      </c>
      <c r="Z611" s="5" t="s">
        <v>184</v>
      </c>
      <c r="AA611" s="5" t="s">
        <v>183</v>
      </c>
      <c r="AB611" s="5"/>
      <c r="AC611" s="5" t="s">
        <v>1963</v>
      </c>
      <c r="AD611" s="14" t="n">
        <v>46288.771875</v>
      </c>
    </row>
    <row r="612" customFormat="false" ht="15" hidden="false" customHeight="false" outlineLevel="0" collapsed="false">
      <c r="A612" s="5" t="s">
        <v>1964</v>
      </c>
      <c r="B612" s="5" t="s">
        <v>1965</v>
      </c>
      <c r="C612" s="5" t="s">
        <v>55</v>
      </c>
      <c r="D612" s="5" t="s">
        <v>56</v>
      </c>
      <c r="E612" s="5" t="s">
        <v>1388</v>
      </c>
      <c r="F612" s="5" t="s">
        <v>1389</v>
      </c>
      <c r="G612" s="5" t="s">
        <v>59</v>
      </c>
      <c r="H612" s="5" t="s">
        <v>60</v>
      </c>
      <c r="I612" s="6" t="n">
        <v>0.03125</v>
      </c>
      <c r="J612" s="7" t="n">
        <f aca="false">IF(I612="","",1/I612)</f>
        <v>32</v>
      </c>
      <c r="K612" s="8" t="n">
        <v>75.83</v>
      </c>
      <c r="L612" s="9" t="n">
        <v>0.93</v>
      </c>
      <c r="M612" s="10" t="n">
        <v>0.0124</v>
      </c>
      <c r="N612" s="8" t="n">
        <v>75.83</v>
      </c>
      <c r="O612" s="8" t="n">
        <v>75.83</v>
      </c>
      <c r="P612" s="8" t="n">
        <v>75.83</v>
      </c>
      <c r="Q612" s="8" t="n">
        <v>75.83</v>
      </c>
      <c r="R612" s="11" t="n">
        <v>4</v>
      </c>
      <c r="S612" s="11" t="n">
        <f aca="false">K612*R612</f>
        <v>303.32</v>
      </c>
      <c r="T612" s="8" t="n">
        <v>66.45375</v>
      </c>
      <c r="U612" s="8" t="n">
        <v>90.585</v>
      </c>
      <c r="V612" s="12" t="n">
        <f aca="false">IF(U612-T612=0,"",(K612-T612)/(U612-T612))</f>
        <v>0.388552188552189</v>
      </c>
      <c r="W612" s="13" t="n">
        <f aca="false">IF(U612=0,"",K612/U612-1)</f>
        <v>-0.162885687475851</v>
      </c>
      <c r="X612" s="11" t="n">
        <v>415937</v>
      </c>
      <c r="Y612" s="5" t="s">
        <v>1388</v>
      </c>
      <c r="Z612" s="5" t="s">
        <v>1390</v>
      </c>
      <c r="AA612" s="5" t="s">
        <v>1389</v>
      </c>
      <c r="AB612" s="5"/>
      <c r="AC612" s="5" t="s">
        <v>1966</v>
      </c>
      <c r="AD612" s="14" t="n">
        <v>46288.771875</v>
      </c>
    </row>
    <row r="613" customFormat="false" ht="15" hidden="false" customHeight="false" outlineLevel="0" collapsed="false">
      <c r="A613" s="5" t="s">
        <v>1967</v>
      </c>
      <c r="B613" s="5" t="s">
        <v>1968</v>
      </c>
      <c r="C613" s="5" t="s">
        <v>55</v>
      </c>
      <c r="D613" s="5" t="s">
        <v>56</v>
      </c>
      <c r="E613" s="5" t="s">
        <v>273</v>
      </c>
      <c r="F613" s="5" t="s">
        <v>274</v>
      </c>
      <c r="G613" s="5" t="s">
        <v>59</v>
      </c>
      <c r="H613" s="5" t="s">
        <v>60</v>
      </c>
      <c r="I613" s="6" t="n">
        <v>0.166667</v>
      </c>
      <c r="J613" s="7" t="n">
        <f aca="false">IF(I613="","",1/I613)</f>
        <v>5.999988000024</v>
      </c>
      <c r="K613" s="8" t="n">
        <v>53.05</v>
      </c>
      <c r="L613" s="9" t="n">
        <v>0.9</v>
      </c>
      <c r="M613" s="10" t="n">
        <v>0.0173</v>
      </c>
      <c r="N613" s="8" t="n">
        <v>52.16</v>
      </c>
      <c r="O613" s="8" t="n">
        <v>52.16</v>
      </c>
      <c r="P613" s="8" t="n">
        <v>53.17</v>
      </c>
      <c r="Q613" s="8" t="n">
        <v>53.05</v>
      </c>
      <c r="R613" s="11" t="n">
        <v>187</v>
      </c>
      <c r="S613" s="11" t="n">
        <f aca="false">K613*R613</f>
        <v>9920.35</v>
      </c>
      <c r="T613" s="8" t="n">
        <v>46.16666621</v>
      </c>
      <c r="U613" s="8" t="n">
        <v>58.08333275</v>
      </c>
      <c r="V613" s="12" t="n">
        <f aca="false">IF(U613-T613=0,"",(K613-T613)/(U613-T613))</f>
        <v>0.577622422083819</v>
      </c>
      <c r="W613" s="13" t="n">
        <f aca="false">IF(U613=0,"",K613/U613-1)</f>
        <v>-0.0866570926923955</v>
      </c>
      <c r="X613" s="11" t="n">
        <v>398961</v>
      </c>
      <c r="Y613" s="5" t="s">
        <v>273</v>
      </c>
      <c r="Z613" s="5" t="s">
        <v>275</v>
      </c>
      <c r="AA613" s="5" t="s">
        <v>274</v>
      </c>
      <c r="AB613" s="5"/>
      <c r="AC613" s="5" t="s">
        <v>1969</v>
      </c>
      <c r="AD613" s="14" t="n">
        <v>46288.771875</v>
      </c>
    </row>
    <row r="614" customFormat="false" ht="15" hidden="false" customHeight="false" outlineLevel="0" collapsed="false">
      <c r="A614" s="5" t="s">
        <v>1970</v>
      </c>
      <c r="B614" s="5" t="s">
        <v>1971</v>
      </c>
      <c r="C614" s="5" t="s">
        <v>55</v>
      </c>
      <c r="D614" s="5" t="s">
        <v>56</v>
      </c>
      <c r="E614" s="5" t="s">
        <v>99</v>
      </c>
      <c r="F614" s="5" t="s">
        <v>100</v>
      </c>
      <c r="G614" s="5" t="s">
        <v>59</v>
      </c>
      <c r="H614" s="5" t="s">
        <v>60</v>
      </c>
      <c r="I614" s="6" t="n">
        <v>0.125</v>
      </c>
      <c r="J614" s="7" t="n">
        <f aca="false">IF(I614="","",1/I614)</f>
        <v>8</v>
      </c>
      <c r="K614" s="8" t="n">
        <v>56.19</v>
      </c>
      <c r="L614" s="9" t="n">
        <v>-1.29</v>
      </c>
      <c r="M614" s="10" t="n">
        <v>-0.0224</v>
      </c>
      <c r="N614" s="8" t="n">
        <v>56.94</v>
      </c>
      <c r="O614" s="8" t="n">
        <v>56.19</v>
      </c>
      <c r="P614" s="8" t="n">
        <v>56.94</v>
      </c>
      <c r="Q614" s="8" t="n">
        <v>56.19</v>
      </c>
      <c r="R614" s="11" t="n">
        <v>16</v>
      </c>
      <c r="S614" s="11" t="n">
        <f aca="false">K614*R614</f>
        <v>899.04</v>
      </c>
      <c r="T614" s="8" t="n">
        <v>45.97</v>
      </c>
      <c r="U614" s="8" t="n">
        <v>69.3</v>
      </c>
      <c r="V614" s="12" t="n">
        <f aca="false">IF(U614-T614=0,"",(K614-T614)/(U614-T614))</f>
        <v>0.438062580368624</v>
      </c>
      <c r="W614" s="13" t="n">
        <f aca="false">IF(U614=0,"",K614/U614-1)</f>
        <v>-0.189177489177489</v>
      </c>
      <c r="X614" s="11" t="n">
        <v>594203</v>
      </c>
      <c r="Y614" s="5" t="s">
        <v>99</v>
      </c>
      <c r="Z614" s="5" t="s">
        <v>101</v>
      </c>
      <c r="AA614" s="5" t="s">
        <v>100</v>
      </c>
      <c r="AB614" s="5"/>
      <c r="AC614" s="5" t="s">
        <v>1972</v>
      </c>
      <c r="AD614" s="14" t="n">
        <v>46288.771875</v>
      </c>
    </row>
    <row r="615" customFormat="false" ht="15" hidden="false" customHeight="false" outlineLevel="0" collapsed="false">
      <c r="A615" s="5" t="s">
        <v>1973</v>
      </c>
      <c r="B615" s="5" t="s">
        <v>1974</v>
      </c>
      <c r="C615" s="5" t="s">
        <v>55</v>
      </c>
      <c r="D615" s="5" t="s">
        <v>56</v>
      </c>
      <c r="E615" s="5" t="s">
        <v>57</v>
      </c>
      <c r="F615" s="5" t="s">
        <v>58</v>
      </c>
      <c r="G615" s="5" t="s">
        <v>59</v>
      </c>
      <c r="H615" s="5" t="s">
        <v>60</v>
      </c>
      <c r="I615" s="6" t="n">
        <v>0.00833</v>
      </c>
      <c r="J615" s="7" t="n">
        <f aca="false">IF(I615="","",1/I615)</f>
        <v>120.048019207683</v>
      </c>
      <c r="K615" s="8" t="n">
        <v>77.19</v>
      </c>
      <c r="L615" s="9" t="n">
        <v>-0.25</v>
      </c>
      <c r="M615" s="10" t="n">
        <v>-0.0032</v>
      </c>
      <c r="N615" s="8" t="n">
        <v>77.97</v>
      </c>
      <c r="O615" s="8" t="n">
        <v>76.57</v>
      </c>
      <c r="P615" s="8" t="n">
        <v>78.59</v>
      </c>
      <c r="Q615" s="8" t="n">
        <v>77.52</v>
      </c>
      <c r="R615" s="11" t="n">
        <v>1392259</v>
      </c>
      <c r="S615" s="11" t="n">
        <f aca="false">K615*R615</f>
        <v>107468472.21</v>
      </c>
      <c r="T615" s="8" t="n">
        <v>61.35</v>
      </c>
      <c r="U615" s="8" t="n">
        <v>112.67</v>
      </c>
      <c r="V615" s="12" t="n">
        <f aca="false">IF(U615-T615=0,"",(K615-T615)/(U615-T615))</f>
        <v>0.308651597817615</v>
      </c>
      <c r="W615" s="13" t="n">
        <f aca="false">IF(U615=0,"",K615/U615-1)</f>
        <v>-0.314901925978521</v>
      </c>
      <c r="X615" s="11" t="n">
        <v>473909</v>
      </c>
      <c r="Y615" s="5" t="s">
        <v>57</v>
      </c>
      <c r="Z615" s="5" t="s">
        <v>61</v>
      </c>
      <c r="AA615" s="5" t="s">
        <v>58</v>
      </c>
      <c r="AB615" s="5"/>
      <c r="AC615" s="5" t="s">
        <v>1975</v>
      </c>
      <c r="AD615" s="14" t="n">
        <v>46288.771875</v>
      </c>
    </row>
    <row r="616" customFormat="false" ht="15" hidden="false" customHeight="false" outlineLevel="0" collapsed="false">
      <c r="A616" s="5" t="s">
        <v>1976</v>
      </c>
      <c r="B616" s="5" t="s">
        <v>1977</v>
      </c>
      <c r="C616" s="5" t="s">
        <v>55</v>
      </c>
      <c r="D616" s="5" t="s">
        <v>56</v>
      </c>
      <c r="E616" s="5" t="s">
        <v>71</v>
      </c>
      <c r="F616" s="5" t="s">
        <v>72</v>
      </c>
      <c r="G616" s="5" t="s">
        <v>59</v>
      </c>
      <c r="H616" s="5" t="s">
        <v>60</v>
      </c>
      <c r="I616" s="6" t="n">
        <v>1</v>
      </c>
      <c r="J616" s="7" t="n">
        <f aca="false">IF(I616="","",1/I616)</f>
        <v>1</v>
      </c>
      <c r="K616" s="8" t="n">
        <v>499</v>
      </c>
      <c r="L616" s="9" t="n">
        <v>9.49</v>
      </c>
      <c r="M616" s="10" t="n">
        <v>0.0194</v>
      </c>
      <c r="N616" s="8" t="n">
        <v>499</v>
      </c>
      <c r="O616" s="8" t="n">
        <v>499</v>
      </c>
      <c r="P616" s="8" t="n">
        <v>499</v>
      </c>
      <c r="Q616" s="8" t="n">
        <v>499</v>
      </c>
      <c r="R616" s="11" t="n">
        <v>2</v>
      </c>
      <c r="S616" s="11" t="n">
        <f aca="false">K616*R616</f>
        <v>998</v>
      </c>
      <c r="T616" s="8" t="n">
        <v>361.86</v>
      </c>
      <c r="U616" s="8" t="n">
        <v>512.44</v>
      </c>
      <c r="V616" s="12" t="n">
        <f aca="false">IF(U616-T616=0,"",(K616-T616)/(U616-T616))</f>
        <v>0.910745118873688</v>
      </c>
      <c r="W616" s="13" t="n">
        <f aca="false">IF(U616=0,"",K616/U616-1)</f>
        <v>-0.0262274607758958</v>
      </c>
      <c r="X616" s="11" t="n">
        <v>311950</v>
      </c>
      <c r="Y616" s="5" t="s">
        <v>71</v>
      </c>
      <c r="Z616" s="5" t="s">
        <v>73</v>
      </c>
      <c r="AA616" s="5" t="s">
        <v>72</v>
      </c>
      <c r="AB616" s="5"/>
      <c r="AC616" s="5" t="s">
        <v>1978</v>
      </c>
      <c r="AD616" s="14" t="n">
        <v>46288.771875</v>
      </c>
    </row>
    <row r="617" customFormat="false" ht="15" hidden="false" customHeight="false" outlineLevel="0" collapsed="false">
      <c r="A617" s="5" t="s">
        <v>1979</v>
      </c>
      <c r="B617" s="5" t="s">
        <v>1980</v>
      </c>
      <c r="C617" s="5" t="s">
        <v>55</v>
      </c>
      <c r="D617" s="5" t="s">
        <v>56</v>
      </c>
      <c r="E617" s="5" t="s">
        <v>71</v>
      </c>
      <c r="F617" s="5" t="s">
        <v>72</v>
      </c>
      <c r="G617" s="5" t="s">
        <v>59</v>
      </c>
      <c r="H617" s="5" t="s">
        <v>60</v>
      </c>
      <c r="I617" s="6" t="n">
        <v>0.5</v>
      </c>
      <c r="J617" s="7" t="n">
        <f aca="false">IF(I617="","",1/I617)</f>
        <v>2</v>
      </c>
      <c r="K617" s="8" t="n">
        <v>451.8</v>
      </c>
      <c r="L617" s="9" t="n">
        <v>1.35</v>
      </c>
      <c r="M617" s="10" t="n">
        <v>0.003</v>
      </c>
      <c r="N617" s="8" t="n">
        <v>456.61</v>
      </c>
      <c r="O617" s="8" t="n">
        <v>451.8</v>
      </c>
      <c r="P617" s="8" t="n">
        <v>456.61</v>
      </c>
      <c r="Q617" s="8" t="n">
        <v>451.8</v>
      </c>
      <c r="R617" s="11" t="n">
        <v>2</v>
      </c>
      <c r="S617" s="11" t="n">
        <f aca="false">K617*R617</f>
        <v>903.6</v>
      </c>
      <c r="T617" s="8" t="n">
        <v>436</v>
      </c>
      <c r="U617" s="8" t="n">
        <v>606.8</v>
      </c>
      <c r="V617" s="12" t="n">
        <f aca="false">IF(U617-T617=0,"",(K617-T617)/(U617-T617))</f>
        <v>0.0925058548009369</v>
      </c>
      <c r="W617" s="13" t="n">
        <f aca="false">IF(U617=0,"",K617/U617-1)</f>
        <v>-0.255438365194463</v>
      </c>
      <c r="X617" s="11" t="n">
        <v>111811</v>
      </c>
      <c r="Y617" s="5" t="s">
        <v>71</v>
      </c>
      <c r="Z617" s="5" t="s">
        <v>73</v>
      </c>
      <c r="AA617" s="5" t="s">
        <v>72</v>
      </c>
      <c r="AB617" s="5"/>
      <c r="AC617" s="5" t="s">
        <v>1981</v>
      </c>
      <c r="AD617" s="14" t="n">
        <v>46288.771875</v>
      </c>
    </row>
    <row r="618" customFormat="false" ht="15" hidden="false" customHeight="false" outlineLevel="0" collapsed="false">
      <c r="A618" s="5" t="s">
        <v>1982</v>
      </c>
      <c r="B618" s="5" t="s">
        <v>1983</v>
      </c>
      <c r="C618" s="5" t="s">
        <v>55</v>
      </c>
      <c r="D618" s="5" t="s">
        <v>56</v>
      </c>
      <c r="E618" s="5" t="s">
        <v>142</v>
      </c>
      <c r="F618" s="5" t="s">
        <v>143</v>
      </c>
      <c r="G618" s="5" t="s">
        <v>59</v>
      </c>
      <c r="H618" s="5"/>
      <c r="I618" s="6"/>
      <c r="J618" s="7" t="str">
        <f aca="false">IF(I618="","",1/I618)</f>
        <v/>
      </c>
      <c r="K618" s="8" t="n">
        <v>219.4</v>
      </c>
      <c r="L618" s="9" t="n">
        <v>-10.89</v>
      </c>
      <c r="M618" s="10" t="n">
        <v>-0.0473</v>
      </c>
      <c r="N618" s="8" t="n">
        <v>216.99</v>
      </c>
      <c r="O618" s="8" t="n">
        <v>215.22</v>
      </c>
      <c r="P618" s="8" t="n">
        <v>219.4</v>
      </c>
      <c r="Q618" s="8" t="n">
        <v>219.4</v>
      </c>
      <c r="R618" s="11" t="n">
        <v>1283</v>
      </c>
      <c r="S618" s="11" t="n">
        <f aca="false">K618*R618</f>
        <v>281490.2</v>
      </c>
      <c r="T618" s="8" t="n">
        <v>174.1</v>
      </c>
      <c r="U618" s="8" t="n">
        <v>240.73</v>
      </c>
      <c r="V618" s="12" t="n">
        <f aca="false">IF(U618-T618=0,"",(K618-T618)/(U618-T618))</f>
        <v>0.679873930661864</v>
      </c>
      <c r="W618" s="13" t="n">
        <f aca="false">IF(U618=0,"",K618/U618-1)</f>
        <v>-0.0886054916296265</v>
      </c>
      <c r="X618" s="11" t="n">
        <v>446836</v>
      </c>
      <c r="Y618" s="5" t="s">
        <v>142</v>
      </c>
      <c r="Z618" s="5" t="s">
        <v>144</v>
      </c>
      <c r="AA618" s="5" t="s">
        <v>143</v>
      </c>
      <c r="AB618" s="5" t="s">
        <v>111</v>
      </c>
      <c r="AC618" s="5" t="s">
        <v>1984</v>
      </c>
      <c r="AD618" s="14" t="n">
        <v>46288.771875</v>
      </c>
    </row>
    <row r="619" customFormat="false" ht="15" hidden="false" customHeight="false" outlineLevel="0" collapsed="false">
      <c r="A619" s="5" t="s">
        <v>1985</v>
      </c>
      <c r="B619" s="5" t="s">
        <v>1986</v>
      </c>
      <c r="C619" s="5" t="s">
        <v>55</v>
      </c>
      <c r="D619" s="5" t="s">
        <v>56</v>
      </c>
      <c r="E619" s="5" t="s">
        <v>273</v>
      </c>
      <c r="F619" s="5" t="s">
        <v>274</v>
      </c>
      <c r="G619" s="5" t="s">
        <v>59</v>
      </c>
      <c r="H619" s="5" t="s">
        <v>60</v>
      </c>
      <c r="I619" s="6" t="n">
        <v>0.2</v>
      </c>
      <c r="J619" s="7" t="n">
        <f aca="false">IF(I619="","",1/I619)</f>
        <v>5</v>
      </c>
      <c r="K619" s="8" t="n">
        <v>71.2</v>
      </c>
      <c r="L619" s="9" t="n">
        <v>0.5</v>
      </c>
      <c r="M619" s="10" t="n">
        <v>0.0071</v>
      </c>
      <c r="N619" s="8" t="n">
        <v>70.7</v>
      </c>
      <c r="O619" s="8" t="n">
        <v>70.7</v>
      </c>
      <c r="P619" s="8" t="n">
        <v>71.4</v>
      </c>
      <c r="Q619" s="8" t="n">
        <v>71.2</v>
      </c>
      <c r="R619" s="11" t="n">
        <v>39</v>
      </c>
      <c r="S619" s="11" t="n">
        <f aca="false">K619*R619</f>
        <v>2776.8</v>
      </c>
      <c r="T619" s="8" t="n">
        <v>58.96</v>
      </c>
      <c r="U619" s="8" t="n">
        <v>77.216</v>
      </c>
      <c r="V619" s="12" t="n">
        <f aca="false">IF(U619-T619=0,"",(K619-T619)/(U619-T619))</f>
        <v>0.670464504820333</v>
      </c>
      <c r="W619" s="13" t="n">
        <f aca="false">IF(U619=0,"",K619/U619-1)</f>
        <v>-0.0779113137173642</v>
      </c>
      <c r="X619" s="11" t="n">
        <v>586547</v>
      </c>
      <c r="Y619" s="5" t="s">
        <v>273</v>
      </c>
      <c r="Z619" s="5" t="s">
        <v>275</v>
      </c>
      <c r="AA619" s="5" t="s">
        <v>274</v>
      </c>
      <c r="AB619" s="5"/>
      <c r="AC619" s="5" t="s">
        <v>1987</v>
      </c>
      <c r="AD619" s="14" t="n">
        <v>46288.771875</v>
      </c>
    </row>
    <row r="620" customFormat="false" ht="15" hidden="false" customHeight="false" outlineLevel="0" collapsed="false">
      <c r="A620" s="5" t="s">
        <v>1988</v>
      </c>
      <c r="B620" s="5" t="s">
        <v>1989</v>
      </c>
      <c r="C620" s="5" t="s">
        <v>55</v>
      </c>
      <c r="D620" s="5" t="s">
        <v>56</v>
      </c>
      <c r="E620" s="5" t="s">
        <v>65</v>
      </c>
      <c r="F620" s="5" t="s">
        <v>66</v>
      </c>
      <c r="G620" s="5" t="s">
        <v>59</v>
      </c>
      <c r="H620" s="5" t="s">
        <v>60</v>
      </c>
      <c r="I620" s="6" t="n">
        <v>0.1666667</v>
      </c>
      <c r="J620" s="7" t="n">
        <f aca="false">IF(I620="","",1/I620)</f>
        <v>5.99999880000024</v>
      </c>
      <c r="K620" s="8" t="n">
        <v>21.06</v>
      </c>
      <c r="L620" s="9" t="n">
        <v>0.49</v>
      </c>
      <c r="M620" s="10" t="n">
        <v>0.0238</v>
      </c>
      <c r="N620" s="8" t="n">
        <v>21.19</v>
      </c>
      <c r="O620" s="8" t="n">
        <v>21.06</v>
      </c>
      <c r="P620" s="8" t="n">
        <v>21.5</v>
      </c>
      <c r="Q620" s="8" t="n">
        <v>21.06</v>
      </c>
      <c r="R620" s="11" t="n">
        <v>34</v>
      </c>
      <c r="S620" s="11" t="n">
        <f aca="false">K620*R620</f>
        <v>716.04</v>
      </c>
      <c r="T620" s="8" t="n">
        <v>17.13</v>
      </c>
      <c r="U620" s="8" t="n">
        <v>32.8</v>
      </c>
      <c r="V620" s="12" t="n">
        <f aca="false">IF(U620-T620=0,"",(K620-T620)/(U620-T620))</f>
        <v>0.250797702616465</v>
      </c>
      <c r="W620" s="13" t="n">
        <f aca="false">IF(U620=0,"",K620/U620-1)</f>
        <v>-0.357926829268293</v>
      </c>
      <c r="X620" s="11" t="n">
        <v>40233</v>
      </c>
      <c r="Y620" s="5" t="s">
        <v>65</v>
      </c>
      <c r="Z620" s="5" t="s">
        <v>67</v>
      </c>
      <c r="AA620" s="5" t="s">
        <v>66</v>
      </c>
      <c r="AB620" s="5"/>
      <c r="AC620" s="5" t="s">
        <v>1990</v>
      </c>
      <c r="AD620" s="14" t="n">
        <v>46288.771875</v>
      </c>
    </row>
    <row r="621" customFormat="false" ht="15" hidden="false" customHeight="false" outlineLevel="0" collapsed="false">
      <c r="A621" s="5" t="s">
        <v>1991</v>
      </c>
      <c r="B621" s="5" t="s">
        <v>1992</v>
      </c>
      <c r="C621" s="5" t="s">
        <v>248</v>
      </c>
      <c r="D621" s="5" t="s">
        <v>249</v>
      </c>
      <c r="E621" s="5" t="s">
        <v>250</v>
      </c>
      <c r="F621" s="5" t="s">
        <v>251</v>
      </c>
      <c r="G621" s="5" t="s">
        <v>59</v>
      </c>
      <c r="H621" s="5" t="s">
        <v>60</v>
      </c>
      <c r="I621" s="6" t="n">
        <v>0.125</v>
      </c>
      <c r="J621" s="7" t="n">
        <f aca="false">IF(I621="","",1/I621)</f>
        <v>8</v>
      </c>
      <c r="K621" s="8" t="n">
        <v>69.3</v>
      </c>
      <c r="L621" s="9" t="n">
        <v>-4.8</v>
      </c>
      <c r="M621" s="10" t="n">
        <v>-0.0648</v>
      </c>
      <c r="N621" s="8" t="n">
        <v>69.58</v>
      </c>
      <c r="O621" s="8" t="n">
        <v>69.3</v>
      </c>
      <c r="P621" s="8" t="n">
        <v>69.58</v>
      </c>
      <c r="Q621" s="8" t="n">
        <v>69.3</v>
      </c>
      <c r="R621" s="11" t="n">
        <v>18</v>
      </c>
      <c r="S621" s="11" t="n">
        <f aca="false">K621*R621</f>
        <v>1247.4</v>
      </c>
      <c r="T621" s="8" t="n">
        <v>63.27</v>
      </c>
      <c r="U621" s="8" t="n">
        <v>74.13</v>
      </c>
      <c r="V621" s="12" t="n">
        <f aca="false">IF(U621-T621=0,"",(K621-T621)/(U621-T621))</f>
        <v>0.55524861878453</v>
      </c>
      <c r="W621" s="13" t="n">
        <f aca="false">IF(U621=0,"",K621/U621-1)</f>
        <v>-0.065155807365439</v>
      </c>
      <c r="X621" s="11"/>
      <c r="Y621" s="5" t="s">
        <v>253</v>
      </c>
      <c r="Z621" s="5" t="s">
        <v>254</v>
      </c>
      <c r="AA621" s="5" t="s">
        <v>251</v>
      </c>
      <c r="AB621" s="5"/>
      <c r="AC621" s="5" t="s">
        <v>1993</v>
      </c>
      <c r="AD621" s="14" t="n">
        <v>46288.771875</v>
      </c>
    </row>
    <row r="622" customFormat="false" ht="15" hidden="false" customHeight="false" outlineLevel="0" collapsed="false">
      <c r="A622" s="5" t="s">
        <v>1994</v>
      </c>
      <c r="B622" s="5" t="s">
        <v>1995</v>
      </c>
      <c r="C622" s="5" t="s">
        <v>55</v>
      </c>
      <c r="D622" s="5" t="s">
        <v>56</v>
      </c>
      <c r="E622" s="5" t="s">
        <v>99</v>
      </c>
      <c r="F622" s="5" t="s">
        <v>100</v>
      </c>
      <c r="G622" s="5" t="s">
        <v>59</v>
      </c>
      <c r="H622" s="5" t="s">
        <v>60</v>
      </c>
      <c r="I622" s="6" t="n">
        <v>0.125</v>
      </c>
      <c r="J622" s="7" t="n">
        <f aca="false">IF(I622="","",1/I622)</f>
        <v>8</v>
      </c>
      <c r="K622" s="8" t="n">
        <v>96</v>
      </c>
      <c r="L622" s="9" t="n">
        <v>-0.6</v>
      </c>
      <c r="M622" s="10" t="n">
        <v>-0.0062</v>
      </c>
      <c r="N622" s="8" t="n">
        <v>97.57</v>
      </c>
      <c r="O622" s="8" t="n">
        <v>94.61</v>
      </c>
      <c r="P622" s="8" t="n">
        <v>97.57</v>
      </c>
      <c r="Q622" s="8" t="n">
        <v>95.49</v>
      </c>
      <c r="R622" s="11" t="n">
        <v>6730</v>
      </c>
      <c r="S622" s="11" t="n">
        <f aca="false">K622*R622</f>
        <v>646080</v>
      </c>
      <c r="T622" s="8" t="n">
        <v>51.86</v>
      </c>
      <c r="U622" s="8" t="n">
        <v>101.38</v>
      </c>
      <c r="V622" s="12" t="n">
        <f aca="false">IF(U622-T622=0,"",(K622-T622)/(U622-T622))</f>
        <v>0.891357027463651</v>
      </c>
      <c r="W622" s="13" t="n">
        <f aca="false">IF(U622=0,"",K622/U622-1)</f>
        <v>-0.0530676662063523</v>
      </c>
      <c r="X622" s="11" t="n">
        <v>1905429</v>
      </c>
      <c r="Y622" s="5" t="s">
        <v>99</v>
      </c>
      <c r="Z622" s="5" t="s">
        <v>101</v>
      </c>
      <c r="AA622" s="5" t="s">
        <v>100</v>
      </c>
      <c r="AB622" s="5"/>
      <c r="AC622" s="5" t="s">
        <v>1996</v>
      </c>
      <c r="AD622" s="14" t="n">
        <v>46288.771875</v>
      </c>
    </row>
    <row r="623" customFormat="false" ht="15" hidden="false" customHeight="false" outlineLevel="0" collapsed="false">
      <c r="A623" s="5" t="s">
        <v>1997</v>
      </c>
      <c r="B623" s="5" t="s">
        <v>1998</v>
      </c>
      <c r="C623" s="5" t="s">
        <v>55</v>
      </c>
      <c r="D623" s="5" t="s">
        <v>56</v>
      </c>
      <c r="E623" s="5" t="s">
        <v>71</v>
      </c>
      <c r="F623" s="5" t="s">
        <v>72</v>
      </c>
      <c r="G623" s="5" t="s">
        <v>59</v>
      </c>
      <c r="H623" s="5" t="s">
        <v>60</v>
      </c>
      <c r="I623" s="6" t="n">
        <v>0.2</v>
      </c>
      <c r="J623" s="7" t="n">
        <f aca="false">IF(I623="","",1/I623)</f>
        <v>5</v>
      </c>
      <c r="K623" s="8" t="n">
        <v>205.19</v>
      </c>
      <c r="L623" s="9" t="n">
        <v>0.68</v>
      </c>
      <c r="M623" s="10" t="n">
        <v>0.0033</v>
      </c>
      <c r="N623" s="8" t="n">
        <v>203.44</v>
      </c>
      <c r="O623" s="8" t="n">
        <v>203.44</v>
      </c>
      <c r="P623" s="8" t="n">
        <v>207</v>
      </c>
      <c r="Q623" s="8" t="n">
        <v>205.19</v>
      </c>
      <c r="R623" s="11" t="n">
        <v>265</v>
      </c>
      <c r="S623" s="11" t="n">
        <f aca="false">K623*R623</f>
        <v>54375.35</v>
      </c>
      <c r="T623" s="8" t="n">
        <v>159.01</v>
      </c>
      <c r="U623" s="8" t="n">
        <v>252.06</v>
      </c>
      <c r="V623" s="12" t="n">
        <f aca="false">IF(U623-T623=0,"",(K623-T623)/(U623-T623))</f>
        <v>0.496292315959162</v>
      </c>
      <c r="W623" s="13" t="n">
        <f aca="false">IF(U623=0,"",K623/U623-1)</f>
        <v>-0.18594779020868</v>
      </c>
      <c r="X623" s="11" t="n">
        <v>1608986</v>
      </c>
      <c r="Y623" s="5" t="s">
        <v>71</v>
      </c>
      <c r="Z623" s="5" t="s">
        <v>73</v>
      </c>
      <c r="AA623" s="5" t="s">
        <v>72</v>
      </c>
      <c r="AB623" s="5"/>
      <c r="AC623" s="5" t="s">
        <v>1999</v>
      </c>
      <c r="AD623" s="14" t="n">
        <v>46288.771875</v>
      </c>
    </row>
    <row r="624" customFormat="false" ht="15" hidden="false" customHeight="false" outlineLevel="0" collapsed="false">
      <c r="A624" s="5" t="s">
        <v>2000</v>
      </c>
      <c r="B624" s="5" t="s">
        <v>2001</v>
      </c>
      <c r="C624" s="5" t="s">
        <v>55</v>
      </c>
      <c r="D624" s="5" t="s">
        <v>56</v>
      </c>
      <c r="E624" s="5" t="s">
        <v>71</v>
      </c>
      <c r="F624" s="5" t="s">
        <v>72</v>
      </c>
      <c r="G624" s="5" t="s">
        <v>59</v>
      </c>
      <c r="H624" s="5" t="s">
        <v>60</v>
      </c>
      <c r="I624" s="6" t="n">
        <v>0.032258065</v>
      </c>
      <c r="J624" s="7" t="n">
        <f aca="false">IF(I624="","",1/I624)</f>
        <v>30.999999535</v>
      </c>
      <c r="K624" s="8" t="n">
        <v>95.1</v>
      </c>
      <c r="L624" s="9" t="n">
        <v>4.32</v>
      </c>
      <c r="M624" s="10" t="n">
        <v>0.0476</v>
      </c>
      <c r="N624" s="8" t="n">
        <v>90.79</v>
      </c>
      <c r="O624" s="8" t="n">
        <v>90.79</v>
      </c>
      <c r="P624" s="8" t="n">
        <v>95.1</v>
      </c>
      <c r="Q624" s="8" t="n">
        <v>93.19</v>
      </c>
      <c r="R624" s="11" t="n">
        <v>3370</v>
      </c>
      <c r="S624" s="11" t="n">
        <f aca="false">K624*R624</f>
        <v>320487</v>
      </c>
      <c r="T624" s="8" t="n">
        <v>75.78</v>
      </c>
      <c r="U624" s="8" t="n">
        <v>107.99</v>
      </c>
      <c r="V624" s="12" t="n">
        <f aca="false">IF(U624-T624=0,"",(K624-T624)/(U624-T624))</f>
        <v>0.599813722446445</v>
      </c>
      <c r="W624" s="13" t="n">
        <f aca="false">IF(U624=0,"",K624/U624-1)</f>
        <v>-0.11936290397259</v>
      </c>
      <c r="X624" s="11" t="n">
        <v>2492145</v>
      </c>
      <c r="Y624" s="5" t="s">
        <v>71</v>
      </c>
      <c r="Z624" s="5" t="s">
        <v>73</v>
      </c>
      <c r="AA624" s="5" t="s">
        <v>72</v>
      </c>
      <c r="AB624" s="5"/>
      <c r="AC624" s="5" t="s">
        <v>2002</v>
      </c>
      <c r="AD624" s="14" t="n">
        <v>46288.771875</v>
      </c>
    </row>
    <row r="625" customFormat="false" ht="15" hidden="false" customHeight="false" outlineLevel="0" collapsed="false">
      <c r="A625" s="5" t="s">
        <v>2003</v>
      </c>
      <c r="B625" s="5" t="s">
        <v>2004</v>
      </c>
      <c r="C625" s="5" t="s">
        <v>55</v>
      </c>
      <c r="D625" s="5" t="s">
        <v>56</v>
      </c>
      <c r="E625" s="5" t="s">
        <v>115</v>
      </c>
      <c r="F625" s="5" t="s">
        <v>116</v>
      </c>
      <c r="G625" s="5" t="s">
        <v>59</v>
      </c>
      <c r="H625" s="5" t="s">
        <v>60</v>
      </c>
      <c r="I625" s="6" t="n">
        <v>0.04167</v>
      </c>
      <c r="J625" s="7" t="n">
        <f aca="false">IF(I625="","",1/I625)</f>
        <v>23.9980801535877</v>
      </c>
      <c r="K625" s="8" t="n">
        <v>107.61</v>
      </c>
      <c r="L625" s="9" t="n">
        <v>1.86</v>
      </c>
      <c r="M625" s="10" t="n">
        <v>0.0176</v>
      </c>
      <c r="N625" s="8" t="n">
        <v>107.5</v>
      </c>
      <c r="O625" s="8" t="n">
        <v>106.31</v>
      </c>
      <c r="P625" s="8" t="n">
        <v>108.8</v>
      </c>
      <c r="Q625" s="8" t="n">
        <v>107.44</v>
      </c>
      <c r="R625" s="11" t="n">
        <v>182653</v>
      </c>
      <c r="S625" s="11" t="n">
        <f aca="false">K625*R625</f>
        <v>19655289.33</v>
      </c>
      <c r="T625" s="8" t="n">
        <v>75.4</v>
      </c>
      <c r="U625" s="8" t="n">
        <v>124.54</v>
      </c>
      <c r="V625" s="12" t="n">
        <f aca="false">IF(U625-T625=0,"",(K625-T625)/(U625-T625))</f>
        <v>0.655474155474155</v>
      </c>
      <c r="W625" s="13" t="n">
        <f aca="false">IF(U625=0,"",K625/U625-1)</f>
        <v>-0.135940260157379</v>
      </c>
      <c r="X625" s="11" t="n">
        <v>18924880</v>
      </c>
      <c r="Y625" s="5" t="s">
        <v>115</v>
      </c>
      <c r="Z625" s="5" t="s">
        <v>117</v>
      </c>
      <c r="AA625" s="5" t="s">
        <v>116</v>
      </c>
      <c r="AB625" s="5"/>
      <c r="AC625" s="5" t="s">
        <v>2005</v>
      </c>
      <c r="AD625" s="14" t="n">
        <v>46288.771875</v>
      </c>
    </row>
    <row r="626" customFormat="false" ht="15" hidden="false" customHeight="false" outlineLevel="0" collapsed="false">
      <c r="A626" s="5" t="s">
        <v>2006</v>
      </c>
      <c r="B626" s="5" t="s">
        <v>2007</v>
      </c>
      <c r="C626" s="5" t="s">
        <v>55</v>
      </c>
      <c r="D626" s="5" t="s">
        <v>56</v>
      </c>
      <c r="E626" s="5" t="s">
        <v>77</v>
      </c>
      <c r="F626" s="5" t="s">
        <v>78</v>
      </c>
      <c r="G626" s="5" t="s">
        <v>59</v>
      </c>
      <c r="H626" s="5" t="s">
        <v>60</v>
      </c>
      <c r="I626" s="6" t="n">
        <v>0.1666667</v>
      </c>
      <c r="J626" s="7" t="n">
        <f aca="false">IF(I626="","",1/I626)</f>
        <v>5.99999880000024</v>
      </c>
      <c r="K626" s="8" t="n">
        <v>923.5</v>
      </c>
      <c r="L626" s="9" t="n">
        <v>-8.5</v>
      </c>
      <c r="M626" s="10" t="n">
        <v>-0.0091</v>
      </c>
      <c r="N626" s="8" t="n">
        <v>931.52</v>
      </c>
      <c r="O626" s="8" t="n">
        <v>917</v>
      </c>
      <c r="P626" s="8" t="n">
        <v>943</v>
      </c>
      <c r="Q626" s="8" t="n">
        <v>922.69</v>
      </c>
      <c r="R626" s="11" t="n">
        <v>73015</v>
      </c>
      <c r="S626" s="11" t="n">
        <f aca="false">K626*R626</f>
        <v>67429352.5</v>
      </c>
      <c r="T626" s="8" t="n">
        <v>138.32</v>
      </c>
      <c r="U626" s="8" t="n">
        <v>1083.08</v>
      </c>
      <c r="V626" s="12" t="n">
        <f aca="false">IF(U626-T626=0,"",(K626-T626)/(U626-T626))</f>
        <v>0.831089377196325</v>
      </c>
      <c r="W626" s="13" t="n">
        <f aca="false">IF(U626=0,"",K626/U626-1)</f>
        <v>-0.14733907005946</v>
      </c>
      <c r="X626" s="11" t="n">
        <v>6335699</v>
      </c>
      <c r="Y626" s="5" t="s">
        <v>77</v>
      </c>
      <c r="Z626" s="5" t="s">
        <v>79</v>
      </c>
      <c r="AA626" s="5" t="s">
        <v>78</v>
      </c>
      <c r="AB626" s="5"/>
      <c r="AC626" s="5" t="s">
        <v>2008</v>
      </c>
      <c r="AD626" s="14" t="n">
        <v>46288.771875</v>
      </c>
    </row>
    <row r="627" customFormat="false" ht="15" hidden="false" customHeight="false" outlineLevel="0" collapsed="false">
      <c r="A627" s="5" t="s">
        <v>2009</v>
      </c>
      <c r="B627" s="5" t="s">
        <v>2010</v>
      </c>
      <c r="C627" s="5" t="s">
        <v>55</v>
      </c>
      <c r="D627" s="5" t="s">
        <v>56</v>
      </c>
      <c r="E627" s="5" t="s">
        <v>99</v>
      </c>
      <c r="F627" s="5" t="s">
        <v>100</v>
      </c>
      <c r="G627" s="5" t="s">
        <v>59</v>
      </c>
      <c r="H627" s="5" t="s">
        <v>60</v>
      </c>
      <c r="I627" s="6" t="n">
        <v>0.05</v>
      </c>
      <c r="J627" s="7" t="n">
        <f aca="false">IF(I627="","",1/I627)</f>
        <v>20</v>
      </c>
      <c r="K627" s="8" t="n">
        <v>36.1</v>
      </c>
      <c r="L627" s="9" t="n">
        <v>-0.66</v>
      </c>
      <c r="M627" s="10" t="n">
        <v>-0.018</v>
      </c>
      <c r="N627" s="8" t="n">
        <v>36.08</v>
      </c>
      <c r="O627" s="8" t="n">
        <v>36.08</v>
      </c>
      <c r="P627" s="8" t="n">
        <v>36.1</v>
      </c>
      <c r="Q627" s="8" t="n">
        <v>36.1</v>
      </c>
      <c r="R627" s="11" t="n">
        <v>103</v>
      </c>
      <c r="S627" s="11" t="n">
        <f aca="false">K627*R627</f>
        <v>3718.3</v>
      </c>
      <c r="T627" s="8" t="n">
        <v>31.51</v>
      </c>
      <c r="U627" s="8" t="n">
        <v>45.78</v>
      </c>
      <c r="V627" s="12" t="n">
        <f aca="false">IF(U627-T627=0,"",(K627-T627)/(U627-T627))</f>
        <v>0.321653819201121</v>
      </c>
      <c r="W627" s="13" t="n">
        <f aca="false">IF(U627=0,"",K627/U627-1)</f>
        <v>-0.211446046308432</v>
      </c>
      <c r="X627" s="11" t="n">
        <v>74000</v>
      </c>
      <c r="Y627" s="5" t="s">
        <v>99</v>
      </c>
      <c r="Z627" s="5" t="s">
        <v>101</v>
      </c>
      <c r="AA627" s="5" t="s">
        <v>100</v>
      </c>
      <c r="AB627" s="5"/>
      <c r="AC627" s="5" t="s">
        <v>2011</v>
      </c>
      <c r="AD627" s="14" t="n">
        <v>46288.771875</v>
      </c>
    </row>
    <row r="628" customFormat="false" ht="15" hidden="false" customHeight="false" outlineLevel="0" collapsed="false">
      <c r="A628" s="5" t="s">
        <v>2012</v>
      </c>
      <c r="B628" s="5" t="s">
        <v>2013</v>
      </c>
      <c r="C628" s="5" t="s">
        <v>55</v>
      </c>
      <c r="D628" s="5" t="s">
        <v>56</v>
      </c>
      <c r="E628" s="5" t="s">
        <v>182</v>
      </c>
      <c r="F628" s="5" t="s">
        <v>183</v>
      </c>
      <c r="G628" s="5" t="s">
        <v>59</v>
      </c>
      <c r="H628" s="5" t="s">
        <v>60</v>
      </c>
      <c r="I628" s="6" t="n">
        <v>1</v>
      </c>
      <c r="J628" s="7" t="n">
        <f aca="false">IF(I628="","",1/I628)</f>
        <v>1</v>
      </c>
      <c r="K628" s="8" t="n">
        <v>72</v>
      </c>
      <c r="L628" s="9" t="n">
        <v>-1.15</v>
      </c>
      <c r="M628" s="10" t="n">
        <v>-0.0157</v>
      </c>
      <c r="N628" s="8" t="n">
        <v>72.01</v>
      </c>
      <c r="O628" s="8" t="n">
        <v>72</v>
      </c>
      <c r="P628" s="8" t="n">
        <v>72.32</v>
      </c>
      <c r="Q628" s="8" t="n">
        <v>72</v>
      </c>
      <c r="R628" s="11" t="n">
        <v>2007</v>
      </c>
      <c r="S628" s="11" t="n">
        <f aca="false">K628*R628</f>
        <v>144504</v>
      </c>
      <c r="T628" s="8" t="n">
        <v>72</v>
      </c>
      <c r="U628" s="8" t="n">
        <v>134.68</v>
      </c>
      <c r="V628" s="12" t="n">
        <f aca="false">IF(U628-T628=0,"",(K628-T628)/(U628-T628))</f>
        <v>0</v>
      </c>
      <c r="W628" s="13" t="n">
        <f aca="false">IF(U628=0,"",K628/U628-1)</f>
        <v>-0.465399465399465</v>
      </c>
      <c r="X628" s="11" t="n">
        <v>33417</v>
      </c>
      <c r="Y628" s="5" t="s">
        <v>182</v>
      </c>
      <c r="Z628" s="5" t="s">
        <v>184</v>
      </c>
      <c r="AA628" s="5" t="s">
        <v>183</v>
      </c>
      <c r="AB628" s="5"/>
      <c r="AC628" s="5" t="s">
        <v>2014</v>
      </c>
      <c r="AD628" s="14" t="n">
        <v>46288.771875</v>
      </c>
    </row>
    <row r="629" customFormat="false" ht="15" hidden="false" customHeight="false" outlineLevel="0" collapsed="false">
      <c r="A629" s="5" t="s">
        <v>2015</v>
      </c>
      <c r="B629" s="5" t="s">
        <v>2016</v>
      </c>
      <c r="C629" s="5" t="s">
        <v>55</v>
      </c>
      <c r="D629" s="5" t="s">
        <v>56</v>
      </c>
      <c r="E629" s="5" t="s">
        <v>71</v>
      </c>
      <c r="F629" s="5" t="s">
        <v>72</v>
      </c>
      <c r="G629" s="5" t="s">
        <v>59</v>
      </c>
      <c r="H629" s="5" t="s">
        <v>60</v>
      </c>
      <c r="I629" s="6" t="n">
        <v>0.5</v>
      </c>
      <c r="J629" s="7" t="n">
        <f aca="false">IF(I629="","",1/I629)</f>
        <v>2</v>
      </c>
      <c r="K629" s="8" t="n">
        <v>247.2</v>
      </c>
      <c r="L629" s="9" t="n">
        <v>6.12</v>
      </c>
      <c r="M629" s="10" t="n">
        <v>0.0254</v>
      </c>
      <c r="N629" s="8" t="n">
        <v>248.56</v>
      </c>
      <c r="O629" s="8" t="n">
        <v>246.72</v>
      </c>
      <c r="P629" s="8" t="n">
        <v>249.5</v>
      </c>
      <c r="Q629" s="8" t="n">
        <v>247.2</v>
      </c>
      <c r="R629" s="11" t="n">
        <v>46</v>
      </c>
      <c r="S629" s="11" t="n">
        <f aca="false">K629*R629</f>
        <v>11371.2</v>
      </c>
      <c r="T629" s="8" t="n">
        <v>197.96</v>
      </c>
      <c r="U629" s="8" t="n">
        <v>287.15</v>
      </c>
      <c r="V629" s="12" t="n">
        <f aca="false">IF(U629-T629=0,"",(K629-T629)/(U629-T629))</f>
        <v>0.552079829577307</v>
      </c>
      <c r="W629" s="13" t="n">
        <f aca="false">IF(U629=0,"",K629/U629-1)</f>
        <v>-0.139125892390736</v>
      </c>
      <c r="X629" s="11" t="n">
        <v>270334</v>
      </c>
      <c r="Y629" s="5" t="s">
        <v>71</v>
      </c>
      <c r="Z629" s="5" t="s">
        <v>73</v>
      </c>
      <c r="AA629" s="5" t="s">
        <v>72</v>
      </c>
      <c r="AB629" s="5"/>
      <c r="AC629" s="5" t="s">
        <v>2017</v>
      </c>
      <c r="AD629" s="14" t="n">
        <v>46288.771875</v>
      </c>
    </row>
    <row r="630" customFormat="false" ht="15" hidden="false" customHeight="false" outlineLevel="0" collapsed="false">
      <c r="A630" s="5" t="s">
        <v>2018</v>
      </c>
      <c r="B630" s="5" t="s">
        <v>2019</v>
      </c>
      <c r="C630" s="5" t="s">
        <v>55</v>
      </c>
      <c r="D630" s="5" t="s">
        <v>56</v>
      </c>
      <c r="E630" s="5" t="s">
        <v>312</v>
      </c>
      <c r="F630" s="5" t="s">
        <v>313</v>
      </c>
      <c r="G630" s="5" t="s">
        <v>59</v>
      </c>
      <c r="H630" s="5" t="s">
        <v>60</v>
      </c>
      <c r="I630" s="6" t="n">
        <v>1</v>
      </c>
      <c r="J630" s="7" t="n">
        <f aca="false">IF(I630="","",1/I630)</f>
        <v>1</v>
      </c>
      <c r="K630" s="8" t="n">
        <v>629.76</v>
      </c>
      <c r="L630" s="9" t="n">
        <v>-22.57</v>
      </c>
      <c r="M630" s="10" t="n">
        <v>-0.0346</v>
      </c>
      <c r="N630" s="8" t="n">
        <v>635.24</v>
      </c>
      <c r="O630" s="8" t="n">
        <v>622.72</v>
      </c>
      <c r="P630" s="8" t="n">
        <v>641.61</v>
      </c>
      <c r="Q630" s="8" t="n">
        <v>638.88</v>
      </c>
      <c r="R630" s="11" t="n">
        <v>269</v>
      </c>
      <c r="S630" s="11" t="n">
        <f aca="false">K630*R630</f>
        <v>169405.44</v>
      </c>
      <c r="T630" s="8" t="n">
        <v>409.08</v>
      </c>
      <c r="U630" s="8" t="n">
        <v>700</v>
      </c>
      <c r="V630" s="12" t="n">
        <f aca="false">IF(U630-T630=0,"",(K630-T630)/(U630-T630))</f>
        <v>0.758559054035474</v>
      </c>
      <c r="W630" s="13" t="n">
        <f aca="false">IF(U630=0,"",K630/U630-1)</f>
        <v>-0.100342857142857</v>
      </c>
      <c r="X630" s="11" t="n">
        <v>686248</v>
      </c>
      <c r="Y630" s="5" t="s">
        <v>312</v>
      </c>
      <c r="Z630" s="5" t="s">
        <v>314</v>
      </c>
      <c r="AA630" s="5" t="s">
        <v>313</v>
      </c>
      <c r="AB630" s="5"/>
      <c r="AC630" s="5" t="s">
        <v>2020</v>
      </c>
      <c r="AD630" s="14" t="n">
        <v>46288.771875</v>
      </c>
    </row>
    <row r="631" customFormat="false" ht="15" hidden="false" customHeight="false" outlineLevel="0" collapsed="false">
      <c r="A631" s="5" t="s">
        <v>2021</v>
      </c>
      <c r="B631" s="5" t="s">
        <v>2022</v>
      </c>
      <c r="C631" s="5" t="s">
        <v>55</v>
      </c>
      <c r="D631" s="5" t="s">
        <v>56</v>
      </c>
      <c r="E631" s="5" t="s">
        <v>90</v>
      </c>
      <c r="F631" s="5" t="s">
        <v>91</v>
      </c>
      <c r="G631" s="5" t="s">
        <v>59</v>
      </c>
      <c r="H631" s="5" t="s">
        <v>86</v>
      </c>
      <c r="I631" s="6" t="n">
        <v>0.1666</v>
      </c>
      <c r="J631" s="7" t="n">
        <f aca="false">IF(I631="","",1/I631)</f>
        <v>6.00240096038415</v>
      </c>
      <c r="K631" s="8" t="n">
        <v>64.89</v>
      </c>
      <c r="L631" s="9" t="n">
        <v>-0.28</v>
      </c>
      <c r="M631" s="10" t="n">
        <v>-0.0043</v>
      </c>
      <c r="N631" s="8" t="n">
        <v>64.89</v>
      </c>
      <c r="O631" s="8" t="n">
        <v>64.89</v>
      </c>
      <c r="P631" s="8" t="n">
        <v>64.89</v>
      </c>
      <c r="Q631" s="8" t="n">
        <v>64.89</v>
      </c>
      <c r="R631" s="11" t="n">
        <v>1</v>
      </c>
      <c r="S631" s="11" t="n">
        <f aca="false">K631*R631</f>
        <v>64.89</v>
      </c>
      <c r="T631" s="8" t="n">
        <v>63</v>
      </c>
      <c r="U631" s="8" t="n">
        <v>81.21</v>
      </c>
      <c r="V631" s="12" t="n">
        <f aca="false">IF(U631-T631=0,"",(K631-T631)/(U631-T631))</f>
        <v>0.103789126853377</v>
      </c>
      <c r="W631" s="13" t="n">
        <f aca="false">IF(U631=0,"",K631/U631-1)</f>
        <v>-0.200960472848171</v>
      </c>
      <c r="X631" s="11" t="n">
        <v>394802</v>
      </c>
      <c r="Y631" s="5" t="s">
        <v>90</v>
      </c>
      <c r="Z631" s="5" t="s">
        <v>92</v>
      </c>
      <c r="AA631" s="5" t="s">
        <v>91</v>
      </c>
      <c r="AB631" s="5"/>
      <c r="AC631" s="5" t="s">
        <v>2023</v>
      </c>
      <c r="AD631" s="14" t="n">
        <v>46288.771875</v>
      </c>
    </row>
    <row r="632" customFormat="false" ht="15" hidden="false" customHeight="false" outlineLevel="0" collapsed="false">
      <c r="A632" s="5" t="s">
        <v>2024</v>
      </c>
      <c r="B632" s="5" t="s">
        <v>2025</v>
      </c>
      <c r="C632" s="5" t="s">
        <v>55</v>
      </c>
      <c r="D632" s="5" t="s">
        <v>56</v>
      </c>
      <c r="E632" s="5" t="s">
        <v>115</v>
      </c>
      <c r="F632" s="5" t="s">
        <v>116</v>
      </c>
      <c r="G632" s="5" t="s">
        <v>59</v>
      </c>
      <c r="H632" s="5" t="s">
        <v>86</v>
      </c>
      <c r="I632" s="6" t="n">
        <v>0.04</v>
      </c>
      <c r="J632" s="7" t="n">
        <f aca="false">IF(I632="","",1/I632)</f>
        <v>25</v>
      </c>
      <c r="K632" s="8" t="n">
        <v>24.52</v>
      </c>
      <c r="L632" s="9" t="n">
        <v>1.12</v>
      </c>
      <c r="M632" s="10" t="n">
        <v>0.0479</v>
      </c>
      <c r="N632" s="8" t="n">
        <v>24.26</v>
      </c>
      <c r="O632" s="8" t="n">
        <v>24.26</v>
      </c>
      <c r="P632" s="8" t="n">
        <v>25.1</v>
      </c>
      <c r="Q632" s="8" t="n">
        <v>24.52</v>
      </c>
      <c r="R632" s="11" t="n">
        <v>148</v>
      </c>
      <c r="S632" s="11" t="n">
        <f aca="false">K632*R632</f>
        <v>3628.96</v>
      </c>
      <c r="T632" s="8" t="n">
        <v>17.02</v>
      </c>
      <c r="U632" s="8" t="n">
        <v>32.1</v>
      </c>
      <c r="V632" s="12" t="n">
        <f aca="false">IF(U632-T632=0,"",(K632-T632)/(U632-T632))</f>
        <v>0.497347480106101</v>
      </c>
      <c r="W632" s="13" t="n">
        <f aca="false">IF(U632=0,"",K632/U632-1)</f>
        <v>-0.23613707165109</v>
      </c>
      <c r="X632" s="11" t="n">
        <v>35480</v>
      </c>
      <c r="Y632" s="5" t="s">
        <v>115</v>
      </c>
      <c r="Z632" s="5" t="s">
        <v>117</v>
      </c>
      <c r="AA632" s="5" t="s">
        <v>116</v>
      </c>
      <c r="AB632" s="5"/>
      <c r="AC632" s="5" t="s">
        <v>2026</v>
      </c>
      <c r="AD632" s="14" t="n">
        <v>46288.771875</v>
      </c>
    </row>
    <row r="633" customFormat="false" ht="15" hidden="false" customHeight="false" outlineLevel="0" collapsed="false">
      <c r="A633" s="5" t="s">
        <v>2027</v>
      </c>
      <c r="B633" s="5" t="s">
        <v>2028</v>
      </c>
      <c r="C633" s="5" t="s">
        <v>55</v>
      </c>
      <c r="D633" s="5" t="s">
        <v>56</v>
      </c>
      <c r="E633" s="5" t="s">
        <v>90</v>
      </c>
      <c r="F633" s="5" t="s">
        <v>91</v>
      </c>
      <c r="G633" s="5" t="s">
        <v>59</v>
      </c>
      <c r="H633" s="5" t="s">
        <v>60</v>
      </c>
      <c r="I633" s="6" t="n">
        <v>1</v>
      </c>
      <c r="J633" s="7" t="n">
        <f aca="false">IF(I633="","",1/I633)</f>
        <v>1</v>
      </c>
      <c r="K633" s="8" t="n">
        <v>202</v>
      </c>
      <c r="L633" s="9" t="n">
        <v>-4.01</v>
      </c>
      <c r="M633" s="10" t="n">
        <v>-0.0195</v>
      </c>
      <c r="N633" s="8" t="n">
        <v>204.41</v>
      </c>
      <c r="O633" s="8" t="n">
        <v>201.21</v>
      </c>
      <c r="P633" s="8" t="n">
        <v>204.41</v>
      </c>
      <c r="Q633" s="8" t="n">
        <v>202</v>
      </c>
      <c r="R633" s="11" t="n">
        <v>28</v>
      </c>
      <c r="S633" s="11" t="n">
        <f aca="false">K633*R633</f>
        <v>5656</v>
      </c>
      <c r="T633" s="8" t="n">
        <v>201.21</v>
      </c>
      <c r="U633" s="8" t="n">
        <v>246.24</v>
      </c>
      <c r="V633" s="12" t="n">
        <f aca="false">IF(U633-T633=0,"",(K633-T633)/(U633-T633))</f>
        <v>0.0175438596491226</v>
      </c>
      <c r="W633" s="13" t="n">
        <f aca="false">IF(U633=0,"",K633/U633-1)</f>
        <v>-0.17966211825861</v>
      </c>
      <c r="X633" s="11" t="n">
        <v>97875</v>
      </c>
      <c r="Y633" s="5" t="s">
        <v>90</v>
      </c>
      <c r="Z633" s="5" t="s">
        <v>92</v>
      </c>
      <c r="AA633" s="5" t="s">
        <v>91</v>
      </c>
      <c r="AB633" s="5"/>
      <c r="AC633" s="5" t="s">
        <v>2029</v>
      </c>
      <c r="AD633" s="14" t="n">
        <v>46288.771875</v>
      </c>
    </row>
    <row r="634" customFormat="false" ht="15" hidden="false" customHeight="false" outlineLevel="0" collapsed="false">
      <c r="A634" s="5" t="s">
        <v>2030</v>
      </c>
      <c r="B634" s="5" t="s">
        <v>2031</v>
      </c>
      <c r="C634" s="5" t="s">
        <v>55</v>
      </c>
      <c r="D634" s="5" t="s">
        <v>56</v>
      </c>
      <c r="E634" s="5" t="s">
        <v>370</v>
      </c>
      <c r="F634" s="5" t="s">
        <v>371</v>
      </c>
      <c r="G634" s="5" t="s">
        <v>59</v>
      </c>
      <c r="H634" s="5" t="s">
        <v>60</v>
      </c>
      <c r="I634" s="6" t="n">
        <v>1</v>
      </c>
      <c r="J634" s="7" t="n">
        <f aca="false">IF(I634="","",1/I634)</f>
        <v>1</v>
      </c>
      <c r="K634" s="8" t="n">
        <v>109.03</v>
      </c>
      <c r="L634" s="9" t="n">
        <v>-0.31</v>
      </c>
      <c r="M634" s="10" t="n">
        <v>-0.0028</v>
      </c>
      <c r="N634" s="8" t="n">
        <v>109.03</v>
      </c>
      <c r="O634" s="8" t="n">
        <v>109.03</v>
      </c>
      <c r="P634" s="8" t="n">
        <v>109.03</v>
      </c>
      <c r="Q634" s="8" t="n">
        <v>109.03</v>
      </c>
      <c r="R634" s="11" t="n">
        <v>1</v>
      </c>
      <c r="S634" s="11" t="n">
        <f aca="false">K634*R634</f>
        <v>109.03</v>
      </c>
      <c r="T634" s="8" t="n">
        <v>71.19</v>
      </c>
      <c r="U634" s="8" t="n">
        <v>109.56</v>
      </c>
      <c r="V634" s="12" t="n">
        <f aca="false">IF(U634-T634=0,"",(K634-T634)/(U634-T634))</f>
        <v>0.986187125358353</v>
      </c>
      <c r="W634" s="13" t="n">
        <f aca="false">IF(U634=0,"",K634/U634-1)</f>
        <v>-0.0048375319459657</v>
      </c>
      <c r="X634" s="11" t="n">
        <v>36815</v>
      </c>
      <c r="Y634" s="5" t="s">
        <v>370</v>
      </c>
      <c r="Z634" s="5" t="s">
        <v>372</v>
      </c>
      <c r="AA634" s="5" t="s">
        <v>371</v>
      </c>
      <c r="AB634" s="5"/>
      <c r="AC634" s="5" t="s">
        <v>2032</v>
      </c>
      <c r="AD634" s="14" t="n">
        <v>46288.771875</v>
      </c>
    </row>
    <row r="635" customFormat="false" ht="15" hidden="false" customHeight="false" outlineLevel="0" collapsed="false">
      <c r="A635" s="5" t="s">
        <v>2033</v>
      </c>
      <c r="B635" s="5" t="s">
        <v>2034</v>
      </c>
      <c r="C635" s="5" t="s">
        <v>55</v>
      </c>
      <c r="D635" s="5" t="s">
        <v>56</v>
      </c>
      <c r="E635" s="5" t="s">
        <v>115</v>
      </c>
      <c r="F635" s="5" t="s">
        <v>116</v>
      </c>
      <c r="G635" s="5" t="s">
        <v>59</v>
      </c>
      <c r="H635" s="5" t="s">
        <v>60</v>
      </c>
      <c r="I635" s="6" t="n">
        <v>0.02</v>
      </c>
      <c r="J635" s="7" t="n">
        <f aca="false">IF(I635="","",1/I635)</f>
        <v>50</v>
      </c>
      <c r="K635" s="8" t="n">
        <v>14.44</v>
      </c>
      <c r="L635" s="9" t="n">
        <v>0.55</v>
      </c>
      <c r="M635" s="10" t="n">
        <v>0.0396</v>
      </c>
      <c r="N635" s="8" t="n">
        <v>14.12</v>
      </c>
      <c r="O635" s="8" t="n">
        <v>13.97</v>
      </c>
      <c r="P635" s="8" t="n">
        <v>14.55</v>
      </c>
      <c r="Q635" s="8" t="n">
        <v>14.53</v>
      </c>
      <c r="R635" s="11" t="n">
        <v>19819</v>
      </c>
      <c r="S635" s="11" t="n">
        <f aca="false">K635*R635</f>
        <v>286186.36</v>
      </c>
      <c r="T635" s="8" t="n">
        <v>8.18</v>
      </c>
      <c r="U635" s="8" t="n">
        <v>20.708</v>
      </c>
      <c r="V635" s="12" t="n">
        <f aca="false">IF(U635-T635=0,"",(K635-T635)/(U635-T635))</f>
        <v>0.499680715197957</v>
      </c>
      <c r="W635" s="13" t="n">
        <f aca="false">IF(U635=0,"",K635/U635-1)</f>
        <v>-0.302684952675295</v>
      </c>
      <c r="X635" s="11" t="n">
        <v>724964</v>
      </c>
      <c r="Y635" s="5" t="s">
        <v>115</v>
      </c>
      <c r="Z635" s="5" t="s">
        <v>117</v>
      </c>
      <c r="AA635" s="5" t="s">
        <v>116</v>
      </c>
      <c r="AB635" s="5"/>
      <c r="AC635" s="5" t="s">
        <v>2035</v>
      </c>
      <c r="AD635" s="14" t="n">
        <v>46288.771875</v>
      </c>
    </row>
    <row r="636" customFormat="false" ht="15" hidden="false" customHeight="false" outlineLevel="0" collapsed="false">
      <c r="A636" s="5" t="s">
        <v>2036</v>
      </c>
      <c r="B636" s="5" t="s">
        <v>2037</v>
      </c>
      <c r="C636" s="5" t="s">
        <v>55</v>
      </c>
      <c r="D636" s="5" t="s">
        <v>56</v>
      </c>
      <c r="E636" s="5" t="s">
        <v>90</v>
      </c>
      <c r="F636" s="5" t="s">
        <v>91</v>
      </c>
      <c r="G636" s="5" t="s">
        <v>59</v>
      </c>
      <c r="H636" s="5" t="s">
        <v>60</v>
      </c>
      <c r="I636" s="6" t="n">
        <v>0.1</v>
      </c>
      <c r="J636" s="7" t="n">
        <f aca="false">IF(I636="","",1/I636)</f>
        <v>10</v>
      </c>
      <c r="K636" s="8" t="n">
        <v>52.19</v>
      </c>
      <c r="L636" s="9" t="n">
        <v>-0.45</v>
      </c>
      <c r="M636" s="10" t="n">
        <v>-0.0085</v>
      </c>
      <c r="N636" s="8" t="n">
        <v>52.09</v>
      </c>
      <c r="O636" s="8" t="n">
        <v>51.78</v>
      </c>
      <c r="P636" s="8" t="n">
        <v>52.19</v>
      </c>
      <c r="Q636" s="8" t="n">
        <v>52.19</v>
      </c>
      <c r="R636" s="11" t="n">
        <v>370</v>
      </c>
      <c r="S636" s="11" t="n">
        <f aca="false">K636*R636</f>
        <v>19310.3</v>
      </c>
      <c r="T636" s="8" t="n">
        <v>51.78</v>
      </c>
      <c r="U636" s="8" t="n">
        <v>95.883</v>
      </c>
      <c r="V636" s="12" t="n">
        <f aca="false">IF(U636-T636=0,"",(K636-T636)/(U636-T636))</f>
        <v>0.00929641974468849</v>
      </c>
      <c r="W636" s="13" t="n">
        <f aca="false">IF(U636=0,"",K636/U636-1)</f>
        <v>-0.455690789816756</v>
      </c>
      <c r="X636" s="11" t="n">
        <v>110538</v>
      </c>
      <c r="Y636" s="5" t="s">
        <v>90</v>
      </c>
      <c r="Z636" s="5" t="s">
        <v>92</v>
      </c>
      <c r="AA636" s="5" t="s">
        <v>91</v>
      </c>
      <c r="AB636" s="5"/>
      <c r="AC636" s="5" t="s">
        <v>2038</v>
      </c>
      <c r="AD636" s="14" t="n">
        <v>46288.771875</v>
      </c>
    </row>
    <row r="637" customFormat="false" ht="15" hidden="false" customHeight="false" outlineLevel="0" collapsed="false">
      <c r="A637" s="5" t="s">
        <v>2039</v>
      </c>
      <c r="B637" s="5" t="s">
        <v>2040</v>
      </c>
      <c r="C637" s="5" t="s">
        <v>55</v>
      </c>
      <c r="D637" s="5" t="s">
        <v>56</v>
      </c>
      <c r="E637" s="5" t="s">
        <v>77</v>
      </c>
      <c r="F637" s="5" t="s">
        <v>78</v>
      </c>
      <c r="G637" s="5" t="s">
        <v>59</v>
      </c>
      <c r="H637" s="5" t="s">
        <v>60</v>
      </c>
      <c r="I637" s="6" t="n">
        <v>0.071429</v>
      </c>
      <c r="J637" s="7" t="n">
        <f aca="false">IF(I637="","",1/I637)</f>
        <v>13.999916000504</v>
      </c>
      <c r="K637" s="8" t="n">
        <v>72.24</v>
      </c>
      <c r="L637" s="9" t="n">
        <v>1.82</v>
      </c>
      <c r="M637" s="10" t="n">
        <v>0.0258</v>
      </c>
      <c r="N637" s="8" t="n">
        <v>72.24</v>
      </c>
      <c r="O637" s="8" t="n">
        <v>72.24</v>
      </c>
      <c r="P637" s="8" t="n">
        <v>72.24</v>
      </c>
      <c r="Q637" s="8" t="n">
        <v>72.24</v>
      </c>
      <c r="R637" s="11" t="n">
        <v>75</v>
      </c>
      <c r="S637" s="11" t="n">
        <f aca="false">K637*R637</f>
        <v>5418</v>
      </c>
      <c r="T637" s="8" t="n">
        <v>34.40499931</v>
      </c>
      <c r="U637" s="8" t="n">
        <v>78</v>
      </c>
      <c r="V637" s="12" t="n">
        <f aca="false">IF(U637-T637=0,"",(K637-T637)/(U637-T637))</f>
        <v>0.867874758370602</v>
      </c>
      <c r="W637" s="13" t="n">
        <f aca="false">IF(U637=0,"",K637/U637-1)</f>
        <v>-0.0738461538461539</v>
      </c>
      <c r="X637" s="11" t="n">
        <v>193916</v>
      </c>
      <c r="Y637" s="5" t="s">
        <v>77</v>
      </c>
      <c r="Z637" s="5" t="s">
        <v>79</v>
      </c>
      <c r="AA637" s="5" t="s">
        <v>78</v>
      </c>
      <c r="AB637" s="5"/>
      <c r="AC637" s="5" t="s">
        <v>2041</v>
      </c>
      <c r="AD637" s="14" t="n">
        <v>46288.771875</v>
      </c>
    </row>
    <row r="638" customFormat="false" ht="15" hidden="false" customHeight="false" outlineLevel="0" collapsed="false">
      <c r="A638" s="5" t="s">
        <v>2042</v>
      </c>
      <c r="B638" s="5" t="s">
        <v>2043</v>
      </c>
      <c r="C638" s="5" t="s">
        <v>55</v>
      </c>
      <c r="D638" s="5" t="s">
        <v>56</v>
      </c>
      <c r="E638" s="5" t="s">
        <v>312</v>
      </c>
      <c r="F638" s="5" t="s">
        <v>313</v>
      </c>
      <c r="G638" s="5" t="s">
        <v>59</v>
      </c>
      <c r="H638" s="5" t="s">
        <v>60</v>
      </c>
      <c r="I638" s="6" t="n">
        <v>0.08333333</v>
      </c>
      <c r="J638" s="7" t="n">
        <f aca="false">IF(I638="","",1/I638)</f>
        <v>12.00000048</v>
      </c>
      <c r="K638" s="8" t="n">
        <v>103</v>
      </c>
      <c r="L638" s="9" t="n">
        <v>-0.5</v>
      </c>
      <c r="M638" s="10" t="n">
        <v>-0.0048</v>
      </c>
      <c r="N638" s="8" t="n">
        <v>104.2</v>
      </c>
      <c r="O638" s="8" t="n">
        <v>103</v>
      </c>
      <c r="P638" s="8" t="n">
        <v>104.2</v>
      </c>
      <c r="Q638" s="8" t="n">
        <v>103</v>
      </c>
      <c r="R638" s="11" t="n">
        <v>67</v>
      </c>
      <c r="S638" s="11" t="n">
        <f aca="false">K638*R638</f>
        <v>6901</v>
      </c>
      <c r="T638" s="8" t="n">
        <v>59.41</v>
      </c>
      <c r="U638" s="8" t="n">
        <v>118.75</v>
      </c>
      <c r="V638" s="12" t="n">
        <f aca="false">IF(U638-T638=0,"",(K638-T638)/(U638-T638))</f>
        <v>0.734580384226491</v>
      </c>
      <c r="W638" s="13" t="n">
        <f aca="false">IF(U638=0,"",K638/U638-1)</f>
        <v>-0.132631578947368</v>
      </c>
      <c r="X638" s="11" t="n">
        <v>285232</v>
      </c>
      <c r="Y638" s="5" t="s">
        <v>312</v>
      </c>
      <c r="Z638" s="5" t="s">
        <v>314</v>
      </c>
      <c r="AA638" s="5" t="s">
        <v>313</v>
      </c>
      <c r="AB638" s="5"/>
      <c r="AC638" s="5" t="s">
        <v>2044</v>
      </c>
      <c r="AD638" s="14" t="n">
        <v>46288.771875</v>
      </c>
    </row>
    <row r="639" customFormat="false" ht="15" hidden="false" customHeight="false" outlineLevel="0" collapsed="false">
      <c r="A639" s="5" t="s">
        <v>2045</v>
      </c>
      <c r="B639" s="5" t="s">
        <v>2046</v>
      </c>
      <c r="C639" s="5" t="s">
        <v>55</v>
      </c>
      <c r="D639" s="5" t="s">
        <v>56</v>
      </c>
      <c r="E639" s="5" t="s">
        <v>99</v>
      </c>
      <c r="F639" s="5" t="s">
        <v>100</v>
      </c>
      <c r="G639" s="5" t="s">
        <v>59</v>
      </c>
      <c r="H639" s="5" t="s">
        <v>86</v>
      </c>
      <c r="I639" s="6" t="n">
        <v>0.125</v>
      </c>
      <c r="J639" s="7" t="n">
        <f aca="false">IF(I639="","",1/I639)</f>
        <v>8</v>
      </c>
      <c r="K639" s="8" t="n">
        <v>24.75</v>
      </c>
      <c r="L639" s="9" t="n">
        <v>-0.5</v>
      </c>
      <c r="M639" s="10" t="n">
        <v>-0.0198</v>
      </c>
      <c r="N639" s="8" t="n">
        <v>25.07</v>
      </c>
      <c r="O639" s="8" t="n">
        <v>24.69</v>
      </c>
      <c r="P639" s="8" t="n">
        <v>25.08</v>
      </c>
      <c r="Q639" s="8" t="n">
        <v>24.75</v>
      </c>
      <c r="R639" s="11" t="n">
        <v>71593</v>
      </c>
      <c r="S639" s="11" t="n">
        <f aca="false">K639*R639</f>
        <v>1771926.75</v>
      </c>
      <c r="T639" s="8" t="n">
        <v>22.9</v>
      </c>
      <c r="U639" s="8" t="n">
        <v>42.43</v>
      </c>
      <c r="V639" s="12" t="n">
        <f aca="false">IF(U639-T639=0,"",(K639-T639)/(U639-T639))</f>
        <v>0.094726062467998</v>
      </c>
      <c r="W639" s="13" t="n">
        <f aca="false">IF(U639=0,"",K639/U639-1)</f>
        <v>-0.416686306858355</v>
      </c>
      <c r="X639" s="11" t="n">
        <v>897111</v>
      </c>
      <c r="Y639" s="5" t="s">
        <v>99</v>
      </c>
      <c r="Z639" s="5" t="s">
        <v>101</v>
      </c>
      <c r="AA639" s="5" t="s">
        <v>100</v>
      </c>
      <c r="AB639" s="5"/>
      <c r="AC639" s="5" t="s">
        <v>2047</v>
      </c>
      <c r="AD639" s="14" t="n">
        <v>46288.771875</v>
      </c>
    </row>
    <row r="640" customFormat="false" ht="15" hidden="false" customHeight="false" outlineLevel="0" collapsed="false">
      <c r="A640" s="5" t="s">
        <v>2048</v>
      </c>
      <c r="B640" s="5" t="s">
        <v>2049</v>
      </c>
      <c r="C640" s="5" t="s">
        <v>55</v>
      </c>
      <c r="D640" s="5" t="s">
        <v>56</v>
      </c>
      <c r="E640" s="5" t="s">
        <v>99</v>
      </c>
      <c r="F640" s="5" t="s">
        <v>100</v>
      </c>
      <c r="G640" s="5" t="s">
        <v>59</v>
      </c>
      <c r="H640" s="5" t="s">
        <v>86</v>
      </c>
      <c r="I640" s="6" t="n">
        <v>0.1</v>
      </c>
      <c r="J640" s="7" t="n">
        <f aca="false">IF(I640="","",1/I640)</f>
        <v>10</v>
      </c>
      <c r="K640" s="8" t="n">
        <v>73.78</v>
      </c>
      <c r="L640" s="9" t="n">
        <v>1.19</v>
      </c>
      <c r="M640" s="10" t="n">
        <v>0.0164</v>
      </c>
      <c r="N640" s="8" t="n">
        <v>72.94</v>
      </c>
      <c r="O640" s="8" t="n">
        <v>72.94</v>
      </c>
      <c r="P640" s="8" t="n">
        <v>74</v>
      </c>
      <c r="Q640" s="8" t="n">
        <v>73.78</v>
      </c>
      <c r="R640" s="11" t="n">
        <v>181</v>
      </c>
      <c r="S640" s="11" t="n">
        <f aca="false">K640*R640</f>
        <v>13354.18</v>
      </c>
      <c r="T640" s="8" t="n">
        <v>65.03</v>
      </c>
      <c r="U640" s="8" t="n">
        <v>87.3</v>
      </c>
      <c r="V640" s="12" t="n">
        <f aca="false">IF(U640-T640=0,"",(K640-T640)/(U640-T640))</f>
        <v>0.392905253704535</v>
      </c>
      <c r="W640" s="13" t="n">
        <f aca="false">IF(U640=0,"",K640/U640-1)</f>
        <v>-0.154868270332188</v>
      </c>
      <c r="X640" s="11" t="n">
        <v>1329847</v>
      </c>
      <c r="Y640" s="5" t="s">
        <v>99</v>
      </c>
      <c r="Z640" s="5" t="s">
        <v>101</v>
      </c>
      <c r="AA640" s="5" t="s">
        <v>100</v>
      </c>
      <c r="AB640" s="5"/>
      <c r="AC640" s="5" t="s">
        <v>2050</v>
      </c>
      <c r="AD640" s="14" t="n">
        <v>46288.771875</v>
      </c>
    </row>
    <row r="641" customFormat="false" ht="15" hidden="false" customHeight="false" outlineLevel="0" collapsed="false">
      <c r="A641" s="5" t="s">
        <v>2051</v>
      </c>
      <c r="B641" s="5" t="s">
        <v>2052</v>
      </c>
      <c r="C641" s="5" t="s">
        <v>55</v>
      </c>
      <c r="D641" s="5" t="s">
        <v>56</v>
      </c>
      <c r="E641" s="5" t="s">
        <v>71</v>
      </c>
      <c r="F641" s="5" t="s">
        <v>72</v>
      </c>
      <c r="G641" s="5" t="s">
        <v>59</v>
      </c>
      <c r="H641" s="5" t="s">
        <v>86</v>
      </c>
      <c r="I641" s="6" t="n">
        <v>1</v>
      </c>
      <c r="J641" s="7" t="n">
        <f aca="false">IF(I641="","",1/I641)</f>
        <v>1</v>
      </c>
      <c r="K641" s="8" t="n">
        <v>92.61</v>
      </c>
      <c r="L641" s="9" t="n">
        <v>-4.09</v>
      </c>
      <c r="M641" s="10" t="n">
        <v>-0.0423</v>
      </c>
      <c r="N641" s="8" t="n">
        <v>94</v>
      </c>
      <c r="O641" s="8" t="n">
        <v>92.43</v>
      </c>
      <c r="P641" s="8" t="n">
        <v>94</v>
      </c>
      <c r="Q641" s="8" t="n">
        <v>92.61</v>
      </c>
      <c r="R641" s="11" t="n">
        <v>787</v>
      </c>
      <c r="S641" s="11" t="n">
        <f aca="false">K641*R641</f>
        <v>72884.07</v>
      </c>
      <c r="T641" s="8" t="n">
        <v>72.83</v>
      </c>
      <c r="U641" s="8" t="n">
        <v>105.58</v>
      </c>
      <c r="V641" s="12" t="n">
        <f aca="false">IF(U641-T641=0,"",(K641-T641)/(U641-T641))</f>
        <v>0.603969465648855</v>
      </c>
      <c r="W641" s="13" t="n">
        <f aca="false">IF(U641=0,"",K641/U641-1)</f>
        <v>-0.122845235840121</v>
      </c>
      <c r="X641" s="11" t="n">
        <v>376457</v>
      </c>
      <c r="Y641" s="5" t="s">
        <v>71</v>
      </c>
      <c r="Z641" s="5" t="s">
        <v>73</v>
      </c>
      <c r="AA641" s="5" t="s">
        <v>72</v>
      </c>
      <c r="AB641" s="5"/>
      <c r="AC641" s="5" t="s">
        <v>2053</v>
      </c>
      <c r="AD641" s="14" t="n">
        <v>46288.771875</v>
      </c>
    </row>
    <row r="642" customFormat="false" ht="15" hidden="false" customHeight="false" outlineLevel="0" collapsed="false">
      <c r="A642" s="5" t="s">
        <v>2054</v>
      </c>
      <c r="B642" s="5" t="s">
        <v>2055</v>
      </c>
      <c r="C642" s="5" t="s">
        <v>55</v>
      </c>
      <c r="D642" s="5" t="s">
        <v>56</v>
      </c>
      <c r="E642" s="5" t="s">
        <v>77</v>
      </c>
      <c r="F642" s="5" t="s">
        <v>78</v>
      </c>
      <c r="G642" s="5" t="s">
        <v>59</v>
      </c>
      <c r="H642" s="5" t="s">
        <v>60</v>
      </c>
      <c r="I642" s="6" t="n">
        <v>0.05</v>
      </c>
      <c r="J642" s="7" t="n">
        <f aca="false">IF(I642="","",1/I642)</f>
        <v>20</v>
      </c>
      <c r="K642" s="8" t="n">
        <v>61.08</v>
      </c>
      <c r="L642" s="9" t="n">
        <v>0.22</v>
      </c>
      <c r="M642" s="10" t="n">
        <v>0.0036</v>
      </c>
      <c r="N642" s="8" t="n">
        <v>60.56</v>
      </c>
      <c r="O642" s="8" t="n">
        <v>60.4</v>
      </c>
      <c r="P642" s="8" t="n">
        <v>61.08</v>
      </c>
      <c r="Q642" s="8" t="n">
        <v>61.08</v>
      </c>
      <c r="R642" s="11" t="n">
        <v>9</v>
      </c>
      <c r="S642" s="11" t="n">
        <f aca="false">K642*R642</f>
        <v>549.72</v>
      </c>
      <c r="T642" s="8" t="n">
        <v>50.07</v>
      </c>
      <c r="U642" s="8" t="n">
        <v>83.209</v>
      </c>
      <c r="V642" s="12" t="n">
        <f aca="false">IF(U642-T642=0,"",(K642-T642)/(U642-T642))</f>
        <v>0.332236941368176</v>
      </c>
      <c r="W642" s="13" t="n">
        <f aca="false">IF(U642=0,"",K642/U642-1)</f>
        <v>-0.265944789626122</v>
      </c>
      <c r="X642" s="11" t="n">
        <v>306585</v>
      </c>
      <c r="Y642" s="5" t="s">
        <v>77</v>
      </c>
      <c r="Z642" s="5" t="s">
        <v>79</v>
      </c>
      <c r="AA642" s="5" t="s">
        <v>78</v>
      </c>
      <c r="AB642" s="5"/>
      <c r="AC642" s="5" t="s">
        <v>2056</v>
      </c>
      <c r="AD642" s="14" t="n">
        <v>46288.771875</v>
      </c>
    </row>
    <row r="643" customFormat="false" ht="15" hidden="false" customHeight="false" outlineLevel="0" collapsed="false">
      <c r="A643" s="5" t="s">
        <v>2057</v>
      </c>
      <c r="B643" s="5" t="s">
        <v>2058</v>
      </c>
      <c r="C643" s="5" t="s">
        <v>55</v>
      </c>
      <c r="D643" s="5" t="s">
        <v>56</v>
      </c>
      <c r="E643" s="5" t="s">
        <v>115</v>
      </c>
      <c r="F643" s="5" t="s">
        <v>116</v>
      </c>
      <c r="G643" s="5" t="s">
        <v>59</v>
      </c>
      <c r="H643" s="5" t="s">
        <v>60</v>
      </c>
      <c r="I643" s="6" t="n">
        <v>0.0555</v>
      </c>
      <c r="J643" s="7" t="n">
        <f aca="false">IF(I643="","",1/I643)</f>
        <v>18.018018018018</v>
      </c>
      <c r="K643" s="8" t="n">
        <v>101.62</v>
      </c>
      <c r="L643" s="9" t="n">
        <v>0.99</v>
      </c>
      <c r="M643" s="10" t="n">
        <v>0.0098</v>
      </c>
      <c r="N643" s="8" t="n">
        <v>103</v>
      </c>
      <c r="O643" s="8" t="n">
        <v>101.62</v>
      </c>
      <c r="P643" s="8" t="n">
        <v>103</v>
      </c>
      <c r="Q643" s="8" t="n">
        <v>101.62</v>
      </c>
      <c r="R643" s="11" t="n">
        <v>49095</v>
      </c>
      <c r="S643" s="11" t="n">
        <f aca="false">K643*R643</f>
        <v>4989033.9</v>
      </c>
      <c r="T643" s="8" t="n">
        <v>45</v>
      </c>
      <c r="U643" s="8" t="n">
        <v>103</v>
      </c>
      <c r="V643" s="12" t="n">
        <f aca="false">IF(U643-T643=0,"",(K643-T643)/(U643-T643))</f>
        <v>0.976206896551724</v>
      </c>
      <c r="W643" s="13" t="n">
        <f aca="false">IF(U643=0,"",K643/U643-1)</f>
        <v>-0.0133980582524271</v>
      </c>
      <c r="X643" s="11" t="n">
        <v>643276</v>
      </c>
      <c r="Y643" s="5" t="s">
        <v>115</v>
      </c>
      <c r="Z643" s="5" t="s">
        <v>117</v>
      </c>
      <c r="AA643" s="5" t="s">
        <v>116</v>
      </c>
      <c r="AB643" s="5"/>
      <c r="AC643" s="5" t="s">
        <v>2059</v>
      </c>
      <c r="AD643" s="14" t="n">
        <v>46288.771875</v>
      </c>
    </row>
    <row r="644" customFormat="false" ht="15" hidden="false" customHeight="false" outlineLevel="0" collapsed="false">
      <c r="A644" s="5" t="s">
        <v>2060</v>
      </c>
      <c r="B644" s="5" t="s">
        <v>2061</v>
      </c>
      <c r="C644" s="5" t="s">
        <v>55</v>
      </c>
      <c r="D644" s="5" t="s">
        <v>56</v>
      </c>
      <c r="E644" s="5" t="s">
        <v>71</v>
      </c>
      <c r="F644" s="5" t="s">
        <v>72</v>
      </c>
      <c r="G644" s="5" t="s">
        <v>59</v>
      </c>
      <c r="H644" s="5"/>
      <c r="I644" s="6"/>
      <c r="J644" s="7" t="str">
        <f aca="false">IF(I644="","",1/I644)</f>
        <v/>
      </c>
      <c r="K644" s="8" t="n">
        <v>109.03</v>
      </c>
      <c r="L644" s="9" t="n">
        <v>-0.75</v>
      </c>
      <c r="M644" s="10" t="n">
        <v>-0.0068</v>
      </c>
      <c r="N644" s="8" t="n">
        <v>110.68</v>
      </c>
      <c r="O644" s="8" t="n">
        <v>108.81</v>
      </c>
      <c r="P644" s="8" t="n">
        <v>110.84</v>
      </c>
      <c r="Q644" s="8" t="n">
        <v>109.03</v>
      </c>
      <c r="R644" s="11" t="n">
        <v>27</v>
      </c>
      <c r="S644" s="11" t="n">
        <f aca="false">K644*R644</f>
        <v>2943.81</v>
      </c>
      <c r="T644" s="8" t="n">
        <v>103.5</v>
      </c>
      <c r="U644" s="8" t="n">
        <v>129.97</v>
      </c>
      <c r="V644" s="12" t="n">
        <f aca="false">IF(U644-T644=0,"",(K644-T644)/(U644-T644))</f>
        <v>0.208915753683415</v>
      </c>
      <c r="W644" s="13" t="n">
        <f aca="false">IF(U644=0,"",K644/U644-1)</f>
        <v>-0.161114103254597</v>
      </c>
      <c r="X644" s="11" t="n">
        <v>82700</v>
      </c>
      <c r="Y644" s="5" t="s">
        <v>71</v>
      </c>
      <c r="Z644" s="5" t="s">
        <v>73</v>
      </c>
      <c r="AA644" s="5" t="s">
        <v>72</v>
      </c>
      <c r="AB644" s="5" t="s">
        <v>111</v>
      </c>
      <c r="AC644" s="5" t="s">
        <v>2062</v>
      </c>
      <c r="AD644" s="14" t="n">
        <v>46288.771875</v>
      </c>
    </row>
    <row r="645" customFormat="false" ht="15" hidden="false" customHeight="false" outlineLevel="0" collapsed="false">
      <c r="A645" s="5" t="s">
        <v>2063</v>
      </c>
      <c r="B645" s="5" t="s">
        <v>2064</v>
      </c>
      <c r="C645" s="5" t="s">
        <v>55</v>
      </c>
      <c r="D645" s="5" t="s">
        <v>56</v>
      </c>
      <c r="E645" s="5" t="s">
        <v>115</v>
      </c>
      <c r="F645" s="5" t="s">
        <v>116</v>
      </c>
      <c r="G645" s="5" t="s">
        <v>59</v>
      </c>
      <c r="H645" s="5" t="s">
        <v>60</v>
      </c>
      <c r="I645" s="6" t="n">
        <v>0.25</v>
      </c>
      <c r="J645" s="7" t="n">
        <f aca="false">IF(I645="","",1/I645)</f>
        <v>4</v>
      </c>
      <c r="K645" s="8" t="n">
        <v>89.01</v>
      </c>
      <c r="L645" s="9" t="n">
        <v>1.35</v>
      </c>
      <c r="M645" s="10" t="n">
        <v>0.0154</v>
      </c>
      <c r="N645" s="8" t="n">
        <v>89.01</v>
      </c>
      <c r="O645" s="8" t="n">
        <v>89.01</v>
      </c>
      <c r="P645" s="8" t="n">
        <v>89.01</v>
      </c>
      <c r="Q645" s="8" t="n">
        <v>89.01</v>
      </c>
      <c r="R645" s="11" t="n">
        <v>2</v>
      </c>
      <c r="S645" s="11" t="n">
        <f aca="false">K645*R645</f>
        <v>178.02</v>
      </c>
      <c r="T645" s="8" t="n">
        <v>48.56</v>
      </c>
      <c r="U645" s="8" t="n">
        <v>98.5</v>
      </c>
      <c r="V645" s="12" t="n">
        <f aca="false">IF(U645-T645=0,"",(K645-T645)/(U645-T645))</f>
        <v>0.809971966359632</v>
      </c>
      <c r="W645" s="13" t="n">
        <f aca="false">IF(U645=0,"",K645/U645-1)</f>
        <v>-0.0963451776649745</v>
      </c>
      <c r="X645" s="11" t="n">
        <v>95890</v>
      </c>
      <c r="Y645" s="5" t="s">
        <v>115</v>
      </c>
      <c r="Z645" s="5" t="s">
        <v>117</v>
      </c>
      <c r="AA645" s="5" t="s">
        <v>116</v>
      </c>
      <c r="AB645" s="5"/>
      <c r="AC645" s="5" t="s">
        <v>2065</v>
      </c>
      <c r="AD645" s="14" t="n">
        <v>46288.771875</v>
      </c>
    </row>
    <row r="646" customFormat="false" ht="15" hidden="false" customHeight="false" outlineLevel="0" collapsed="false">
      <c r="A646" s="5" t="s">
        <v>2066</v>
      </c>
      <c r="B646" s="5" t="s">
        <v>2067</v>
      </c>
      <c r="C646" s="5" t="s">
        <v>55</v>
      </c>
      <c r="D646" s="5" t="s">
        <v>56</v>
      </c>
      <c r="E646" s="5" t="s">
        <v>99</v>
      </c>
      <c r="F646" s="5" t="s">
        <v>100</v>
      </c>
      <c r="G646" s="5" t="s">
        <v>59</v>
      </c>
      <c r="H646" s="5" t="s">
        <v>60</v>
      </c>
      <c r="I646" s="6" t="n">
        <v>0.1</v>
      </c>
      <c r="J646" s="7" t="n">
        <f aca="false">IF(I646="","",1/I646)</f>
        <v>10</v>
      </c>
      <c r="K646" s="8" t="n">
        <v>8.6</v>
      </c>
      <c r="L646" s="9" t="n">
        <v>0.15</v>
      </c>
      <c r="M646" s="10" t="n">
        <v>0.0178</v>
      </c>
      <c r="N646" s="8" t="n">
        <v>8.5</v>
      </c>
      <c r="O646" s="8" t="n">
        <v>8.5</v>
      </c>
      <c r="P646" s="8" t="n">
        <v>8.6</v>
      </c>
      <c r="Q646" s="8" t="n">
        <v>8.6</v>
      </c>
      <c r="R646" s="11" t="n">
        <v>7</v>
      </c>
      <c r="S646" s="11" t="n">
        <f aca="false">K646*R646</f>
        <v>60.2</v>
      </c>
      <c r="T646" s="8" t="n">
        <v>5.18</v>
      </c>
      <c r="U646" s="8" t="n">
        <v>10.4</v>
      </c>
      <c r="V646" s="12" t="n">
        <f aca="false">IF(U646-T646=0,"",(K646-T646)/(U646-T646))</f>
        <v>0.655172413793103</v>
      </c>
      <c r="W646" s="13" t="n">
        <f aca="false">IF(U646=0,"",K646/U646-1)</f>
        <v>-0.173076923076923</v>
      </c>
      <c r="X646" s="11" t="n">
        <v>9934</v>
      </c>
      <c r="Y646" s="5" t="s">
        <v>99</v>
      </c>
      <c r="Z646" s="5" t="s">
        <v>101</v>
      </c>
      <c r="AA646" s="5" t="s">
        <v>100</v>
      </c>
      <c r="AB646" s="5"/>
      <c r="AC646" s="5" t="s">
        <v>2068</v>
      </c>
      <c r="AD646" s="14" t="n">
        <v>46288.771875</v>
      </c>
    </row>
    <row r="647" customFormat="false" ht="15" hidden="false" customHeight="false" outlineLevel="0" collapsed="false">
      <c r="A647" s="5" t="s">
        <v>2069</v>
      </c>
      <c r="B647" s="5" t="s">
        <v>2070</v>
      </c>
      <c r="C647" s="5" t="s">
        <v>55</v>
      </c>
      <c r="D647" s="5" t="s">
        <v>56</v>
      </c>
      <c r="E647" s="5" t="s">
        <v>115</v>
      </c>
      <c r="F647" s="5" t="s">
        <v>116</v>
      </c>
      <c r="G647" s="5" t="s">
        <v>59</v>
      </c>
      <c r="H647" s="5" t="s">
        <v>86</v>
      </c>
      <c r="I647" s="6" t="n">
        <v>0.1</v>
      </c>
      <c r="J647" s="7" t="n">
        <f aca="false">IF(I647="","",1/I647)</f>
        <v>10</v>
      </c>
      <c r="K647" s="8" t="n">
        <v>60.24</v>
      </c>
      <c r="L647" s="9" t="n">
        <v>-0.41</v>
      </c>
      <c r="M647" s="10" t="n">
        <v>-0.0068</v>
      </c>
      <c r="N647" s="8" t="n">
        <v>60.51</v>
      </c>
      <c r="O647" s="8" t="n">
        <v>60.24</v>
      </c>
      <c r="P647" s="8" t="n">
        <v>60.51</v>
      </c>
      <c r="Q647" s="8" t="n">
        <v>60.24</v>
      </c>
      <c r="R647" s="11" t="n">
        <v>3</v>
      </c>
      <c r="S647" s="11" t="n">
        <f aca="false">K647*R647</f>
        <v>180.72</v>
      </c>
      <c r="T647" s="8" t="n">
        <v>54.11</v>
      </c>
      <c r="U647" s="8" t="n">
        <v>83.18</v>
      </c>
      <c r="V647" s="12" t="n">
        <f aca="false">IF(U647-T647=0,"",(K647-T647)/(U647-T647))</f>
        <v>0.210870313037496</v>
      </c>
      <c r="W647" s="13" t="n">
        <f aca="false">IF(U647=0,"",K647/U647-1)</f>
        <v>-0.275787448905987</v>
      </c>
      <c r="X647" s="11" t="n">
        <v>384690</v>
      </c>
      <c r="Y647" s="5" t="s">
        <v>115</v>
      </c>
      <c r="Z647" s="5" t="s">
        <v>117</v>
      </c>
      <c r="AA647" s="5" t="s">
        <v>116</v>
      </c>
      <c r="AB647" s="5"/>
      <c r="AC647" s="5" t="s">
        <v>2071</v>
      </c>
      <c r="AD647" s="14" t="n">
        <v>46288.771875</v>
      </c>
    </row>
    <row r="648" customFormat="false" ht="15" hidden="false" customHeight="false" outlineLevel="0" collapsed="false">
      <c r="A648" s="5" t="s">
        <v>2072</v>
      </c>
      <c r="B648" s="5" t="s">
        <v>2073</v>
      </c>
      <c r="C648" s="5" t="s">
        <v>55</v>
      </c>
      <c r="D648" s="5" t="s">
        <v>56</v>
      </c>
      <c r="E648" s="5" t="s">
        <v>90</v>
      </c>
      <c r="F648" s="5" t="s">
        <v>91</v>
      </c>
      <c r="G648" s="5" t="s">
        <v>59</v>
      </c>
      <c r="H648" s="5" t="s">
        <v>60</v>
      </c>
      <c r="I648" s="6" t="n">
        <v>0.25</v>
      </c>
      <c r="J648" s="7" t="n">
        <f aca="false">IF(I648="","",1/I648)</f>
        <v>4</v>
      </c>
      <c r="K648" s="8" t="n">
        <v>99.69</v>
      </c>
      <c r="L648" s="9" t="n">
        <v>-1.86</v>
      </c>
      <c r="M648" s="10" t="n">
        <v>-0.0183</v>
      </c>
      <c r="N648" s="8" t="n">
        <v>102.57</v>
      </c>
      <c r="O648" s="8" t="n">
        <v>99.5</v>
      </c>
      <c r="P648" s="8" t="n">
        <v>102.57</v>
      </c>
      <c r="Q648" s="8" t="n">
        <v>99.69</v>
      </c>
      <c r="R648" s="11" t="n">
        <v>340</v>
      </c>
      <c r="S648" s="11" t="n">
        <f aca="false">K648*R648</f>
        <v>33894.6</v>
      </c>
      <c r="T648" s="8" t="n">
        <v>98.16</v>
      </c>
      <c r="U648" s="8" t="n">
        <v>125.99</v>
      </c>
      <c r="V648" s="12" t="n">
        <f aca="false">IF(U648-T648=0,"",(K648-T648)/(U648-T648))</f>
        <v>0.0549766439094503</v>
      </c>
      <c r="W648" s="13" t="n">
        <f aca="false">IF(U648=0,"",K648/U648-1)</f>
        <v>-0.208746725930629</v>
      </c>
      <c r="X648" s="11" t="n">
        <v>846134</v>
      </c>
      <c r="Y648" s="5" t="s">
        <v>90</v>
      </c>
      <c r="Z648" s="5" t="s">
        <v>92</v>
      </c>
      <c r="AA648" s="5" t="s">
        <v>91</v>
      </c>
      <c r="AB648" s="5"/>
      <c r="AC648" s="5" t="s">
        <v>2074</v>
      </c>
      <c r="AD648" s="14" t="n">
        <v>46288.771875</v>
      </c>
    </row>
    <row r="649" customFormat="false" ht="15" hidden="false" customHeight="false" outlineLevel="0" collapsed="false">
      <c r="A649" s="5" t="s">
        <v>2075</v>
      </c>
      <c r="B649" s="5" t="s">
        <v>2076</v>
      </c>
      <c r="C649" s="5" t="s">
        <v>55</v>
      </c>
      <c r="D649" s="5" t="s">
        <v>56</v>
      </c>
      <c r="E649" s="5" t="s">
        <v>115</v>
      </c>
      <c r="F649" s="5" t="s">
        <v>116</v>
      </c>
      <c r="G649" s="5" t="s">
        <v>59</v>
      </c>
      <c r="H649" s="5" t="s">
        <v>60</v>
      </c>
      <c r="I649" s="6" t="n">
        <v>0.02</v>
      </c>
      <c r="J649" s="7" t="n">
        <f aca="false">IF(I649="","",1/I649)</f>
        <v>50</v>
      </c>
      <c r="K649" s="8" t="n">
        <v>7.36</v>
      </c>
      <c r="L649" s="9" t="n">
        <v>0.03</v>
      </c>
      <c r="M649" s="10" t="n">
        <v>0.0041</v>
      </c>
      <c r="N649" s="8" t="n">
        <v>7.43</v>
      </c>
      <c r="O649" s="8" t="n">
        <v>7.31</v>
      </c>
      <c r="P649" s="8" t="n">
        <v>7.46</v>
      </c>
      <c r="Q649" s="8" t="n">
        <v>7.37</v>
      </c>
      <c r="R649" s="11" t="n">
        <v>823448</v>
      </c>
      <c r="S649" s="11" t="n">
        <f aca="false">K649*R649</f>
        <v>6060577.28</v>
      </c>
      <c r="T649" s="8" t="n">
        <v>6.68</v>
      </c>
      <c r="U649" s="8" t="n">
        <v>13.665</v>
      </c>
      <c r="V649" s="12" t="n">
        <f aca="false">IF(U649-T649=0,"",(K649-T649)/(U649-T649))</f>
        <v>0.0973514674302077</v>
      </c>
      <c r="W649" s="13" t="n">
        <f aca="false">IF(U649=0,"",K649/U649-1)</f>
        <v>-0.461397731430662</v>
      </c>
      <c r="X649" s="11" t="n">
        <v>1537717</v>
      </c>
      <c r="Y649" s="5" t="s">
        <v>115</v>
      </c>
      <c r="Z649" s="5" t="s">
        <v>117</v>
      </c>
      <c r="AA649" s="5" t="s">
        <v>116</v>
      </c>
      <c r="AB649" s="5"/>
      <c r="AC649" s="5" t="s">
        <v>2077</v>
      </c>
      <c r="AD649" s="14" t="n">
        <v>46288.771875</v>
      </c>
    </row>
    <row r="650" customFormat="false" ht="15" hidden="false" customHeight="false" outlineLevel="0" collapsed="false">
      <c r="A650" s="5" t="s">
        <v>2078</v>
      </c>
      <c r="B650" s="5" t="s">
        <v>2079</v>
      </c>
      <c r="C650" s="5" t="s">
        <v>55</v>
      </c>
      <c r="D650" s="5" t="s">
        <v>56</v>
      </c>
      <c r="E650" s="5" t="s">
        <v>273</v>
      </c>
      <c r="F650" s="5" t="s">
        <v>274</v>
      </c>
      <c r="G650" s="5" t="s">
        <v>59</v>
      </c>
      <c r="H650" s="5" t="s">
        <v>60</v>
      </c>
      <c r="I650" s="6" t="n">
        <v>0.1</v>
      </c>
      <c r="J650" s="7" t="n">
        <f aca="false">IF(I650="","",1/I650)</f>
        <v>10</v>
      </c>
      <c r="K650" s="8" t="n">
        <v>18.43</v>
      </c>
      <c r="L650" s="9" t="n">
        <v>0.03</v>
      </c>
      <c r="M650" s="10" t="n">
        <v>0.0016</v>
      </c>
      <c r="N650" s="8" t="n">
        <v>18.79</v>
      </c>
      <c r="O650" s="8" t="n">
        <v>18.4</v>
      </c>
      <c r="P650" s="8" t="n">
        <v>18.79</v>
      </c>
      <c r="Q650" s="8" t="n">
        <v>18.49</v>
      </c>
      <c r="R650" s="11" t="n">
        <v>63304</v>
      </c>
      <c r="S650" s="11" t="n">
        <f aca="false">K650*R650</f>
        <v>1166692.72</v>
      </c>
      <c r="T650" s="8" t="n">
        <v>18.09</v>
      </c>
      <c r="U650" s="8" t="n">
        <v>41.01</v>
      </c>
      <c r="V650" s="12" t="n">
        <f aca="false">IF(U650-T650=0,"",(K650-T650)/(U650-T650))</f>
        <v>0.0148342059336824</v>
      </c>
      <c r="W650" s="13" t="n">
        <f aca="false">IF(U650=0,"",K650/U650-1)</f>
        <v>-0.55059741526457</v>
      </c>
      <c r="X650" s="11" t="n">
        <v>274075</v>
      </c>
      <c r="Y650" s="5" t="s">
        <v>273</v>
      </c>
      <c r="Z650" s="5" t="s">
        <v>275</v>
      </c>
      <c r="AA650" s="5" t="s">
        <v>274</v>
      </c>
      <c r="AB650" s="5"/>
      <c r="AC650" s="5" t="s">
        <v>2080</v>
      </c>
      <c r="AD650" s="14" t="n">
        <v>46288.771875</v>
      </c>
    </row>
    <row r="651" customFormat="false" ht="15" hidden="false" customHeight="false" outlineLevel="0" collapsed="false">
      <c r="A651" s="5" t="s">
        <v>2081</v>
      </c>
      <c r="B651" s="5" t="s">
        <v>2082</v>
      </c>
      <c r="C651" s="5" t="s">
        <v>55</v>
      </c>
      <c r="D651" s="5" t="s">
        <v>56</v>
      </c>
      <c r="E651" s="5" t="s">
        <v>77</v>
      </c>
      <c r="F651" s="5" t="s">
        <v>78</v>
      </c>
      <c r="G651" s="5" t="s">
        <v>59</v>
      </c>
      <c r="H651" s="5" t="s">
        <v>60</v>
      </c>
      <c r="I651" s="6" t="n">
        <v>0.02</v>
      </c>
      <c r="J651" s="7" t="n">
        <f aca="false">IF(I651="","",1/I651)</f>
        <v>50</v>
      </c>
      <c r="K651" s="8" t="n">
        <v>53.1</v>
      </c>
      <c r="L651" s="9" t="n">
        <v>0.86</v>
      </c>
      <c r="M651" s="10" t="n">
        <v>0.0165</v>
      </c>
      <c r="N651" s="8" t="n">
        <v>52.77</v>
      </c>
      <c r="O651" s="8" t="n">
        <v>52.77</v>
      </c>
      <c r="P651" s="8" t="n">
        <v>53.57</v>
      </c>
      <c r="Q651" s="8" t="n">
        <v>53.1</v>
      </c>
      <c r="R651" s="11" t="n">
        <v>85</v>
      </c>
      <c r="S651" s="11" t="n">
        <f aca="false">K651*R651</f>
        <v>4513.5</v>
      </c>
      <c r="T651" s="8" t="n">
        <v>50.266</v>
      </c>
      <c r="U651" s="8" t="n">
        <v>86.8</v>
      </c>
      <c r="V651" s="12" t="n">
        <f aca="false">IF(U651-T651=0,"",(K651-T651)/(U651-T651))</f>
        <v>0.0775715771610008</v>
      </c>
      <c r="W651" s="13" t="n">
        <f aca="false">IF(U651=0,"",K651/U651-1)</f>
        <v>-0.388248847926267</v>
      </c>
      <c r="X651" s="11" t="n">
        <v>370687</v>
      </c>
      <c r="Y651" s="5" t="s">
        <v>77</v>
      </c>
      <c r="Z651" s="5" t="s">
        <v>79</v>
      </c>
      <c r="AA651" s="5" t="s">
        <v>78</v>
      </c>
      <c r="AB651" s="5"/>
      <c r="AC651" s="5" t="s">
        <v>2083</v>
      </c>
      <c r="AD651" s="14" t="n">
        <v>46288.771875</v>
      </c>
    </row>
    <row r="652" customFormat="false" ht="15" hidden="false" customHeight="false" outlineLevel="0" collapsed="false">
      <c r="A652" s="5" t="s">
        <v>2084</v>
      </c>
      <c r="B652" s="5" t="s">
        <v>2085</v>
      </c>
      <c r="C652" s="5" t="s">
        <v>55</v>
      </c>
      <c r="D652" s="5" t="s">
        <v>56</v>
      </c>
      <c r="E652" s="5" t="s">
        <v>77</v>
      </c>
      <c r="F652" s="5" t="s">
        <v>78</v>
      </c>
      <c r="G652" s="5" t="s">
        <v>59</v>
      </c>
      <c r="H652" s="5" t="s">
        <v>86</v>
      </c>
      <c r="I652" s="6" t="n">
        <v>1</v>
      </c>
      <c r="J652" s="7" t="n">
        <f aca="false">IF(I652="","",1/I652)</f>
        <v>1</v>
      </c>
      <c r="K652" s="8" t="n">
        <v>54.6</v>
      </c>
      <c r="L652" s="9" t="n">
        <v>-1.08</v>
      </c>
      <c r="M652" s="10" t="n">
        <v>-0.0194</v>
      </c>
      <c r="N652" s="8" t="n">
        <v>54.56</v>
      </c>
      <c r="O652" s="8" t="n">
        <v>54.56</v>
      </c>
      <c r="P652" s="8" t="n">
        <v>55.32</v>
      </c>
      <c r="Q652" s="8" t="n">
        <v>54.6</v>
      </c>
      <c r="R652" s="11" t="n">
        <v>432</v>
      </c>
      <c r="S652" s="11" t="n">
        <f aca="false">K652*R652</f>
        <v>23587.2</v>
      </c>
      <c r="T652" s="8" t="n">
        <v>24.93</v>
      </c>
      <c r="U652" s="8" t="n">
        <v>88.24</v>
      </c>
      <c r="V652" s="12" t="n">
        <f aca="false">IF(U652-T652=0,"",(K652-T652)/(U652-T652))</f>
        <v>0.46864634338967</v>
      </c>
      <c r="W652" s="13" t="n">
        <f aca="false">IF(U652=0,"",K652/U652-1)</f>
        <v>-0.381233000906618</v>
      </c>
      <c r="X652" s="11" t="n">
        <v>303583</v>
      </c>
      <c r="Y652" s="5" t="s">
        <v>77</v>
      </c>
      <c r="Z652" s="5" t="s">
        <v>79</v>
      </c>
      <c r="AA652" s="5" t="s">
        <v>78</v>
      </c>
      <c r="AB652" s="5"/>
      <c r="AC652" s="5" t="s">
        <v>2086</v>
      </c>
      <c r="AD652" s="14" t="n">
        <v>46288.771875</v>
      </c>
    </row>
    <row r="653" customFormat="false" ht="15" hidden="false" customHeight="false" outlineLevel="0" collapsed="false">
      <c r="A653" s="5" t="s">
        <v>2087</v>
      </c>
      <c r="B653" s="5" t="s">
        <v>2088</v>
      </c>
      <c r="C653" s="5" t="s">
        <v>55</v>
      </c>
      <c r="D653" s="5" t="s">
        <v>56</v>
      </c>
      <c r="E653" s="5" t="s">
        <v>77</v>
      </c>
      <c r="F653" s="5" t="s">
        <v>78</v>
      </c>
      <c r="G653" s="5" t="s">
        <v>59</v>
      </c>
      <c r="H653" s="5" t="s">
        <v>60</v>
      </c>
      <c r="I653" s="6" t="n">
        <v>0.02083</v>
      </c>
      <c r="J653" s="7" t="n">
        <f aca="false">IF(I653="","",1/I653)</f>
        <v>48.0076812289966</v>
      </c>
      <c r="K653" s="8" t="n">
        <v>24.3</v>
      </c>
      <c r="L653" s="9" t="n">
        <v>-0.05</v>
      </c>
      <c r="M653" s="10" t="n">
        <v>-0.0021</v>
      </c>
      <c r="N653" s="8" t="n">
        <v>24.38</v>
      </c>
      <c r="O653" s="8" t="n">
        <v>24.07</v>
      </c>
      <c r="P653" s="8" t="n">
        <v>24.48</v>
      </c>
      <c r="Q653" s="8" t="n">
        <v>24.21</v>
      </c>
      <c r="R653" s="11" t="n">
        <v>4110054</v>
      </c>
      <c r="S653" s="11" t="n">
        <f aca="false">K653*R653</f>
        <v>99874312.2</v>
      </c>
      <c r="T653" s="8" t="n">
        <v>17.99</v>
      </c>
      <c r="U653" s="8" t="n">
        <v>25.07</v>
      </c>
      <c r="V653" s="12" t="n">
        <f aca="false">IF(U653-T653=0,"",(K653-T653)/(U653-T653))</f>
        <v>0.891242937853108</v>
      </c>
      <c r="W653" s="13" t="n">
        <f aca="false">IF(U653=0,"",K653/U653-1)</f>
        <v>-0.0307140007977662</v>
      </c>
      <c r="X653" s="11" t="n">
        <v>28228080</v>
      </c>
      <c r="Y653" s="5" t="s">
        <v>77</v>
      </c>
      <c r="Z653" s="5" t="s">
        <v>79</v>
      </c>
      <c r="AA653" s="5" t="s">
        <v>78</v>
      </c>
      <c r="AB653" s="5"/>
      <c r="AC653" s="5" t="s">
        <v>2089</v>
      </c>
      <c r="AD653" s="14" t="n">
        <v>46288.771875</v>
      </c>
    </row>
    <row r="654" customFormat="false" ht="15" hidden="false" customHeight="false" outlineLevel="0" collapsed="false">
      <c r="A654" s="5" t="s">
        <v>2090</v>
      </c>
      <c r="B654" s="5" t="s">
        <v>2091</v>
      </c>
      <c r="C654" s="5" t="s">
        <v>55</v>
      </c>
      <c r="D654" s="5" t="s">
        <v>56</v>
      </c>
      <c r="E654" s="5" t="s">
        <v>115</v>
      </c>
      <c r="F654" s="5" t="s">
        <v>116</v>
      </c>
      <c r="G654" s="5" t="s">
        <v>59</v>
      </c>
      <c r="H654" s="5" t="s">
        <v>60</v>
      </c>
      <c r="I654" s="6" t="n">
        <v>0.05</v>
      </c>
      <c r="J654" s="7" t="n">
        <f aca="false">IF(I654="","",1/I654)</f>
        <v>20</v>
      </c>
      <c r="K654" s="8" t="n">
        <v>53.36</v>
      </c>
      <c r="L654" s="9" t="n">
        <v>4.32</v>
      </c>
      <c r="M654" s="10" t="n">
        <v>0.0881</v>
      </c>
      <c r="N654" s="8" t="n">
        <v>51.45</v>
      </c>
      <c r="O654" s="8" t="n">
        <v>51.45</v>
      </c>
      <c r="P654" s="8" t="n">
        <v>53.44</v>
      </c>
      <c r="Q654" s="8" t="n">
        <v>53.36</v>
      </c>
      <c r="R654" s="11" t="n">
        <v>84390</v>
      </c>
      <c r="S654" s="11" t="n">
        <f aca="false">K654*R654</f>
        <v>4503050.4</v>
      </c>
      <c r="T654" s="8" t="n">
        <v>15.8</v>
      </c>
      <c r="U654" s="8" t="n">
        <v>53.44</v>
      </c>
      <c r="V654" s="12" t="n">
        <f aca="false">IF(U654-T654=0,"",(K654-T654)/(U654-T654))</f>
        <v>0.997874601487779</v>
      </c>
      <c r="W654" s="13" t="n">
        <f aca="false">IF(U654=0,"",K654/U654-1)</f>
        <v>-0.00149700598802394</v>
      </c>
      <c r="X654" s="11" t="n">
        <v>175912</v>
      </c>
      <c r="Y654" s="5" t="s">
        <v>115</v>
      </c>
      <c r="Z654" s="5" t="s">
        <v>117</v>
      </c>
      <c r="AA654" s="5" t="s">
        <v>116</v>
      </c>
      <c r="AB654" s="5"/>
      <c r="AC654" s="5" t="s">
        <v>2092</v>
      </c>
      <c r="AD654" s="14" t="n">
        <v>46288.771875</v>
      </c>
    </row>
    <row r="655" customFormat="false" ht="15" hidden="false" customHeight="false" outlineLevel="0" collapsed="false">
      <c r="A655" s="5" t="s">
        <v>2093</v>
      </c>
      <c r="B655" s="5" t="s">
        <v>2094</v>
      </c>
      <c r="C655" s="5" t="s">
        <v>55</v>
      </c>
      <c r="D655" s="5" t="s">
        <v>56</v>
      </c>
      <c r="E655" s="5" t="s">
        <v>1388</v>
      </c>
      <c r="F655" s="5" t="s">
        <v>1389</v>
      </c>
      <c r="G655" s="5" t="s">
        <v>59</v>
      </c>
      <c r="H655" s="5" t="s">
        <v>60</v>
      </c>
      <c r="I655" s="6" t="n">
        <v>0.5</v>
      </c>
      <c r="J655" s="7" t="n">
        <f aca="false">IF(I655="","",1/I655)</f>
        <v>2</v>
      </c>
      <c r="K655" s="8" t="n">
        <v>199</v>
      </c>
      <c r="L655" s="9" t="n">
        <v>-24.33</v>
      </c>
      <c r="M655" s="10" t="n">
        <v>-0.1089</v>
      </c>
      <c r="N655" s="8" t="n">
        <v>221.93</v>
      </c>
      <c r="O655" s="8" t="n">
        <v>196</v>
      </c>
      <c r="P655" s="8" t="n">
        <v>221.93</v>
      </c>
      <c r="Q655" s="8" t="n">
        <v>199</v>
      </c>
      <c r="R655" s="11" t="n">
        <v>4</v>
      </c>
      <c r="S655" s="11" t="n">
        <f aca="false">K655*R655</f>
        <v>796</v>
      </c>
      <c r="T655" s="8" t="n">
        <v>183.04</v>
      </c>
      <c r="U655" s="8" t="n">
        <v>229.09</v>
      </c>
      <c r="V655" s="12" t="n">
        <f aca="false">IF(U655-T655=0,"",(K655-T655)/(U655-T655))</f>
        <v>0.346579804560261</v>
      </c>
      <c r="W655" s="13" t="n">
        <f aca="false">IF(U655=0,"",K655/U655-1)</f>
        <v>-0.131345759308569</v>
      </c>
      <c r="X655" s="11" t="n">
        <v>105779</v>
      </c>
      <c r="Y655" s="5" t="s">
        <v>1388</v>
      </c>
      <c r="Z655" s="5" t="s">
        <v>1390</v>
      </c>
      <c r="AA655" s="5" t="s">
        <v>1389</v>
      </c>
      <c r="AB655" s="5"/>
      <c r="AC655" s="5" t="s">
        <v>2095</v>
      </c>
      <c r="AD655" s="14" t="n">
        <v>46288.771875</v>
      </c>
    </row>
    <row r="656" customFormat="false" ht="15" hidden="false" customHeight="false" outlineLevel="0" collapsed="false">
      <c r="A656" s="5" t="s">
        <v>2096</v>
      </c>
      <c r="B656" s="5" t="s">
        <v>2097</v>
      </c>
      <c r="C656" s="5" t="s">
        <v>55</v>
      </c>
      <c r="D656" s="5" t="s">
        <v>56</v>
      </c>
      <c r="E656" s="5" t="s">
        <v>370</v>
      </c>
      <c r="F656" s="5" t="s">
        <v>371</v>
      </c>
      <c r="G656" s="5" t="s">
        <v>59</v>
      </c>
      <c r="H656" s="5" t="s">
        <v>60</v>
      </c>
      <c r="I656" s="6" t="n">
        <v>0.5</v>
      </c>
      <c r="J656" s="7" t="n">
        <f aca="false">IF(I656="","",1/I656)</f>
        <v>2</v>
      </c>
      <c r="K656" s="8" t="n">
        <v>35.4</v>
      </c>
      <c r="L656" s="9" t="n">
        <v>0.8</v>
      </c>
      <c r="M656" s="10" t="n">
        <v>0.0231</v>
      </c>
      <c r="N656" s="8" t="n">
        <v>35.04</v>
      </c>
      <c r="O656" s="8" t="n">
        <v>35.04</v>
      </c>
      <c r="P656" s="8" t="n">
        <v>35.4</v>
      </c>
      <c r="Q656" s="8" t="n">
        <v>35.4</v>
      </c>
      <c r="R656" s="11" t="n">
        <v>4400</v>
      </c>
      <c r="S656" s="11" t="n">
        <f aca="false">K656*R656</f>
        <v>155760</v>
      </c>
      <c r="T656" s="8" t="n">
        <v>34.3</v>
      </c>
      <c r="U656" s="8" t="n">
        <v>49.45</v>
      </c>
      <c r="V656" s="12" t="n">
        <f aca="false">IF(U656-T656=0,"",(K656-T656)/(U656-T656))</f>
        <v>0.0726072607260727</v>
      </c>
      <c r="W656" s="13" t="n">
        <f aca="false">IF(U656=0,"",K656/U656-1)</f>
        <v>-0.28412537917088</v>
      </c>
      <c r="X656" s="11" t="n">
        <v>132630</v>
      </c>
      <c r="Y656" s="5" t="s">
        <v>370</v>
      </c>
      <c r="Z656" s="5" t="s">
        <v>372</v>
      </c>
      <c r="AA656" s="5" t="s">
        <v>371</v>
      </c>
      <c r="AB656" s="5"/>
      <c r="AC656" s="5" t="s">
        <v>2098</v>
      </c>
      <c r="AD656" s="14" t="n">
        <v>46288.771875</v>
      </c>
    </row>
    <row r="657" customFormat="false" ht="15" hidden="false" customHeight="false" outlineLevel="0" collapsed="false">
      <c r="A657" s="5" t="s">
        <v>2099</v>
      </c>
      <c r="B657" s="5" t="s">
        <v>2100</v>
      </c>
      <c r="C657" s="5" t="s">
        <v>55</v>
      </c>
      <c r="D657" s="5" t="s">
        <v>56</v>
      </c>
      <c r="E657" s="5" t="s">
        <v>71</v>
      </c>
      <c r="F657" s="5" t="s">
        <v>72</v>
      </c>
      <c r="G657" s="5" t="s">
        <v>59</v>
      </c>
      <c r="H657" s="5"/>
      <c r="I657" s="6"/>
      <c r="J657" s="7" t="str">
        <f aca="false">IF(I657="","",1/I657)</f>
        <v/>
      </c>
      <c r="K657" s="8" t="n">
        <v>79.2</v>
      </c>
      <c r="L657" s="9" t="n">
        <v>-0.8</v>
      </c>
      <c r="M657" s="10" t="n">
        <v>-0.01</v>
      </c>
      <c r="N657" s="8" t="n">
        <v>79.2</v>
      </c>
      <c r="O657" s="8" t="n">
        <v>79.2</v>
      </c>
      <c r="P657" s="8" t="n">
        <v>79.2</v>
      </c>
      <c r="Q657" s="8" t="n">
        <v>79.2</v>
      </c>
      <c r="R657" s="11" t="n">
        <v>50</v>
      </c>
      <c r="S657" s="11" t="n">
        <f aca="false">K657*R657</f>
        <v>3960</v>
      </c>
      <c r="T657" s="8" t="n">
        <v>71.39</v>
      </c>
      <c r="U657" s="8" t="n">
        <v>90</v>
      </c>
      <c r="V657" s="12" t="n">
        <f aca="false">IF(U657-T657=0,"",(K657-T657)/(U657-T657))</f>
        <v>0.419666845781838</v>
      </c>
      <c r="W657" s="13" t="n">
        <f aca="false">IF(U657=0,"",K657/U657-1)</f>
        <v>-0.12</v>
      </c>
      <c r="X657" s="11" t="n">
        <v>72063</v>
      </c>
      <c r="Y657" s="5" t="s">
        <v>71</v>
      </c>
      <c r="Z657" s="5" t="s">
        <v>73</v>
      </c>
      <c r="AA657" s="5" t="s">
        <v>72</v>
      </c>
      <c r="AB657" s="5" t="s">
        <v>111</v>
      </c>
      <c r="AC657" s="5" t="s">
        <v>2101</v>
      </c>
      <c r="AD657" s="14" t="n">
        <v>46288.771875</v>
      </c>
    </row>
    <row r="658" customFormat="false" ht="15" hidden="false" customHeight="false" outlineLevel="0" collapsed="false">
      <c r="A658" s="5" t="s">
        <v>2102</v>
      </c>
      <c r="B658" s="5" t="s">
        <v>2103</v>
      </c>
      <c r="C658" s="5" t="s">
        <v>55</v>
      </c>
      <c r="D658" s="5" t="s">
        <v>56</v>
      </c>
      <c r="E658" s="5" t="s">
        <v>77</v>
      </c>
      <c r="F658" s="5" t="s">
        <v>78</v>
      </c>
      <c r="G658" s="5" t="s">
        <v>59</v>
      </c>
      <c r="H658" s="5" t="s">
        <v>60</v>
      </c>
      <c r="I658" s="6" t="n">
        <v>0.0555555</v>
      </c>
      <c r="J658" s="7" t="n">
        <f aca="false">IF(I658="","",1/I658)</f>
        <v>18.000018000018</v>
      </c>
      <c r="K658" s="8" t="n">
        <v>22.42</v>
      </c>
      <c r="L658" s="9" t="n">
        <v>1</v>
      </c>
      <c r="M658" s="10" t="n">
        <v>0.0467</v>
      </c>
      <c r="N658" s="8" t="n">
        <v>22.48</v>
      </c>
      <c r="O658" s="8" t="n">
        <v>22.42</v>
      </c>
      <c r="P658" s="8" t="n">
        <v>22.48</v>
      </c>
      <c r="Q658" s="8" t="n">
        <v>22.42</v>
      </c>
      <c r="R658" s="11" t="n">
        <v>30</v>
      </c>
      <c r="S658" s="11" t="n">
        <f aca="false">K658*R658</f>
        <v>672.6</v>
      </c>
      <c r="T658" s="8" t="n">
        <v>21.42</v>
      </c>
      <c r="U658" s="8" t="n">
        <v>43.05</v>
      </c>
      <c r="V658" s="12" t="n">
        <f aca="false">IF(U658-T658=0,"",(K658-T658)/(U658-T658))</f>
        <v>0.0462320850670365</v>
      </c>
      <c r="W658" s="13" t="n">
        <f aca="false">IF(U658=0,"",K658/U658-1)</f>
        <v>-0.479210220673635</v>
      </c>
      <c r="X658" s="11" t="n">
        <v>18377</v>
      </c>
      <c r="Y658" s="5" t="s">
        <v>77</v>
      </c>
      <c r="Z658" s="5" t="s">
        <v>79</v>
      </c>
      <c r="AA658" s="5" t="s">
        <v>78</v>
      </c>
      <c r="AB658" s="5"/>
      <c r="AC658" s="5" t="s">
        <v>2104</v>
      </c>
      <c r="AD658" s="14" t="n">
        <v>46288.771875</v>
      </c>
    </row>
    <row r="659" customFormat="false" ht="15" hidden="false" customHeight="false" outlineLevel="0" collapsed="false">
      <c r="A659" s="5" t="s">
        <v>2105</v>
      </c>
      <c r="B659" s="5" t="s">
        <v>2106</v>
      </c>
      <c r="C659" s="5" t="s">
        <v>55</v>
      </c>
      <c r="D659" s="5" t="s">
        <v>56</v>
      </c>
      <c r="E659" s="5" t="s">
        <v>77</v>
      </c>
      <c r="F659" s="5" t="s">
        <v>78</v>
      </c>
      <c r="G659" s="5" t="s">
        <v>59</v>
      </c>
      <c r="H659" s="5" t="s">
        <v>60</v>
      </c>
      <c r="I659" s="6" t="n">
        <v>0.125</v>
      </c>
      <c r="J659" s="7" t="n">
        <f aca="false">IF(I659="","",1/I659)</f>
        <v>8</v>
      </c>
      <c r="K659" s="8" t="n">
        <v>47.76</v>
      </c>
      <c r="L659" s="9" t="n">
        <v>0.77</v>
      </c>
      <c r="M659" s="10" t="n">
        <v>0.0164</v>
      </c>
      <c r="N659" s="8" t="n">
        <v>46.87</v>
      </c>
      <c r="O659" s="8" t="n">
        <v>46.71</v>
      </c>
      <c r="P659" s="8" t="n">
        <v>47.84</v>
      </c>
      <c r="Q659" s="8" t="n">
        <v>47.76</v>
      </c>
      <c r="R659" s="11" t="n">
        <v>200</v>
      </c>
      <c r="S659" s="11" t="n">
        <f aca="false">K659*R659</f>
        <v>9552</v>
      </c>
      <c r="T659" s="8" t="n">
        <v>30.52</v>
      </c>
      <c r="U659" s="8" t="n">
        <v>85.27</v>
      </c>
      <c r="V659" s="12" t="n">
        <f aca="false">IF(U659-T659=0,"",(K659-T659)/(U659-T659))</f>
        <v>0.314885844748858</v>
      </c>
      <c r="W659" s="13" t="n">
        <f aca="false">IF(U659=0,"",K659/U659-1)</f>
        <v>-0.439896798405066</v>
      </c>
      <c r="X659" s="11" t="n">
        <v>146639</v>
      </c>
      <c r="Y659" s="5" t="s">
        <v>77</v>
      </c>
      <c r="Z659" s="5" t="s">
        <v>79</v>
      </c>
      <c r="AA659" s="5" t="s">
        <v>78</v>
      </c>
      <c r="AB659" s="5"/>
      <c r="AC659" s="5" t="s">
        <v>2107</v>
      </c>
      <c r="AD659" s="14" t="n">
        <v>46288.771875</v>
      </c>
    </row>
    <row r="660" customFormat="false" ht="15" hidden="false" customHeight="false" outlineLevel="0" collapsed="false">
      <c r="A660" s="5" t="s">
        <v>2108</v>
      </c>
      <c r="B660" s="5" t="s">
        <v>2109</v>
      </c>
      <c r="C660" s="5" t="s">
        <v>248</v>
      </c>
      <c r="D660" s="5" t="s">
        <v>249</v>
      </c>
      <c r="E660" s="5" t="s">
        <v>988</v>
      </c>
      <c r="F660" s="5" t="s">
        <v>989</v>
      </c>
      <c r="G660" s="5" t="s">
        <v>59</v>
      </c>
      <c r="H660" s="5" t="s">
        <v>60</v>
      </c>
      <c r="I660" s="6" t="n">
        <v>0.125</v>
      </c>
      <c r="J660" s="7" t="n">
        <f aca="false">IF(I660="","",1/I660)</f>
        <v>8</v>
      </c>
      <c r="K660" s="8" t="n">
        <v>27.82</v>
      </c>
      <c r="L660" s="9" t="n">
        <v>-0.6</v>
      </c>
      <c r="M660" s="10" t="n">
        <v>-0.0211</v>
      </c>
      <c r="N660" s="8" t="n">
        <v>28.45</v>
      </c>
      <c r="O660" s="8" t="n">
        <v>27.82</v>
      </c>
      <c r="P660" s="8" t="n">
        <v>28.45</v>
      </c>
      <c r="Q660" s="8" t="n">
        <v>27.82</v>
      </c>
      <c r="R660" s="11" t="n">
        <v>649</v>
      </c>
      <c r="S660" s="11" t="n">
        <f aca="false">K660*R660</f>
        <v>18055.18</v>
      </c>
      <c r="T660" s="8" t="n">
        <v>24.3</v>
      </c>
      <c r="U660" s="8" t="n">
        <v>31.95</v>
      </c>
      <c r="V660" s="12" t="n">
        <f aca="false">IF(U660-T660=0,"",(K660-T660)/(U660-T660))</f>
        <v>0.460130718954248</v>
      </c>
      <c r="W660" s="13" t="n">
        <f aca="false">IF(U660=0,"",K660/U660-1)</f>
        <v>-0.129264475743349</v>
      </c>
      <c r="X660" s="11"/>
      <c r="Y660" s="5" t="s">
        <v>253</v>
      </c>
      <c r="Z660" s="5" t="s">
        <v>254</v>
      </c>
      <c r="AA660" s="5" t="s">
        <v>988</v>
      </c>
      <c r="AB660" s="5"/>
      <c r="AC660" s="5" t="s">
        <v>2110</v>
      </c>
      <c r="AD660" s="14" t="n">
        <v>46288.771875</v>
      </c>
    </row>
    <row r="661" customFormat="false" ht="15" hidden="false" customHeight="false" outlineLevel="0" collapsed="false">
      <c r="A661" s="5" t="s">
        <v>2111</v>
      </c>
      <c r="B661" s="5" t="s">
        <v>2112</v>
      </c>
      <c r="C661" s="5" t="s">
        <v>55</v>
      </c>
      <c r="D661" s="5" t="s">
        <v>56</v>
      </c>
      <c r="E661" s="5" t="s">
        <v>115</v>
      </c>
      <c r="F661" s="5" t="s">
        <v>116</v>
      </c>
      <c r="G661" s="5" t="s">
        <v>59</v>
      </c>
      <c r="H661" s="5" t="s">
        <v>60</v>
      </c>
      <c r="I661" s="6" t="n">
        <v>0.166666667</v>
      </c>
      <c r="J661" s="7" t="n">
        <f aca="false">IF(I661="","",1/I661)</f>
        <v>5.999999988</v>
      </c>
      <c r="K661" s="8" t="n">
        <v>125.1</v>
      </c>
      <c r="L661" s="9" t="n">
        <v>-1.57</v>
      </c>
      <c r="M661" s="10" t="n">
        <v>-0.0124</v>
      </c>
      <c r="N661" s="8" t="n">
        <v>126.93</v>
      </c>
      <c r="O661" s="8" t="n">
        <v>124.26</v>
      </c>
      <c r="P661" s="8" t="n">
        <v>127.2</v>
      </c>
      <c r="Q661" s="8" t="n">
        <v>124.26</v>
      </c>
      <c r="R661" s="11" t="n">
        <v>125498</v>
      </c>
      <c r="S661" s="11" t="n">
        <f aca="false">K661*R661</f>
        <v>15699799.8</v>
      </c>
      <c r="T661" s="8" t="n">
        <v>97.35</v>
      </c>
      <c r="U661" s="8" t="n">
        <v>292.67</v>
      </c>
      <c r="V661" s="12" t="n">
        <f aca="false">IF(U661-T661=0,"",(K661-T661)/(U661-T661))</f>
        <v>0.142074544337497</v>
      </c>
      <c r="W661" s="13" t="n">
        <f aca="false">IF(U661=0,"",K661/U661-1)</f>
        <v>-0.572556121228688</v>
      </c>
      <c r="X661" s="11" t="n">
        <v>2308810</v>
      </c>
      <c r="Y661" s="5" t="s">
        <v>115</v>
      </c>
      <c r="Z661" s="5" t="s">
        <v>117</v>
      </c>
      <c r="AA661" s="5" t="s">
        <v>116</v>
      </c>
      <c r="AB661" s="5"/>
      <c r="AC661" s="5" t="s">
        <v>2113</v>
      </c>
      <c r="AD661" s="14" t="n">
        <v>46288.771875</v>
      </c>
    </row>
    <row r="662" customFormat="false" ht="15" hidden="false" customHeight="false" outlineLevel="0" collapsed="false">
      <c r="A662" s="5" t="s">
        <v>2114</v>
      </c>
      <c r="B662" s="5" t="s">
        <v>2115</v>
      </c>
      <c r="C662" s="5" t="s">
        <v>55</v>
      </c>
      <c r="D662" s="5" t="s">
        <v>56</v>
      </c>
      <c r="E662" s="5" t="s">
        <v>57</v>
      </c>
      <c r="F662" s="5" t="s">
        <v>58</v>
      </c>
      <c r="G662" s="5" t="s">
        <v>59</v>
      </c>
      <c r="H662" s="5" t="s">
        <v>60</v>
      </c>
      <c r="I662" s="6" t="n">
        <v>0.003225806</v>
      </c>
      <c r="J662" s="7" t="n">
        <f aca="false">IF(I662="","",1/I662)</f>
        <v>310.000043400006</v>
      </c>
      <c r="K662" s="8" t="n">
        <v>1.44</v>
      </c>
      <c r="L662" s="9" t="n">
        <v>0.02</v>
      </c>
      <c r="M662" s="10" t="n">
        <v>0.0141</v>
      </c>
      <c r="N662" s="8" t="n">
        <v>1.39</v>
      </c>
      <c r="O662" s="8" t="n">
        <v>1.39</v>
      </c>
      <c r="P662" s="8" t="n">
        <v>1.45</v>
      </c>
      <c r="Q662" s="8" t="n">
        <v>1.44</v>
      </c>
      <c r="R662" s="11" t="n">
        <v>7378</v>
      </c>
      <c r="S662" s="11" t="n">
        <f aca="false">K662*R662</f>
        <v>10624.32</v>
      </c>
      <c r="T662" s="8" t="n">
        <v>1.35</v>
      </c>
      <c r="U662" s="8" t="n">
        <v>1.91</v>
      </c>
      <c r="V662" s="12" t="n">
        <f aca="false">IF(U662-T662=0,"",(K662-T662)/(U662-T662))</f>
        <v>0.160714285714286</v>
      </c>
      <c r="W662" s="13" t="n">
        <f aca="false">IF(U662=0,"",K662/U662-1)</f>
        <v>-0.246073298429319</v>
      </c>
      <c r="X662" s="11" t="n">
        <v>355297</v>
      </c>
      <c r="Y662" s="5" t="s">
        <v>57</v>
      </c>
      <c r="Z662" s="5" t="s">
        <v>61</v>
      </c>
      <c r="AA662" s="5" t="s">
        <v>58</v>
      </c>
      <c r="AB662" s="5"/>
      <c r="AC662" s="5" t="s">
        <v>2116</v>
      </c>
      <c r="AD662" s="14" t="n">
        <v>46288.771875</v>
      </c>
    </row>
    <row r="663" customFormat="false" ht="15" hidden="false" customHeight="false" outlineLevel="0" collapsed="false">
      <c r="A663" s="5" t="s">
        <v>2117</v>
      </c>
      <c r="B663" s="5" t="s">
        <v>2118</v>
      </c>
      <c r="C663" s="5" t="s">
        <v>55</v>
      </c>
      <c r="D663" s="5" t="s">
        <v>56</v>
      </c>
      <c r="E663" s="5" t="s">
        <v>160</v>
      </c>
      <c r="F663" s="5" t="s">
        <v>161</v>
      </c>
      <c r="G663" s="5" t="s">
        <v>59</v>
      </c>
      <c r="H663" s="5" t="s">
        <v>60</v>
      </c>
      <c r="I663" s="6" t="n">
        <v>0.1666667</v>
      </c>
      <c r="J663" s="7" t="n">
        <f aca="false">IF(I663="","",1/I663)</f>
        <v>5.99999880000024</v>
      </c>
      <c r="K663" s="8" t="n">
        <v>49.25</v>
      </c>
      <c r="L663" s="9" t="n">
        <v>1.3</v>
      </c>
      <c r="M663" s="10" t="n">
        <v>0.0271</v>
      </c>
      <c r="N663" s="8" t="n">
        <v>46.99</v>
      </c>
      <c r="O663" s="8" t="n">
        <v>46.99</v>
      </c>
      <c r="P663" s="8" t="n">
        <v>49.7</v>
      </c>
      <c r="Q663" s="8" t="n">
        <v>49.25</v>
      </c>
      <c r="R663" s="11" t="n">
        <v>5753</v>
      </c>
      <c r="S663" s="11" t="n">
        <f aca="false">K663*R663</f>
        <v>283335.25</v>
      </c>
      <c r="T663" s="8" t="n">
        <v>35.39</v>
      </c>
      <c r="U663" s="8" t="n">
        <v>58.69</v>
      </c>
      <c r="V663" s="12" t="n">
        <f aca="false">IF(U663-T663=0,"",(K663-T663)/(U663-T663))</f>
        <v>0.594849785407725</v>
      </c>
      <c r="W663" s="13" t="n">
        <f aca="false">IF(U663=0,"",K663/U663-1)</f>
        <v>-0.160845118418811</v>
      </c>
      <c r="X663" s="11" t="n">
        <v>288074</v>
      </c>
      <c r="Y663" s="5" t="s">
        <v>160</v>
      </c>
      <c r="Z663" s="5" t="s">
        <v>162</v>
      </c>
      <c r="AA663" s="5" t="s">
        <v>161</v>
      </c>
      <c r="AB663" s="5"/>
      <c r="AC663" s="5" t="s">
        <v>2119</v>
      </c>
      <c r="AD663" s="14" t="n">
        <v>46288.771875</v>
      </c>
    </row>
    <row r="664" customFormat="false" ht="15" hidden="false" customHeight="false" outlineLevel="0" collapsed="false">
      <c r="A664" s="5" t="s">
        <v>2120</v>
      </c>
      <c r="B664" s="5" t="s">
        <v>2121</v>
      </c>
      <c r="C664" s="5" t="s">
        <v>55</v>
      </c>
      <c r="D664" s="5" t="s">
        <v>56</v>
      </c>
      <c r="E664" s="5" t="s">
        <v>142</v>
      </c>
      <c r="F664" s="5" t="s">
        <v>143</v>
      </c>
      <c r="G664" s="5" t="s">
        <v>59</v>
      </c>
      <c r="H664" s="5" t="s">
        <v>60</v>
      </c>
      <c r="I664" s="6" t="n">
        <v>0.5</v>
      </c>
      <c r="J664" s="7" t="n">
        <f aca="false">IF(I664="","",1/I664)</f>
        <v>2</v>
      </c>
      <c r="K664" s="8" t="n">
        <v>292.8</v>
      </c>
      <c r="L664" s="9" t="n">
        <v>-27.2</v>
      </c>
      <c r="M664" s="10" t="n">
        <v>-0.085</v>
      </c>
      <c r="N664" s="8" t="n">
        <v>292.8</v>
      </c>
      <c r="O664" s="8" t="n">
        <v>292.8</v>
      </c>
      <c r="P664" s="8" t="n">
        <v>292.8</v>
      </c>
      <c r="Q664" s="8" t="n">
        <v>292.8</v>
      </c>
      <c r="R664" s="11" t="n">
        <v>5</v>
      </c>
      <c r="S664" s="11" t="n">
        <f aca="false">K664*R664</f>
        <v>1464</v>
      </c>
      <c r="T664" s="8" t="n">
        <v>255.06</v>
      </c>
      <c r="U664" s="8" t="n">
        <v>339.2</v>
      </c>
      <c r="V664" s="12" t="n">
        <f aca="false">IF(U664-T664=0,"",(K664-T664)/(U664-T664))</f>
        <v>0.448538150701212</v>
      </c>
      <c r="W664" s="13" t="n">
        <f aca="false">IF(U664=0,"",K664/U664-1)</f>
        <v>-0.136792452830189</v>
      </c>
      <c r="X664" s="11" t="n">
        <v>306822</v>
      </c>
      <c r="Y664" s="5" t="s">
        <v>142</v>
      </c>
      <c r="Z664" s="5" t="s">
        <v>144</v>
      </c>
      <c r="AA664" s="5" t="s">
        <v>143</v>
      </c>
      <c r="AB664" s="5"/>
      <c r="AC664" s="5" t="s">
        <v>2122</v>
      </c>
      <c r="AD664" s="14" t="n">
        <v>46288.771875</v>
      </c>
    </row>
    <row r="665" customFormat="false" ht="15" hidden="false" customHeight="false" outlineLevel="0" collapsed="false">
      <c r="A665" s="5" t="s">
        <v>2123</v>
      </c>
      <c r="B665" s="5" t="s">
        <v>2124</v>
      </c>
      <c r="C665" s="5" t="s">
        <v>55</v>
      </c>
      <c r="D665" s="5" t="s">
        <v>56</v>
      </c>
      <c r="E665" s="5" t="s">
        <v>115</v>
      </c>
      <c r="F665" s="5" t="s">
        <v>116</v>
      </c>
      <c r="G665" s="5" t="s">
        <v>59</v>
      </c>
      <c r="H665" s="5"/>
      <c r="I665" s="6"/>
      <c r="J665" s="7" t="str">
        <f aca="false">IF(I665="","",1/I665)</f>
        <v/>
      </c>
      <c r="K665" s="8" t="n">
        <v>276.37</v>
      </c>
      <c r="L665" s="9" t="n">
        <v>-16.13</v>
      </c>
      <c r="M665" s="10" t="n">
        <v>-0.0551</v>
      </c>
      <c r="N665" s="8" t="n">
        <v>276.37</v>
      </c>
      <c r="O665" s="8" t="n">
        <v>276.37</v>
      </c>
      <c r="P665" s="8" t="n">
        <v>276.37</v>
      </c>
      <c r="Q665" s="8" t="n">
        <v>276.37</v>
      </c>
      <c r="R665" s="11" t="n">
        <v>2</v>
      </c>
      <c r="S665" s="11" t="n">
        <f aca="false">K665*R665</f>
        <v>552.74</v>
      </c>
      <c r="T665" s="8" t="n">
        <v>220</v>
      </c>
      <c r="U665" s="8" t="n">
        <v>343.4</v>
      </c>
      <c r="V665" s="12" t="n">
        <f aca="false">IF(U665-T665=0,"",(K665-T665)/(U665-T665))</f>
        <v>0.456807131280389</v>
      </c>
      <c r="W665" s="13" t="n">
        <f aca="false">IF(U665=0,"",K665/U665-1)</f>
        <v>-0.195195107746069</v>
      </c>
      <c r="X665" s="11" t="n">
        <v>208651</v>
      </c>
      <c r="Y665" s="5" t="s">
        <v>115</v>
      </c>
      <c r="Z665" s="5" t="s">
        <v>117</v>
      </c>
      <c r="AA665" s="5" t="s">
        <v>116</v>
      </c>
      <c r="AB665" s="5" t="s">
        <v>111</v>
      </c>
      <c r="AC665" s="5" t="s">
        <v>2125</v>
      </c>
      <c r="AD665" s="14" t="n">
        <v>46288.771875</v>
      </c>
    </row>
    <row r="666" customFormat="false" ht="15" hidden="false" customHeight="false" outlineLevel="0" collapsed="false">
      <c r="A666" s="5" t="s">
        <v>2126</v>
      </c>
      <c r="B666" s="5" t="s">
        <v>2127</v>
      </c>
      <c r="C666" s="5" t="s">
        <v>55</v>
      </c>
      <c r="D666" s="5" t="s">
        <v>56</v>
      </c>
      <c r="E666" s="5" t="s">
        <v>57</v>
      </c>
      <c r="F666" s="5" t="s">
        <v>58</v>
      </c>
      <c r="G666" s="5" t="s">
        <v>59</v>
      </c>
      <c r="H666" s="5" t="s">
        <v>86</v>
      </c>
      <c r="I666" s="6" t="n">
        <v>0.1</v>
      </c>
      <c r="J666" s="7" t="n">
        <f aca="false">IF(I666="","",1/I666)</f>
        <v>10</v>
      </c>
      <c r="K666" s="8" t="n">
        <v>40.42</v>
      </c>
      <c r="L666" s="9" t="n">
        <v>0.56</v>
      </c>
      <c r="M666" s="10" t="n">
        <v>0.014</v>
      </c>
      <c r="N666" s="8" t="n">
        <v>40.75</v>
      </c>
      <c r="O666" s="8" t="n">
        <v>40.41</v>
      </c>
      <c r="P666" s="8" t="n">
        <v>40.96</v>
      </c>
      <c r="Q666" s="8" t="n">
        <v>40.96</v>
      </c>
      <c r="R666" s="11" t="n">
        <v>7795</v>
      </c>
      <c r="S666" s="11" t="n">
        <f aca="false">K666*R666</f>
        <v>315073.9</v>
      </c>
      <c r="T666" s="8" t="n">
        <v>37.21</v>
      </c>
      <c r="U666" s="8" t="n">
        <v>75</v>
      </c>
      <c r="V666" s="12" t="n">
        <f aca="false">IF(U666-T666=0,"",(K666-T666)/(U666-T666))</f>
        <v>0.0849431066419688</v>
      </c>
      <c r="W666" s="13" t="n">
        <f aca="false">IF(U666=0,"",K666/U666-1)</f>
        <v>-0.461066666666667</v>
      </c>
      <c r="X666" s="11" t="n">
        <v>585312</v>
      </c>
      <c r="Y666" s="5" t="s">
        <v>57</v>
      </c>
      <c r="Z666" s="5" t="s">
        <v>61</v>
      </c>
      <c r="AA666" s="5" t="s">
        <v>58</v>
      </c>
      <c r="AB666" s="5"/>
      <c r="AC666" s="5" t="s">
        <v>2128</v>
      </c>
      <c r="AD666" s="14" t="n">
        <v>46288.771875</v>
      </c>
    </row>
    <row r="667" customFormat="false" ht="15" hidden="false" customHeight="false" outlineLevel="0" collapsed="false">
      <c r="A667" s="5" t="s">
        <v>2129</v>
      </c>
      <c r="B667" s="5" t="s">
        <v>2130</v>
      </c>
      <c r="C667" s="5" t="s">
        <v>55</v>
      </c>
      <c r="D667" s="5" t="s">
        <v>56</v>
      </c>
      <c r="E667" s="5" t="s">
        <v>71</v>
      </c>
      <c r="F667" s="5" t="s">
        <v>72</v>
      </c>
      <c r="G667" s="5" t="s">
        <v>59</v>
      </c>
      <c r="H667" s="5"/>
      <c r="I667" s="6"/>
      <c r="J667" s="7" t="str">
        <f aca="false">IF(I667="","",1/I667)</f>
        <v/>
      </c>
      <c r="K667" s="8" t="n">
        <v>305.7</v>
      </c>
      <c r="L667" s="9" t="n">
        <v>-2.75</v>
      </c>
      <c r="M667" s="10" t="n">
        <v>-0.0089</v>
      </c>
      <c r="N667" s="8" t="n">
        <v>304.8</v>
      </c>
      <c r="O667" s="8" t="n">
        <v>304.8</v>
      </c>
      <c r="P667" s="8" t="n">
        <v>305.7</v>
      </c>
      <c r="Q667" s="8" t="n">
        <v>305.7</v>
      </c>
      <c r="R667" s="11" t="n">
        <v>80</v>
      </c>
      <c r="S667" s="11" t="n">
        <f aca="false">K667*R667</f>
        <v>24456</v>
      </c>
      <c r="T667" s="8" t="n">
        <v>232.08</v>
      </c>
      <c r="U667" s="8" t="n">
        <v>326.8</v>
      </c>
      <c r="V667" s="12" t="n">
        <f aca="false">IF(U667-T667=0,"",(K667-T667)/(U667-T667))</f>
        <v>0.777238175675675</v>
      </c>
      <c r="W667" s="13" t="n">
        <f aca="false">IF(U667=0,"",K667/U667-1)</f>
        <v>-0.0645654834761322</v>
      </c>
      <c r="X667" s="11" t="n">
        <v>207742</v>
      </c>
      <c r="Y667" s="5" t="s">
        <v>71</v>
      </c>
      <c r="Z667" s="5" t="s">
        <v>73</v>
      </c>
      <c r="AA667" s="5" t="s">
        <v>72</v>
      </c>
      <c r="AB667" s="5" t="s">
        <v>111</v>
      </c>
      <c r="AC667" s="5" t="s">
        <v>2131</v>
      </c>
      <c r="AD667" s="14" t="n">
        <v>46288.771875</v>
      </c>
    </row>
    <row r="668" customFormat="false" ht="15" hidden="false" customHeight="false" outlineLevel="0" collapsed="false">
      <c r="A668" s="5" t="s">
        <v>2132</v>
      </c>
      <c r="B668" s="5" t="s">
        <v>2133</v>
      </c>
      <c r="C668" s="5" t="s">
        <v>55</v>
      </c>
      <c r="D668" s="5" t="s">
        <v>56</v>
      </c>
      <c r="E668" s="5" t="s">
        <v>71</v>
      </c>
      <c r="F668" s="5" t="s">
        <v>72</v>
      </c>
      <c r="G668" s="5" t="s">
        <v>59</v>
      </c>
      <c r="H668" s="5" t="s">
        <v>60</v>
      </c>
      <c r="I668" s="6" t="n">
        <v>1</v>
      </c>
      <c r="J668" s="7" t="n">
        <f aca="false">IF(I668="","",1/I668)</f>
        <v>1</v>
      </c>
      <c r="K668" s="8" t="n">
        <v>105.82</v>
      </c>
      <c r="L668" s="9" t="n">
        <v>-0.44</v>
      </c>
      <c r="M668" s="10" t="n">
        <v>-0.0041</v>
      </c>
      <c r="N668" s="8" t="n">
        <v>104.5</v>
      </c>
      <c r="O668" s="8" t="n">
        <v>104.39</v>
      </c>
      <c r="P668" s="8" t="n">
        <v>107.25</v>
      </c>
      <c r="Q668" s="8" t="n">
        <v>105.82</v>
      </c>
      <c r="R668" s="11" t="n">
        <v>467</v>
      </c>
      <c r="S668" s="11" t="n">
        <f aca="false">K668*R668</f>
        <v>49417.94</v>
      </c>
      <c r="T668" s="8" t="n">
        <v>80.48</v>
      </c>
      <c r="U668" s="8" t="n">
        <v>116.76</v>
      </c>
      <c r="V668" s="12" t="n">
        <f aca="false">IF(U668-T668=0,"",(K668-T668)/(U668-T668))</f>
        <v>0.698456449834619</v>
      </c>
      <c r="W668" s="13" t="n">
        <f aca="false">IF(U668=0,"",K668/U668-1)</f>
        <v>-0.0936964713943133</v>
      </c>
      <c r="X668" s="11" t="n">
        <v>74485</v>
      </c>
      <c r="Y668" s="5" t="s">
        <v>71</v>
      </c>
      <c r="Z668" s="5" t="s">
        <v>73</v>
      </c>
      <c r="AA668" s="5" t="s">
        <v>72</v>
      </c>
      <c r="AB668" s="5"/>
      <c r="AC668" s="5" t="s">
        <v>2134</v>
      </c>
      <c r="AD668" s="14" t="n">
        <v>46288.771875</v>
      </c>
    </row>
    <row r="669" customFormat="false" ht="15" hidden="false" customHeight="false" outlineLevel="0" collapsed="false">
      <c r="A669" s="5" t="s">
        <v>2135</v>
      </c>
      <c r="B669" s="5" t="s">
        <v>2136</v>
      </c>
      <c r="C669" s="5" t="s">
        <v>55</v>
      </c>
      <c r="D669" s="5" t="s">
        <v>56</v>
      </c>
      <c r="E669" s="5" t="s">
        <v>71</v>
      </c>
      <c r="F669" s="5" t="s">
        <v>72</v>
      </c>
      <c r="G669" s="5" t="s">
        <v>59</v>
      </c>
      <c r="H669" s="5" t="s">
        <v>60</v>
      </c>
      <c r="I669" s="6" t="n">
        <v>0.05</v>
      </c>
      <c r="J669" s="7" t="n">
        <f aca="false">IF(I669="","",1/I669)</f>
        <v>20</v>
      </c>
      <c r="K669" s="8" t="n">
        <v>52.89</v>
      </c>
      <c r="L669" s="9" t="n">
        <v>-1.81</v>
      </c>
      <c r="M669" s="10" t="n">
        <v>-0.0331</v>
      </c>
      <c r="N669" s="8" t="n">
        <v>53.05</v>
      </c>
      <c r="O669" s="8" t="n">
        <v>52.4</v>
      </c>
      <c r="P669" s="8" t="n">
        <v>53.05</v>
      </c>
      <c r="Q669" s="8" t="n">
        <v>52.89</v>
      </c>
      <c r="R669" s="11" t="n">
        <v>63</v>
      </c>
      <c r="S669" s="11" t="n">
        <f aca="false">K669*R669</f>
        <v>3332.07</v>
      </c>
      <c r="T669" s="8" t="n">
        <v>47.403</v>
      </c>
      <c r="U669" s="8" t="n">
        <v>68.999</v>
      </c>
      <c r="V669" s="12" t="n">
        <f aca="false">IF(U669-T669=0,"",(K669-T669)/(U669-T669))</f>
        <v>0.254074828671976</v>
      </c>
      <c r="W669" s="13" t="n">
        <f aca="false">IF(U669=0,"",K669/U669-1)</f>
        <v>-0.233467151697851</v>
      </c>
      <c r="X669" s="11" t="n">
        <v>615419</v>
      </c>
      <c r="Y669" s="5" t="s">
        <v>71</v>
      </c>
      <c r="Z669" s="5" t="s">
        <v>73</v>
      </c>
      <c r="AA669" s="5" t="s">
        <v>72</v>
      </c>
      <c r="AB669" s="5"/>
      <c r="AC669" s="5" t="s">
        <v>2137</v>
      </c>
      <c r="AD669" s="14" t="n">
        <v>46288.771875</v>
      </c>
    </row>
    <row r="670" customFormat="false" ht="15" hidden="false" customHeight="false" outlineLevel="0" collapsed="false">
      <c r="A670" s="5" t="s">
        <v>2138</v>
      </c>
      <c r="B670" s="5" t="s">
        <v>2139</v>
      </c>
      <c r="C670" s="5" t="s">
        <v>55</v>
      </c>
      <c r="D670" s="5" t="s">
        <v>56</v>
      </c>
      <c r="E670" s="5" t="s">
        <v>142</v>
      </c>
      <c r="F670" s="5" t="s">
        <v>143</v>
      </c>
      <c r="G670" s="5" t="s">
        <v>59</v>
      </c>
      <c r="H670" s="5" t="s">
        <v>60</v>
      </c>
      <c r="I670" s="6" t="n">
        <v>0.0125</v>
      </c>
      <c r="J670" s="7" t="n">
        <f aca="false">IF(I670="","",1/I670)</f>
        <v>80</v>
      </c>
      <c r="K670" s="8" t="n">
        <v>61.59</v>
      </c>
      <c r="L670" s="9" t="n">
        <v>0.28</v>
      </c>
      <c r="M670" s="10" t="n">
        <v>0.0046</v>
      </c>
      <c r="N670" s="8" t="n">
        <v>61.58</v>
      </c>
      <c r="O670" s="8" t="n">
        <v>61.58</v>
      </c>
      <c r="P670" s="8" t="n">
        <v>61.59</v>
      </c>
      <c r="Q670" s="8" t="n">
        <v>61.59</v>
      </c>
      <c r="R670" s="11" t="n">
        <v>4</v>
      </c>
      <c r="S670" s="11" t="n">
        <f aca="false">K670*R670</f>
        <v>246.36</v>
      </c>
      <c r="T670" s="8" t="n">
        <v>49.5315</v>
      </c>
      <c r="U670" s="8" t="n">
        <v>69.09</v>
      </c>
      <c r="V670" s="12" t="n">
        <f aca="false">IF(U670-T670=0,"",(K670-T670)/(U670-T670))</f>
        <v>0.616535010353555</v>
      </c>
      <c r="W670" s="13" t="n">
        <f aca="false">IF(U670=0,"",K670/U670-1)</f>
        <v>-0.108554059921841</v>
      </c>
      <c r="X670" s="11" t="n">
        <v>622720</v>
      </c>
      <c r="Y670" s="5" t="s">
        <v>142</v>
      </c>
      <c r="Z670" s="5" t="s">
        <v>144</v>
      </c>
      <c r="AA670" s="5" t="s">
        <v>143</v>
      </c>
      <c r="AB670" s="5"/>
      <c r="AC670" s="5" t="s">
        <v>2140</v>
      </c>
      <c r="AD670" s="14" t="n">
        <v>46288.771875</v>
      </c>
    </row>
    <row r="671" customFormat="false" ht="15" hidden="false" customHeight="false" outlineLevel="0" collapsed="false">
      <c r="A671" s="5" t="s">
        <v>2141</v>
      </c>
      <c r="B671" s="5" t="s">
        <v>2142</v>
      </c>
      <c r="C671" s="5" t="s">
        <v>55</v>
      </c>
      <c r="D671" s="5" t="s">
        <v>56</v>
      </c>
      <c r="E671" s="5" t="s">
        <v>312</v>
      </c>
      <c r="F671" s="5" t="s">
        <v>313</v>
      </c>
      <c r="G671" s="5" t="s">
        <v>59</v>
      </c>
      <c r="H671" s="5" t="s">
        <v>86</v>
      </c>
      <c r="I671" s="6" t="n">
        <v>0.25</v>
      </c>
      <c r="J671" s="7" t="n">
        <f aca="false">IF(I671="","",1/I671)</f>
        <v>4</v>
      </c>
      <c r="K671" s="8" t="n">
        <v>74.48</v>
      </c>
      <c r="L671" s="9" t="n">
        <v>-4.32</v>
      </c>
      <c r="M671" s="10" t="n">
        <v>-0.0548</v>
      </c>
      <c r="N671" s="8" t="n">
        <v>74.48</v>
      </c>
      <c r="O671" s="8" t="n">
        <v>74.48</v>
      </c>
      <c r="P671" s="8" t="n">
        <v>74.48</v>
      </c>
      <c r="Q671" s="8" t="n">
        <v>74.48</v>
      </c>
      <c r="R671" s="11" t="n">
        <v>500</v>
      </c>
      <c r="S671" s="11" t="n">
        <f aca="false">K671*R671</f>
        <v>37240</v>
      </c>
      <c r="T671" s="8" t="n">
        <v>62.6</v>
      </c>
      <c r="U671" s="8" t="n">
        <v>111.65</v>
      </c>
      <c r="V671" s="12" t="n">
        <f aca="false">IF(U671-T671=0,"",(K671-T671)/(U671-T671))</f>
        <v>0.242201834862385</v>
      </c>
      <c r="W671" s="13" t="n">
        <f aca="false">IF(U671=0,"",K671/U671-1)</f>
        <v>-0.332915360501567</v>
      </c>
      <c r="X671" s="11" t="n">
        <v>88172</v>
      </c>
      <c r="Y671" s="5" t="s">
        <v>312</v>
      </c>
      <c r="Z671" s="5" t="s">
        <v>314</v>
      </c>
      <c r="AA671" s="5" t="s">
        <v>313</v>
      </c>
      <c r="AB671" s="5"/>
      <c r="AC671" s="5" t="s">
        <v>2143</v>
      </c>
      <c r="AD671" s="14" t="n">
        <v>46288.771875</v>
      </c>
    </row>
    <row r="672" customFormat="false" ht="15" hidden="false" customHeight="false" outlineLevel="0" collapsed="false">
      <c r="A672" s="5" t="s">
        <v>2144</v>
      </c>
      <c r="B672" s="5" t="s">
        <v>2145</v>
      </c>
      <c r="C672" s="5" t="s">
        <v>55</v>
      </c>
      <c r="D672" s="5" t="s">
        <v>56</v>
      </c>
      <c r="E672" s="5" t="s">
        <v>71</v>
      </c>
      <c r="F672" s="5" t="s">
        <v>72</v>
      </c>
      <c r="G672" s="5" t="s">
        <v>59</v>
      </c>
      <c r="H672" s="5" t="s">
        <v>60</v>
      </c>
      <c r="I672" s="6" t="n">
        <v>0.0833333</v>
      </c>
      <c r="J672" s="7" t="n">
        <f aca="false">IF(I672="","",1/I672)</f>
        <v>12.0000048000019</v>
      </c>
      <c r="K672" s="8" t="n">
        <v>58.03</v>
      </c>
      <c r="L672" s="9" t="n">
        <v>0.03</v>
      </c>
      <c r="M672" s="10" t="n">
        <v>0.0005</v>
      </c>
      <c r="N672" s="8" t="n">
        <v>58</v>
      </c>
      <c r="O672" s="8" t="n">
        <v>57.66</v>
      </c>
      <c r="P672" s="8" t="n">
        <v>58.09</v>
      </c>
      <c r="Q672" s="8" t="n">
        <v>58.03</v>
      </c>
      <c r="R672" s="11" t="n">
        <v>122</v>
      </c>
      <c r="S672" s="11" t="n">
        <f aca="false">K672*R672</f>
        <v>7079.66</v>
      </c>
      <c r="T672" s="8" t="n">
        <v>50.2</v>
      </c>
      <c r="U672" s="8" t="n">
        <v>65.98</v>
      </c>
      <c r="V672" s="12" t="n">
        <f aca="false">IF(U672-T672=0,"",(K672-T672)/(U672-T672))</f>
        <v>0.496197718631179</v>
      </c>
      <c r="W672" s="13" t="n">
        <f aca="false">IF(U672=0,"",K672/U672-1)</f>
        <v>-0.120491057896332</v>
      </c>
      <c r="X672" s="11" t="n">
        <v>674028</v>
      </c>
      <c r="Y672" s="5" t="s">
        <v>71</v>
      </c>
      <c r="Z672" s="5" t="s">
        <v>73</v>
      </c>
      <c r="AA672" s="5" t="s">
        <v>72</v>
      </c>
      <c r="AB672" s="5"/>
      <c r="AC672" s="5" t="s">
        <v>2146</v>
      </c>
      <c r="AD672" s="14" t="n">
        <v>46288.771875</v>
      </c>
    </row>
    <row r="673" customFormat="false" ht="15" hidden="false" customHeight="false" outlineLevel="0" collapsed="false">
      <c r="A673" s="5" t="s">
        <v>2147</v>
      </c>
      <c r="B673" s="5" t="s">
        <v>2148</v>
      </c>
      <c r="C673" s="5" t="s">
        <v>55</v>
      </c>
      <c r="D673" s="5" t="s">
        <v>56</v>
      </c>
      <c r="E673" s="5" t="s">
        <v>65</v>
      </c>
      <c r="F673" s="5" t="s">
        <v>66</v>
      </c>
      <c r="G673" s="5" t="s">
        <v>59</v>
      </c>
      <c r="H673" s="5"/>
      <c r="I673" s="6"/>
      <c r="J673" s="7" t="str">
        <f aca="false">IF(I673="","",1/I673)</f>
        <v/>
      </c>
      <c r="K673" s="8" t="n">
        <v>275.67</v>
      </c>
      <c r="L673" s="9" t="n">
        <v>7.29</v>
      </c>
      <c r="M673" s="10" t="n">
        <v>0.0272</v>
      </c>
      <c r="N673" s="8" t="n">
        <v>275.67</v>
      </c>
      <c r="O673" s="8" t="n">
        <v>275.67</v>
      </c>
      <c r="P673" s="8" t="n">
        <v>275.67</v>
      </c>
      <c r="Q673" s="8" t="n">
        <v>275.67</v>
      </c>
      <c r="R673" s="11" t="n">
        <v>5</v>
      </c>
      <c r="S673" s="11" t="n">
        <f aca="false">K673*R673</f>
        <v>1378.35</v>
      </c>
      <c r="T673" s="8" t="n">
        <v>250.75</v>
      </c>
      <c r="U673" s="8" t="n">
        <v>344.61</v>
      </c>
      <c r="V673" s="12" t="n">
        <f aca="false">IF(U673-T673=0,"",(K673-T673)/(U673-T673))</f>
        <v>0.265501811208183</v>
      </c>
      <c r="W673" s="13" t="n">
        <f aca="false">IF(U673=0,"",K673/U673-1)</f>
        <v>-0.200052232958997</v>
      </c>
      <c r="X673" s="11" t="n">
        <v>122606</v>
      </c>
      <c r="Y673" s="5" t="s">
        <v>65</v>
      </c>
      <c r="Z673" s="5" t="s">
        <v>67</v>
      </c>
      <c r="AA673" s="5" t="s">
        <v>66</v>
      </c>
      <c r="AB673" s="5" t="s">
        <v>111</v>
      </c>
      <c r="AC673" s="5" t="s">
        <v>2149</v>
      </c>
      <c r="AD673" s="14" t="n">
        <v>46288.771875</v>
      </c>
    </row>
    <row r="674" customFormat="false" ht="15" hidden="false" customHeight="false" outlineLevel="0" collapsed="false">
      <c r="A674" s="5" t="s">
        <v>2150</v>
      </c>
      <c r="B674" s="5" t="s">
        <v>2151</v>
      </c>
      <c r="C674" s="5" t="s">
        <v>55</v>
      </c>
      <c r="D674" s="5" t="s">
        <v>56</v>
      </c>
      <c r="E674" s="5" t="s">
        <v>99</v>
      </c>
      <c r="F674" s="5" t="s">
        <v>100</v>
      </c>
      <c r="G674" s="5" t="s">
        <v>59</v>
      </c>
      <c r="H674" s="5" t="s">
        <v>60</v>
      </c>
      <c r="I674" s="6" t="n">
        <v>1</v>
      </c>
      <c r="J674" s="7" t="n">
        <f aca="false">IF(I674="","",1/I674)</f>
        <v>1</v>
      </c>
      <c r="K674" s="8" t="n">
        <v>72.3</v>
      </c>
      <c r="L674" s="9" t="n">
        <v>-3.79</v>
      </c>
      <c r="M674" s="10" t="n">
        <v>-0.0498</v>
      </c>
      <c r="N674" s="8" t="n">
        <v>72.3</v>
      </c>
      <c r="O674" s="8" t="n">
        <v>72.3</v>
      </c>
      <c r="P674" s="8" t="n">
        <v>72.3</v>
      </c>
      <c r="Q674" s="8" t="n">
        <v>72.3</v>
      </c>
      <c r="R674" s="11" t="n">
        <v>2</v>
      </c>
      <c r="S674" s="11" t="n">
        <f aca="false">K674*R674</f>
        <v>144.6</v>
      </c>
      <c r="T674" s="8" t="n">
        <v>49</v>
      </c>
      <c r="U674" s="8" t="n">
        <v>120.55</v>
      </c>
      <c r="V674" s="12" t="n">
        <f aca="false">IF(U674-T674=0,"",(K674-T674)/(U674-T674))</f>
        <v>0.325646401118099</v>
      </c>
      <c r="W674" s="13" t="n">
        <f aca="false">IF(U674=0,"",K674/U674-1)</f>
        <v>-0.400248859394442</v>
      </c>
      <c r="X674" s="11" t="n">
        <v>10163</v>
      </c>
      <c r="Y674" s="5" t="s">
        <v>99</v>
      </c>
      <c r="Z674" s="5" t="s">
        <v>101</v>
      </c>
      <c r="AA674" s="5" t="s">
        <v>100</v>
      </c>
      <c r="AB674" s="5"/>
      <c r="AC674" s="5" t="s">
        <v>2152</v>
      </c>
      <c r="AD674" s="14" t="n">
        <v>46288.771875</v>
      </c>
    </row>
    <row r="675" customFormat="false" ht="15" hidden="false" customHeight="false" outlineLevel="0" collapsed="false">
      <c r="A675" s="5" t="s">
        <v>2153</v>
      </c>
      <c r="B675" s="5" t="s">
        <v>2154</v>
      </c>
      <c r="C675" s="5" t="s">
        <v>55</v>
      </c>
      <c r="D675" s="5" t="s">
        <v>56</v>
      </c>
      <c r="E675" s="5" t="s">
        <v>71</v>
      </c>
      <c r="F675" s="5" t="s">
        <v>72</v>
      </c>
      <c r="G675" s="5" t="s">
        <v>59</v>
      </c>
      <c r="H675" s="5" t="s">
        <v>60</v>
      </c>
      <c r="I675" s="6" t="n">
        <v>0.04</v>
      </c>
      <c r="J675" s="7" t="n">
        <f aca="false">IF(I675="","",1/I675)</f>
        <v>25</v>
      </c>
      <c r="K675" s="8" t="n">
        <v>60.9</v>
      </c>
      <c r="L675" s="9" t="n">
        <v>-0.84</v>
      </c>
      <c r="M675" s="10" t="n">
        <v>-0.0136</v>
      </c>
      <c r="N675" s="8" t="n">
        <v>61.74</v>
      </c>
      <c r="O675" s="8" t="n">
        <v>60.85</v>
      </c>
      <c r="P675" s="8" t="n">
        <v>61.74</v>
      </c>
      <c r="Q675" s="8" t="n">
        <v>60.9</v>
      </c>
      <c r="R675" s="11" t="n">
        <v>15</v>
      </c>
      <c r="S675" s="11" t="n">
        <f aca="false">K675*R675</f>
        <v>913.5</v>
      </c>
      <c r="T675" s="8" t="n">
        <v>49.978</v>
      </c>
      <c r="U675" s="8" t="n">
        <v>68.25</v>
      </c>
      <c r="V675" s="12" t="n">
        <f aca="false">IF(U675-T675=0,"",(K675-T675)/(U675-T675))</f>
        <v>0.597745183887916</v>
      </c>
      <c r="W675" s="13" t="n">
        <f aca="false">IF(U675=0,"",K675/U675-1)</f>
        <v>-0.107692307692308</v>
      </c>
      <c r="X675" s="11" t="n">
        <v>277037</v>
      </c>
      <c r="Y675" s="5" t="s">
        <v>71</v>
      </c>
      <c r="Z675" s="5" t="s">
        <v>73</v>
      </c>
      <c r="AA675" s="5" t="s">
        <v>72</v>
      </c>
      <c r="AB675" s="5"/>
      <c r="AC675" s="5" t="s">
        <v>2155</v>
      </c>
      <c r="AD675" s="14" t="n">
        <v>46288.771875</v>
      </c>
    </row>
    <row r="676" customFormat="false" ht="15" hidden="false" customHeight="false" outlineLevel="0" collapsed="false">
      <c r="A676" s="5" t="s">
        <v>2156</v>
      </c>
      <c r="B676" s="5" t="s">
        <v>2157</v>
      </c>
      <c r="C676" s="5" t="s">
        <v>55</v>
      </c>
      <c r="D676" s="5" t="s">
        <v>56</v>
      </c>
      <c r="E676" s="5" t="s">
        <v>160</v>
      </c>
      <c r="F676" s="5" t="s">
        <v>161</v>
      </c>
      <c r="G676" s="5" t="s">
        <v>59</v>
      </c>
      <c r="H676" s="5" t="s">
        <v>60</v>
      </c>
      <c r="I676" s="6" t="n">
        <v>0.0625</v>
      </c>
      <c r="J676" s="7" t="n">
        <f aca="false">IF(I676="","",1/I676)</f>
        <v>16</v>
      </c>
      <c r="K676" s="8" t="n">
        <v>82.16</v>
      </c>
      <c r="L676" s="9" t="n">
        <v>-1.64</v>
      </c>
      <c r="M676" s="10" t="n">
        <v>-0.0196</v>
      </c>
      <c r="N676" s="8" t="n">
        <v>82.16</v>
      </c>
      <c r="O676" s="8" t="n">
        <v>82.16</v>
      </c>
      <c r="P676" s="8" t="n">
        <v>82.16</v>
      </c>
      <c r="Q676" s="8" t="n">
        <v>82.16</v>
      </c>
      <c r="R676" s="11" t="n">
        <v>48</v>
      </c>
      <c r="S676" s="11" t="n">
        <f aca="false">K676*R676</f>
        <v>3943.68</v>
      </c>
      <c r="T676" s="8" t="n">
        <v>44.4125</v>
      </c>
      <c r="U676" s="8" t="n">
        <v>85.68</v>
      </c>
      <c r="V676" s="12" t="n">
        <f aca="false">IF(U676-T676=0,"",(K676-T676)/(U676-T676))</f>
        <v>0.914702853334949</v>
      </c>
      <c r="W676" s="13" t="n">
        <f aca="false">IF(U676=0,"",K676/U676-1)</f>
        <v>-0.0410830999066294</v>
      </c>
      <c r="X676" s="11" t="n">
        <v>524363</v>
      </c>
      <c r="Y676" s="5" t="s">
        <v>160</v>
      </c>
      <c r="Z676" s="5" t="s">
        <v>162</v>
      </c>
      <c r="AA676" s="5" t="s">
        <v>161</v>
      </c>
      <c r="AB676" s="5"/>
      <c r="AC676" s="5" t="s">
        <v>2158</v>
      </c>
      <c r="AD676" s="14" t="n">
        <v>46288.771875</v>
      </c>
    </row>
    <row r="677" customFormat="false" ht="15" hidden="false" customHeight="false" outlineLevel="0" collapsed="false">
      <c r="A677" s="5" t="s">
        <v>2159</v>
      </c>
      <c r="B677" s="5" t="s">
        <v>2160</v>
      </c>
      <c r="C677" s="5" t="s">
        <v>55</v>
      </c>
      <c r="D677" s="5" t="s">
        <v>56</v>
      </c>
      <c r="E677" s="5" t="s">
        <v>71</v>
      </c>
      <c r="F677" s="5" t="s">
        <v>72</v>
      </c>
      <c r="G677" s="5" t="s">
        <v>59</v>
      </c>
      <c r="H677" s="5" t="s">
        <v>86</v>
      </c>
      <c r="I677" s="6" t="n">
        <v>0.25</v>
      </c>
      <c r="J677" s="7" t="n">
        <f aca="false">IF(I677="","",1/I677)</f>
        <v>4</v>
      </c>
      <c r="K677" s="8" t="n">
        <v>34.11</v>
      </c>
      <c r="L677" s="9" t="n">
        <v>-0.41</v>
      </c>
      <c r="M677" s="10" t="n">
        <v>-0.0119</v>
      </c>
      <c r="N677" s="8" t="n">
        <v>34.11</v>
      </c>
      <c r="O677" s="8" t="n">
        <v>34.11</v>
      </c>
      <c r="P677" s="8" t="n">
        <v>34.11</v>
      </c>
      <c r="Q677" s="8" t="n">
        <v>34.11</v>
      </c>
      <c r="R677" s="11" t="n">
        <v>10</v>
      </c>
      <c r="S677" s="11" t="n">
        <f aca="false">K677*R677</f>
        <v>341.1</v>
      </c>
      <c r="T677" s="8" t="n">
        <v>32.85</v>
      </c>
      <c r="U677" s="8" t="n">
        <v>43.7</v>
      </c>
      <c r="V677" s="12" t="n">
        <f aca="false">IF(U677-T677=0,"",(K677-T677)/(U677-T677))</f>
        <v>0.116129032258064</v>
      </c>
      <c r="W677" s="13" t="n">
        <f aca="false">IF(U677=0,"",K677/U677-1)</f>
        <v>-0.219450800915332</v>
      </c>
      <c r="X677" s="11" t="n">
        <v>161141</v>
      </c>
      <c r="Y677" s="5" t="s">
        <v>71</v>
      </c>
      <c r="Z677" s="5" t="s">
        <v>73</v>
      </c>
      <c r="AA677" s="5" t="s">
        <v>72</v>
      </c>
      <c r="AB677" s="5"/>
      <c r="AC677" s="5" t="s">
        <v>2161</v>
      </c>
      <c r="AD677" s="14" t="n">
        <v>46288.771875</v>
      </c>
    </row>
    <row r="678" customFormat="false" ht="15" hidden="false" customHeight="false" outlineLevel="0" collapsed="false">
      <c r="A678" s="5" t="s">
        <v>2162</v>
      </c>
      <c r="B678" s="5" t="s">
        <v>2163</v>
      </c>
      <c r="C678" s="5" t="s">
        <v>55</v>
      </c>
      <c r="D678" s="5" t="s">
        <v>56</v>
      </c>
      <c r="E678" s="5" t="s">
        <v>115</v>
      </c>
      <c r="F678" s="5" t="s">
        <v>116</v>
      </c>
      <c r="G678" s="5" t="s">
        <v>59</v>
      </c>
      <c r="H678" s="5" t="s">
        <v>60</v>
      </c>
      <c r="I678" s="6" t="n">
        <v>0.033</v>
      </c>
      <c r="J678" s="7" t="n">
        <f aca="false">IF(I678="","",1/I678)</f>
        <v>30.3030303030303</v>
      </c>
      <c r="K678" s="8" t="n">
        <v>38.35</v>
      </c>
      <c r="L678" s="9" t="n">
        <v>-0.78</v>
      </c>
      <c r="M678" s="10" t="n">
        <v>-0.0199</v>
      </c>
      <c r="N678" s="8" t="n">
        <v>38.35</v>
      </c>
      <c r="O678" s="8" t="n">
        <v>38.35</v>
      </c>
      <c r="P678" s="8" t="n">
        <v>38.35</v>
      </c>
      <c r="Q678" s="8" t="n">
        <v>38.35</v>
      </c>
      <c r="R678" s="11" t="n">
        <v>270</v>
      </c>
      <c r="S678" s="11" t="n">
        <f aca="false">K678*R678</f>
        <v>10354.5</v>
      </c>
      <c r="T678" s="8" t="n">
        <v>17.89</v>
      </c>
      <c r="U678" s="8" t="n">
        <v>41.64</v>
      </c>
      <c r="V678" s="12" t="n">
        <f aca="false">IF(U678-T678=0,"",(K678-T678)/(U678-T678))</f>
        <v>0.861473684210526</v>
      </c>
      <c r="W678" s="13" t="n">
        <f aca="false">IF(U678=0,"",K678/U678-1)</f>
        <v>-0.0790105667627281</v>
      </c>
      <c r="X678" s="11" t="n">
        <v>50905</v>
      </c>
      <c r="Y678" s="5" t="s">
        <v>115</v>
      </c>
      <c r="Z678" s="5" t="s">
        <v>117</v>
      </c>
      <c r="AA678" s="5" t="s">
        <v>116</v>
      </c>
      <c r="AB678" s="5"/>
      <c r="AC678" s="5" t="s">
        <v>2164</v>
      </c>
      <c r="AD678" s="14" t="n">
        <v>46288.771875</v>
      </c>
    </row>
    <row r="679" customFormat="false" ht="15" hidden="false" customHeight="false" outlineLevel="0" collapsed="false">
      <c r="A679" s="5" t="s">
        <v>2165</v>
      </c>
      <c r="B679" s="5" t="s">
        <v>2166</v>
      </c>
      <c r="C679" s="5" t="s">
        <v>55</v>
      </c>
      <c r="D679" s="5" t="s">
        <v>56</v>
      </c>
      <c r="E679" s="5" t="s">
        <v>115</v>
      </c>
      <c r="F679" s="5" t="s">
        <v>116</v>
      </c>
      <c r="G679" s="5" t="s">
        <v>59</v>
      </c>
      <c r="H679" s="5" t="s">
        <v>60</v>
      </c>
      <c r="I679" s="6" t="n">
        <v>0.016666</v>
      </c>
      <c r="J679" s="7" t="n">
        <f aca="false">IF(I679="","",1/I679)</f>
        <v>60.0024000960038</v>
      </c>
      <c r="K679" s="8" t="n">
        <v>33.72</v>
      </c>
      <c r="L679" s="9" t="n">
        <v>2.16</v>
      </c>
      <c r="M679" s="10" t="n">
        <v>0.0684</v>
      </c>
      <c r="N679" s="8" t="n">
        <v>32.13</v>
      </c>
      <c r="O679" s="8" t="n">
        <v>32.13</v>
      </c>
      <c r="P679" s="8" t="n">
        <v>33.92</v>
      </c>
      <c r="Q679" s="8" t="n">
        <v>33.92</v>
      </c>
      <c r="R679" s="11" t="n">
        <v>219823</v>
      </c>
      <c r="S679" s="11" t="n">
        <f aca="false">K679*R679</f>
        <v>7412431.56</v>
      </c>
      <c r="T679" s="8" t="n">
        <v>11.99</v>
      </c>
      <c r="U679" s="8" t="n">
        <v>34.41</v>
      </c>
      <c r="V679" s="12" t="n">
        <f aca="false">IF(U679-T679=0,"",(K679-T679)/(U679-T679))</f>
        <v>0.969223907225691</v>
      </c>
      <c r="W679" s="13" t="n">
        <f aca="false">IF(U679=0,"",K679/U679-1)</f>
        <v>-0.020052310374891</v>
      </c>
      <c r="X679" s="11" t="n">
        <v>1568057</v>
      </c>
      <c r="Y679" s="5" t="s">
        <v>115</v>
      </c>
      <c r="Z679" s="5" t="s">
        <v>117</v>
      </c>
      <c r="AA679" s="5" t="s">
        <v>116</v>
      </c>
      <c r="AB679" s="5"/>
      <c r="AC679" s="5" t="s">
        <v>2167</v>
      </c>
      <c r="AD679" s="14" t="n">
        <v>46288.771875</v>
      </c>
    </row>
    <row r="680" customFormat="false" ht="15" hidden="false" customHeight="false" outlineLevel="0" collapsed="false">
      <c r="A680" s="5" t="s">
        <v>2168</v>
      </c>
      <c r="B680" s="5" t="s">
        <v>2169</v>
      </c>
      <c r="C680" s="5" t="s">
        <v>55</v>
      </c>
      <c r="D680" s="5" t="s">
        <v>56</v>
      </c>
      <c r="E680" s="5" t="s">
        <v>115</v>
      </c>
      <c r="F680" s="5" t="s">
        <v>116</v>
      </c>
      <c r="G680" s="5" t="s">
        <v>59</v>
      </c>
      <c r="H680" s="5" t="s">
        <v>60</v>
      </c>
      <c r="I680" s="6" t="n">
        <v>0.125</v>
      </c>
      <c r="J680" s="7" t="n">
        <f aca="false">IF(I680="","",1/I680)</f>
        <v>8</v>
      </c>
      <c r="K680" s="8" t="n">
        <v>8.45</v>
      </c>
      <c r="L680" s="9" t="n">
        <v>-0.02</v>
      </c>
      <c r="M680" s="10" t="n">
        <v>-0.0024</v>
      </c>
      <c r="N680" s="8" t="n">
        <v>8.46</v>
      </c>
      <c r="O680" s="8" t="n">
        <v>8.16</v>
      </c>
      <c r="P680" s="8" t="n">
        <v>8.54</v>
      </c>
      <c r="Q680" s="8" t="n">
        <v>8.45</v>
      </c>
      <c r="R680" s="11" t="n">
        <v>2260</v>
      </c>
      <c r="S680" s="11" t="n">
        <f aca="false">K680*R680</f>
        <v>19097</v>
      </c>
      <c r="T680" s="8" t="n">
        <v>5.72</v>
      </c>
      <c r="U680" s="8" t="n">
        <v>13.44</v>
      </c>
      <c r="V680" s="12" t="n">
        <f aca="false">IF(U680-T680=0,"",(K680-T680)/(U680-T680))</f>
        <v>0.353626943005181</v>
      </c>
      <c r="W680" s="13" t="n">
        <f aca="false">IF(U680=0,"",K680/U680-1)</f>
        <v>-0.371279761904762</v>
      </c>
      <c r="X680" s="11" t="n">
        <v>35339</v>
      </c>
      <c r="Y680" s="5" t="s">
        <v>115</v>
      </c>
      <c r="Z680" s="5" t="s">
        <v>117</v>
      </c>
      <c r="AA680" s="5" t="s">
        <v>116</v>
      </c>
      <c r="AB680" s="5"/>
      <c r="AC680" s="5" t="s">
        <v>2170</v>
      </c>
      <c r="AD680" s="14" t="n">
        <v>46288.771875</v>
      </c>
    </row>
    <row r="681" customFormat="false" ht="15" hidden="false" customHeight="false" outlineLevel="0" collapsed="false">
      <c r="A681" s="5" t="s">
        <v>2171</v>
      </c>
      <c r="B681" s="5" t="s">
        <v>2172</v>
      </c>
      <c r="C681" s="5" t="s">
        <v>55</v>
      </c>
      <c r="D681" s="5" t="s">
        <v>56</v>
      </c>
      <c r="E681" s="5" t="s">
        <v>71</v>
      </c>
      <c r="F681" s="5" t="s">
        <v>72</v>
      </c>
      <c r="G681" s="5" t="s">
        <v>59</v>
      </c>
      <c r="H681" s="5"/>
      <c r="I681" s="6"/>
      <c r="J681" s="7" t="str">
        <f aca="false">IF(I681="","",1/I681)</f>
        <v/>
      </c>
      <c r="K681" s="8" t="n">
        <v>25.98</v>
      </c>
      <c r="L681" s="9" t="n">
        <v>-0.21</v>
      </c>
      <c r="M681" s="10" t="n">
        <v>-0.008</v>
      </c>
      <c r="N681" s="8" t="n">
        <v>25.77</v>
      </c>
      <c r="O681" s="8" t="n">
        <v>25.77</v>
      </c>
      <c r="P681" s="8" t="n">
        <v>25.98</v>
      </c>
      <c r="Q681" s="8" t="n">
        <v>25.98</v>
      </c>
      <c r="R681" s="11" t="n">
        <v>3</v>
      </c>
      <c r="S681" s="11" t="n">
        <f aca="false">K681*R681</f>
        <v>77.94</v>
      </c>
      <c r="T681" s="8" t="n">
        <v>25.77</v>
      </c>
      <c r="U681" s="8" t="n">
        <v>48.5</v>
      </c>
      <c r="V681" s="12" t="n">
        <f aca="false">IF(U681-T681=0,"",(K681-T681)/(U681-T681))</f>
        <v>0.00923889133304007</v>
      </c>
      <c r="W681" s="13" t="n">
        <f aca="false">IF(U681=0,"",K681/U681-1)</f>
        <v>-0.464329896907217</v>
      </c>
      <c r="X681" s="11" t="n">
        <v>8673</v>
      </c>
      <c r="Y681" s="5" t="s">
        <v>71</v>
      </c>
      <c r="Z681" s="5" t="s">
        <v>73</v>
      </c>
      <c r="AA681" s="5" t="s">
        <v>72</v>
      </c>
      <c r="AB681" s="5" t="s">
        <v>111</v>
      </c>
      <c r="AC681" s="5" t="s">
        <v>2173</v>
      </c>
      <c r="AD681" s="14" t="n">
        <v>46288.771875</v>
      </c>
    </row>
    <row r="682" customFormat="false" ht="15" hidden="false" customHeight="false" outlineLevel="0" collapsed="false">
      <c r="A682" s="5" t="s">
        <v>2174</v>
      </c>
      <c r="B682" s="5" t="s">
        <v>2175</v>
      </c>
      <c r="C682" s="5" t="s">
        <v>55</v>
      </c>
      <c r="D682" s="5" t="s">
        <v>56</v>
      </c>
      <c r="E682" s="5" t="s">
        <v>127</v>
      </c>
      <c r="F682" s="5" t="s">
        <v>128</v>
      </c>
      <c r="G682" s="5" t="s">
        <v>59</v>
      </c>
      <c r="H682" s="5" t="s">
        <v>60</v>
      </c>
      <c r="I682" s="6" t="n">
        <v>0.0069444</v>
      </c>
      <c r="J682" s="7" t="n">
        <f aca="false">IF(I682="","",1/I682)</f>
        <v>144.000921605898</v>
      </c>
      <c r="K682" s="8" t="n">
        <v>7.19</v>
      </c>
      <c r="L682" s="9" t="n">
        <v>0.05</v>
      </c>
      <c r="M682" s="10" t="n">
        <v>0.007</v>
      </c>
      <c r="N682" s="8" t="n">
        <v>7.19</v>
      </c>
      <c r="O682" s="8" t="n">
        <v>7.19</v>
      </c>
      <c r="P682" s="8" t="n">
        <v>7.19</v>
      </c>
      <c r="Q682" s="8" t="n">
        <v>7.19</v>
      </c>
      <c r="R682" s="11" t="n">
        <v>1</v>
      </c>
      <c r="S682" s="11" t="n">
        <f aca="false">K682*R682</f>
        <v>7.19</v>
      </c>
      <c r="T682" s="8" t="n">
        <v>7.09</v>
      </c>
      <c r="U682" s="8" t="n">
        <v>10.64</v>
      </c>
      <c r="V682" s="12" t="n">
        <f aca="false">IF(U682-T682=0,"",(K682-T682)/(U682-T682))</f>
        <v>0.0281690140845072</v>
      </c>
      <c r="W682" s="13" t="n">
        <f aca="false">IF(U682=0,"",K682/U682-1)</f>
        <v>-0.324248120300752</v>
      </c>
      <c r="X682" s="11" t="n">
        <v>63233</v>
      </c>
      <c r="Y682" s="5" t="s">
        <v>127</v>
      </c>
      <c r="Z682" s="5" t="s">
        <v>129</v>
      </c>
      <c r="AA682" s="5" t="s">
        <v>128</v>
      </c>
      <c r="AB682" s="5"/>
      <c r="AC682" s="5" t="s">
        <v>2176</v>
      </c>
      <c r="AD682" s="14" t="n">
        <v>46288.771875</v>
      </c>
    </row>
    <row r="683" customFormat="false" ht="15" hidden="false" customHeight="false" outlineLevel="0" collapsed="false">
      <c r="A683" s="5" t="s">
        <v>2177</v>
      </c>
      <c r="B683" s="5" t="s">
        <v>2178</v>
      </c>
      <c r="C683" s="5" t="s">
        <v>55</v>
      </c>
      <c r="D683" s="5" t="s">
        <v>56</v>
      </c>
      <c r="E683" s="5" t="s">
        <v>115</v>
      </c>
      <c r="F683" s="5" t="s">
        <v>116</v>
      </c>
      <c r="G683" s="5" t="s">
        <v>59</v>
      </c>
      <c r="H683" s="5" t="s">
        <v>60</v>
      </c>
      <c r="I683" s="6" t="n">
        <v>0.033333</v>
      </c>
      <c r="J683" s="7" t="n">
        <f aca="false">IF(I683="","",1/I683)</f>
        <v>30.000300003</v>
      </c>
      <c r="K683" s="8" t="n">
        <v>24.33</v>
      </c>
      <c r="L683" s="9" t="n">
        <v>-0.14</v>
      </c>
      <c r="M683" s="10" t="n">
        <v>-0.0057</v>
      </c>
      <c r="N683" s="8" t="n">
        <v>24.33</v>
      </c>
      <c r="O683" s="8" t="n">
        <v>24.33</v>
      </c>
      <c r="P683" s="8" t="n">
        <v>24.33</v>
      </c>
      <c r="Q683" s="8" t="n">
        <v>24.33</v>
      </c>
      <c r="R683" s="11" t="n">
        <v>654</v>
      </c>
      <c r="S683" s="11" t="n">
        <f aca="false">K683*R683</f>
        <v>15911.82</v>
      </c>
      <c r="T683" s="8" t="n">
        <v>16</v>
      </c>
      <c r="U683" s="8" t="n">
        <v>29.34</v>
      </c>
      <c r="V683" s="12" t="n">
        <f aca="false">IF(U683-T683=0,"",(K683-T683)/(U683-T683))</f>
        <v>0.624437781109445</v>
      </c>
      <c r="W683" s="13" t="n">
        <f aca="false">IF(U683=0,"",K683/U683-1)</f>
        <v>-0.170756646216769</v>
      </c>
      <c r="X683" s="11" t="n">
        <v>39565</v>
      </c>
      <c r="Y683" s="5" t="s">
        <v>115</v>
      </c>
      <c r="Z683" s="5" t="s">
        <v>117</v>
      </c>
      <c r="AA683" s="5" t="s">
        <v>116</v>
      </c>
      <c r="AB683" s="5"/>
      <c r="AC683" s="5" t="s">
        <v>2179</v>
      </c>
      <c r="AD683" s="14" t="n">
        <v>46288.771875</v>
      </c>
    </row>
    <row r="684" customFormat="false" ht="15" hidden="false" customHeight="false" outlineLevel="0" collapsed="false">
      <c r="A684" s="5" t="s">
        <v>2180</v>
      </c>
      <c r="B684" s="5" t="s">
        <v>2181</v>
      </c>
      <c r="C684" s="5" t="s">
        <v>55</v>
      </c>
      <c r="D684" s="5" t="s">
        <v>56</v>
      </c>
      <c r="E684" s="5" t="s">
        <v>182</v>
      </c>
      <c r="F684" s="5" t="s">
        <v>183</v>
      </c>
      <c r="G684" s="5" t="s">
        <v>59</v>
      </c>
      <c r="H684" s="5" t="s">
        <v>60</v>
      </c>
      <c r="I684" s="6" t="n">
        <v>0.1</v>
      </c>
      <c r="J684" s="7" t="n">
        <f aca="false">IF(I684="","",1/I684)</f>
        <v>10</v>
      </c>
      <c r="K684" s="8" t="n">
        <v>8.29</v>
      </c>
      <c r="L684" s="9" t="n">
        <v>-0.31</v>
      </c>
      <c r="M684" s="10" t="n">
        <v>-0.036</v>
      </c>
      <c r="N684" s="8" t="n">
        <v>8.29</v>
      </c>
      <c r="O684" s="8" t="n">
        <v>8.29</v>
      </c>
      <c r="P684" s="8" t="n">
        <v>8.29</v>
      </c>
      <c r="Q684" s="8" t="n">
        <v>8.29</v>
      </c>
      <c r="R684" s="11" t="n">
        <v>2</v>
      </c>
      <c r="S684" s="11" t="n">
        <f aca="false">K684*R684</f>
        <v>16.58</v>
      </c>
      <c r="T684" s="8" t="n">
        <v>6.3</v>
      </c>
      <c r="U684" s="8" t="n">
        <v>11.19</v>
      </c>
      <c r="V684" s="12" t="n">
        <f aca="false">IF(U684-T684=0,"",(K684-T684)/(U684-T684))</f>
        <v>0.406952965235174</v>
      </c>
      <c r="W684" s="13" t="n">
        <f aca="false">IF(U684=0,"",K684/U684-1)</f>
        <v>-0.259159964253798</v>
      </c>
      <c r="X684" s="11" t="n">
        <v>10909</v>
      </c>
      <c r="Y684" s="5" t="s">
        <v>182</v>
      </c>
      <c r="Z684" s="5" t="s">
        <v>184</v>
      </c>
      <c r="AA684" s="5" t="s">
        <v>183</v>
      </c>
      <c r="AB684" s="5"/>
      <c r="AC684" s="5" t="s">
        <v>2182</v>
      </c>
      <c r="AD684" s="14" t="n">
        <v>46288.771875</v>
      </c>
    </row>
    <row r="685" customFormat="false" ht="15" hidden="false" customHeight="false" outlineLevel="0" collapsed="false">
      <c r="A685" s="5" t="s">
        <v>2183</v>
      </c>
      <c r="B685" s="5" t="s">
        <v>2184</v>
      </c>
      <c r="C685" s="5" t="s">
        <v>55</v>
      </c>
      <c r="D685" s="5" t="s">
        <v>56</v>
      </c>
      <c r="E685" s="5" t="s">
        <v>115</v>
      </c>
      <c r="F685" s="5" t="s">
        <v>116</v>
      </c>
      <c r="G685" s="5" t="s">
        <v>59</v>
      </c>
      <c r="H685" s="5" t="s">
        <v>60</v>
      </c>
      <c r="I685" s="6" t="n">
        <v>0.1666</v>
      </c>
      <c r="J685" s="7" t="n">
        <f aca="false">IF(I685="","",1/I685)</f>
        <v>6.00240096038415</v>
      </c>
      <c r="K685" s="8" t="n">
        <v>15.6</v>
      </c>
      <c r="L685" s="9" t="n">
        <v>0</v>
      </c>
      <c r="M685" s="10" t="n">
        <v>0</v>
      </c>
      <c r="N685" s="8" t="n">
        <v>15.6</v>
      </c>
      <c r="O685" s="8" t="n">
        <v>15.6</v>
      </c>
      <c r="P685" s="8" t="n">
        <v>15.6</v>
      </c>
      <c r="Q685" s="8" t="n">
        <v>15.6</v>
      </c>
      <c r="R685" s="11" t="n">
        <v>1</v>
      </c>
      <c r="S685" s="11" t="n">
        <f aca="false">K685*R685</f>
        <v>15.6</v>
      </c>
      <c r="T685" s="8" t="n">
        <v>12.24</v>
      </c>
      <c r="U685" s="8" t="n">
        <v>30.5</v>
      </c>
      <c r="V685" s="12" t="n">
        <f aca="false">IF(U685-T685=0,"",(K685-T685)/(U685-T685))</f>
        <v>0.184008762322015</v>
      </c>
      <c r="W685" s="13" t="n">
        <f aca="false">IF(U685=0,"",K685/U685-1)</f>
        <v>-0.488524590163934</v>
      </c>
      <c r="X685" s="11" t="n">
        <v>53298</v>
      </c>
      <c r="Y685" s="5" t="s">
        <v>115</v>
      </c>
      <c r="Z685" s="5" t="s">
        <v>117</v>
      </c>
      <c r="AA685" s="5" t="s">
        <v>116</v>
      </c>
      <c r="AB685" s="5"/>
      <c r="AC685" s="5" t="s">
        <v>2185</v>
      </c>
      <c r="AD685" s="14" t="n">
        <v>46288.771875</v>
      </c>
    </row>
    <row r="686" customFormat="false" ht="15" hidden="false" customHeight="false" outlineLevel="0" collapsed="false">
      <c r="A686" s="5" t="s">
        <v>2186</v>
      </c>
      <c r="B686" s="5" t="s">
        <v>2187</v>
      </c>
      <c r="C686" s="5" t="s">
        <v>55</v>
      </c>
      <c r="D686" s="5" t="s">
        <v>56</v>
      </c>
      <c r="E686" s="5" t="s">
        <v>115</v>
      </c>
      <c r="F686" s="5" t="s">
        <v>116</v>
      </c>
      <c r="G686" s="5" t="s">
        <v>59</v>
      </c>
      <c r="H686" s="5" t="s">
        <v>60</v>
      </c>
      <c r="I686" s="6" t="n">
        <v>0.3333</v>
      </c>
      <c r="J686" s="7" t="n">
        <f aca="false">IF(I686="","",1/I686)</f>
        <v>3.000300030003</v>
      </c>
      <c r="K686" s="8" t="n">
        <v>330.21</v>
      </c>
      <c r="L686" s="9" t="n">
        <v>16.2</v>
      </c>
      <c r="M686" s="10" t="n">
        <v>0.0516</v>
      </c>
      <c r="N686" s="8" t="n">
        <v>314.02</v>
      </c>
      <c r="O686" s="8" t="n">
        <v>312.81</v>
      </c>
      <c r="P686" s="8" t="n">
        <v>332</v>
      </c>
      <c r="Q686" s="8" t="n">
        <v>330.4</v>
      </c>
      <c r="R686" s="11" t="n">
        <v>67160</v>
      </c>
      <c r="S686" s="11" t="n">
        <f aca="false">K686*R686</f>
        <v>22176903.6</v>
      </c>
      <c r="T686" s="8" t="n">
        <v>184</v>
      </c>
      <c r="U686" s="8" t="n">
        <v>373.83</v>
      </c>
      <c r="V686" s="12" t="n">
        <f aca="false">IF(U686-T686=0,"",(K686-T686)/(U686-T686))</f>
        <v>0.770215455934257</v>
      </c>
      <c r="W686" s="13" t="n">
        <f aca="false">IF(U686=0,"",K686/U686-1)</f>
        <v>-0.116684054249258</v>
      </c>
      <c r="X686" s="11" t="n">
        <v>2275035</v>
      </c>
      <c r="Y686" s="5" t="s">
        <v>115</v>
      </c>
      <c r="Z686" s="5" t="s">
        <v>117</v>
      </c>
      <c r="AA686" s="5" t="s">
        <v>116</v>
      </c>
      <c r="AB686" s="5"/>
      <c r="AC686" s="5" t="s">
        <v>2188</v>
      </c>
      <c r="AD686" s="14" t="n">
        <v>46288.771875</v>
      </c>
    </row>
    <row r="687" customFormat="false" ht="15" hidden="false" customHeight="false" outlineLevel="0" collapsed="false">
      <c r="A687" s="5" t="s">
        <v>2189</v>
      </c>
      <c r="B687" s="5" t="s">
        <v>2190</v>
      </c>
      <c r="C687" s="5" t="s">
        <v>55</v>
      </c>
      <c r="D687" s="5" t="s">
        <v>56</v>
      </c>
      <c r="E687" s="5" t="s">
        <v>273</v>
      </c>
      <c r="F687" s="5" t="s">
        <v>274</v>
      </c>
      <c r="G687" s="5" t="s">
        <v>59</v>
      </c>
      <c r="H687" s="5" t="s">
        <v>60</v>
      </c>
      <c r="I687" s="6" t="n">
        <v>0.1666667</v>
      </c>
      <c r="J687" s="7" t="n">
        <f aca="false">IF(I687="","",1/I687)</f>
        <v>5.99999880000024</v>
      </c>
      <c r="K687" s="8" t="n">
        <v>67.19</v>
      </c>
      <c r="L687" s="9" t="n">
        <v>-6.74</v>
      </c>
      <c r="M687" s="10" t="n">
        <v>-0.0912</v>
      </c>
      <c r="N687" s="8" t="n">
        <v>67.19</v>
      </c>
      <c r="O687" s="8" t="n">
        <v>67.19</v>
      </c>
      <c r="P687" s="8" t="n">
        <v>67.19</v>
      </c>
      <c r="Q687" s="8" t="n">
        <v>67.19</v>
      </c>
      <c r="R687" s="11" t="n">
        <v>1</v>
      </c>
      <c r="S687" s="11" t="n">
        <f aca="false">K687*R687</f>
        <v>67.19</v>
      </c>
      <c r="T687" s="8" t="n">
        <v>67.19</v>
      </c>
      <c r="U687" s="8" t="n">
        <v>89.4</v>
      </c>
      <c r="V687" s="12" t="n">
        <f aca="false">IF(U687-T687=0,"",(K687-T687)/(U687-T687))</f>
        <v>0</v>
      </c>
      <c r="W687" s="13" t="n">
        <f aca="false">IF(U687=0,"",K687/U687-1)</f>
        <v>-0.248434004474273</v>
      </c>
      <c r="X687" s="11" t="n">
        <v>17090</v>
      </c>
      <c r="Y687" s="5" t="s">
        <v>273</v>
      </c>
      <c r="Z687" s="5" t="s">
        <v>275</v>
      </c>
      <c r="AA687" s="5" t="s">
        <v>274</v>
      </c>
      <c r="AB687" s="5"/>
      <c r="AC687" s="5" t="s">
        <v>2191</v>
      </c>
      <c r="AD687" s="14" t="n">
        <v>46288.771875</v>
      </c>
    </row>
    <row r="688" customFormat="false" ht="15" hidden="false" customHeight="false" outlineLevel="0" collapsed="false">
      <c r="A688" s="5" t="s">
        <v>2192</v>
      </c>
      <c r="B688" s="5" t="s">
        <v>2193</v>
      </c>
      <c r="C688" s="5" t="s">
        <v>55</v>
      </c>
      <c r="D688" s="5" t="s">
        <v>56</v>
      </c>
      <c r="E688" s="5" t="s">
        <v>77</v>
      </c>
      <c r="F688" s="5" t="s">
        <v>78</v>
      </c>
      <c r="G688" s="5" t="s">
        <v>59</v>
      </c>
      <c r="H688" s="5" t="s">
        <v>60</v>
      </c>
      <c r="I688" s="6" t="n">
        <v>0.25</v>
      </c>
      <c r="J688" s="7" t="n">
        <f aca="false">IF(I688="","",1/I688)</f>
        <v>4</v>
      </c>
      <c r="K688" s="8" t="n">
        <v>124.2</v>
      </c>
      <c r="L688" s="9" t="n">
        <v>-0.08</v>
      </c>
      <c r="M688" s="10" t="n">
        <v>-0.0006</v>
      </c>
      <c r="N688" s="8" t="n">
        <v>124.2</v>
      </c>
      <c r="O688" s="8" t="n">
        <v>124.2</v>
      </c>
      <c r="P688" s="8" t="n">
        <v>124.2</v>
      </c>
      <c r="Q688" s="8" t="n">
        <v>124.2</v>
      </c>
      <c r="R688" s="11" t="n">
        <v>76</v>
      </c>
      <c r="S688" s="11" t="n">
        <f aca="false">K688*R688</f>
        <v>9439.2</v>
      </c>
      <c r="T688" s="8" t="n">
        <v>75.15</v>
      </c>
      <c r="U688" s="8" t="n">
        <v>153.86</v>
      </c>
      <c r="V688" s="12" t="n">
        <f aca="false">IF(U688-T688=0,"",(K688-T688)/(U688-T688))</f>
        <v>0.623173675517723</v>
      </c>
      <c r="W688" s="13" t="n">
        <f aca="false">IF(U688=0,"",K688/U688-1)</f>
        <v>-0.192772650461459</v>
      </c>
      <c r="X688" s="11" t="n">
        <v>189107</v>
      </c>
      <c r="Y688" s="5" t="s">
        <v>77</v>
      </c>
      <c r="Z688" s="5" t="s">
        <v>79</v>
      </c>
      <c r="AA688" s="5" t="s">
        <v>78</v>
      </c>
      <c r="AB688" s="5"/>
      <c r="AC688" s="5" t="s">
        <v>2194</v>
      </c>
      <c r="AD688" s="14" t="n">
        <v>46288.771875</v>
      </c>
    </row>
    <row r="689" customFormat="false" ht="15" hidden="false" customHeight="false" outlineLevel="0" collapsed="false">
      <c r="A689" s="5" t="s">
        <v>2195</v>
      </c>
      <c r="B689" s="5" t="s">
        <v>2196</v>
      </c>
      <c r="C689" s="5" t="s">
        <v>55</v>
      </c>
      <c r="D689" s="5" t="s">
        <v>56</v>
      </c>
      <c r="E689" s="5" t="s">
        <v>115</v>
      </c>
      <c r="F689" s="5" t="s">
        <v>116</v>
      </c>
      <c r="G689" s="5" t="s">
        <v>59</v>
      </c>
      <c r="H689" s="5" t="s">
        <v>60</v>
      </c>
      <c r="I689" s="6" t="n">
        <v>0.066666</v>
      </c>
      <c r="J689" s="7" t="n">
        <f aca="false">IF(I689="","",1/I689)</f>
        <v>15.0001500015</v>
      </c>
      <c r="K689" s="8" t="n">
        <v>45.93</v>
      </c>
      <c r="L689" s="9" t="n">
        <v>2.46</v>
      </c>
      <c r="M689" s="10" t="n">
        <v>0.0566</v>
      </c>
      <c r="N689" s="8" t="n">
        <v>45.93</v>
      </c>
      <c r="O689" s="8" t="n">
        <v>45.93</v>
      </c>
      <c r="P689" s="8" t="n">
        <v>45.93</v>
      </c>
      <c r="Q689" s="8" t="n">
        <v>45.93</v>
      </c>
      <c r="R689" s="11" t="n">
        <v>6</v>
      </c>
      <c r="S689" s="11" t="n">
        <f aca="false">K689*R689</f>
        <v>275.58</v>
      </c>
      <c r="T689" s="8" t="n">
        <v>37.4</v>
      </c>
      <c r="U689" s="8" t="n">
        <v>69.24</v>
      </c>
      <c r="V689" s="12" t="n">
        <f aca="false">IF(U689-T689=0,"",(K689-T689)/(U689-T689))</f>
        <v>0.267902010050251</v>
      </c>
      <c r="W689" s="13" t="n">
        <f aca="false">IF(U689=0,"",K689/U689-1)</f>
        <v>-0.336655112651646</v>
      </c>
      <c r="X689" s="11" t="n">
        <v>77742</v>
      </c>
      <c r="Y689" s="5" t="s">
        <v>115</v>
      </c>
      <c r="Z689" s="5" t="s">
        <v>117</v>
      </c>
      <c r="AA689" s="5" t="s">
        <v>116</v>
      </c>
      <c r="AB689" s="5"/>
      <c r="AC689" s="5" t="s">
        <v>2197</v>
      </c>
      <c r="AD689" s="14" t="n">
        <v>46288.771875</v>
      </c>
    </row>
    <row r="690" customFormat="false" ht="15" hidden="false" customHeight="false" outlineLevel="0" collapsed="false">
      <c r="A690" s="5" t="s">
        <v>2198</v>
      </c>
      <c r="B690" s="5" t="s">
        <v>2199</v>
      </c>
      <c r="C690" s="5" t="s">
        <v>55</v>
      </c>
      <c r="D690" s="5" t="s">
        <v>56</v>
      </c>
      <c r="E690" s="5" t="s">
        <v>1388</v>
      </c>
      <c r="F690" s="5" t="s">
        <v>1389</v>
      </c>
      <c r="G690" s="5" t="s">
        <v>59</v>
      </c>
      <c r="H690" s="5" t="s">
        <v>60</v>
      </c>
      <c r="I690" s="6" t="n">
        <v>0.2</v>
      </c>
      <c r="J690" s="7" t="n">
        <f aca="false">IF(I690="","",1/I690)</f>
        <v>5</v>
      </c>
      <c r="K690" s="8" t="n">
        <v>9.34</v>
      </c>
      <c r="L690" s="9" t="n">
        <v>-0.16</v>
      </c>
      <c r="M690" s="10" t="n">
        <v>-0.0168</v>
      </c>
      <c r="N690" s="8" t="n">
        <v>9.37</v>
      </c>
      <c r="O690" s="8" t="n">
        <v>9.34</v>
      </c>
      <c r="P690" s="8" t="n">
        <v>9.71</v>
      </c>
      <c r="Q690" s="8" t="n">
        <v>9.39</v>
      </c>
      <c r="R690" s="11" t="n">
        <v>77045</v>
      </c>
      <c r="S690" s="11" t="n">
        <f aca="false">K690*R690</f>
        <v>719600.3</v>
      </c>
      <c r="T690" s="8" t="n">
        <v>8.63</v>
      </c>
      <c r="U690" s="8" t="n">
        <v>12.73</v>
      </c>
      <c r="V690" s="12" t="n">
        <f aca="false">IF(U690-T690=0,"",(K690-T690)/(U690-T690))</f>
        <v>0.173170731707317</v>
      </c>
      <c r="W690" s="13" t="n">
        <f aca="false">IF(U690=0,"",K690/U690-1)</f>
        <v>-0.266300078554596</v>
      </c>
      <c r="X690" s="11" t="n">
        <v>13350</v>
      </c>
      <c r="Y690" s="5" t="s">
        <v>1388</v>
      </c>
      <c r="Z690" s="5" t="s">
        <v>1390</v>
      </c>
      <c r="AA690" s="5" t="s">
        <v>1389</v>
      </c>
      <c r="AB690" s="5"/>
      <c r="AC690" s="5" t="s">
        <v>2200</v>
      </c>
      <c r="AD690" s="14" t="n">
        <v>46288.771875</v>
      </c>
    </row>
    <row r="691" customFormat="false" ht="15" hidden="false" customHeight="false" outlineLevel="0" collapsed="false">
      <c r="A691" s="5" t="s">
        <v>2201</v>
      </c>
      <c r="B691" s="5" t="s">
        <v>2202</v>
      </c>
      <c r="C691" s="5" t="s">
        <v>55</v>
      </c>
      <c r="D691" s="5" t="s">
        <v>56</v>
      </c>
      <c r="E691" s="5" t="s">
        <v>273</v>
      </c>
      <c r="F691" s="5" t="s">
        <v>274</v>
      </c>
      <c r="G691" s="5" t="s">
        <v>59</v>
      </c>
      <c r="H691" s="5" t="s">
        <v>60</v>
      </c>
      <c r="I691" s="6" t="n">
        <v>0.0666667</v>
      </c>
      <c r="J691" s="7" t="n">
        <f aca="false">IF(I691="","",1/I691)</f>
        <v>14.9999925000038</v>
      </c>
      <c r="K691" s="8" t="n">
        <v>45.19</v>
      </c>
      <c r="L691" s="9" t="n">
        <v>0.56</v>
      </c>
      <c r="M691" s="10" t="n">
        <v>0.0125</v>
      </c>
      <c r="N691" s="8" t="n">
        <v>45</v>
      </c>
      <c r="O691" s="8" t="n">
        <v>44.49</v>
      </c>
      <c r="P691" s="8" t="n">
        <v>45.2</v>
      </c>
      <c r="Q691" s="8" t="n">
        <v>44.88</v>
      </c>
      <c r="R691" s="11" t="n">
        <v>10533</v>
      </c>
      <c r="S691" s="11" t="n">
        <f aca="false">K691*R691</f>
        <v>475986.27</v>
      </c>
      <c r="T691" s="8" t="n">
        <v>43.67</v>
      </c>
      <c r="U691" s="8" t="n">
        <v>60.13</v>
      </c>
      <c r="V691" s="12" t="n">
        <f aca="false">IF(U691-T691=0,"",(K691-T691)/(U691-T691))</f>
        <v>0.0923450789793436</v>
      </c>
      <c r="W691" s="13" t="n">
        <f aca="false">IF(U691=0,"",K691/U691-1)</f>
        <v>-0.24846166638949</v>
      </c>
      <c r="X691" s="11" t="n">
        <v>916377</v>
      </c>
      <c r="Y691" s="5" t="s">
        <v>273</v>
      </c>
      <c r="Z691" s="5" t="s">
        <v>275</v>
      </c>
      <c r="AA691" s="5" t="s">
        <v>274</v>
      </c>
      <c r="AB691" s="5"/>
      <c r="AC691" s="5" t="s">
        <v>2203</v>
      </c>
      <c r="AD691" s="14" t="n">
        <v>46288.771875</v>
      </c>
    </row>
    <row r="692" customFormat="false" ht="15" hidden="false" customHeight="false" outlineLevel="0" collapsed="false">
      <c r="A692" s="5" t="s">
        <v>2204</v>
      </c>
      <c r="B692" s="5" t="s">
        <v>2205</v>
      </c>
      <c r="C692" s="5" t="s">
        <v>55</v>
      </c>
      <c r="D692" s="5" t="s">
        <v>56</v>
      </c>
      <c r="E692" s="5" t="s">
        <v>99</v>
      </c>
      <c r="F692" s="5" t="s">
        <v>100</v>
      </c>
      <c r="G692" s="5" t="s">
        <v>59</v>
      </c>
      <c r="H692" s="5" t="s">
        <v>60</v>
      </c>
      <c r="I692" s="6" t="n">
        <v>0.25</v>
      </c>
      <c r="J692" s="7" t="n">
        <f aca="false">IF(I692="","",1/I692)</f>
        <v>4</v>
      </c>
      <c r="K692" s="8" t="n">
        <v>36.18</v>
      </c>
      <c r="L692" s="9" t="n">
        <v>0.65</v>
      </c>
      <c r="M692" s="10" t="n">
        <v>0.0183</v>
      </c>
      <c r="N692" s="8" t="n">
        <v>35.56</v>
      </c>
      <c r="O692" s="8" t="n">
        <v>35.56</v>
      </c>
      <c r="P692" s="8" t="n">
        <v>36.39</v>
      </c>
      <c r="Q692" s="8" t="n">
        <v>36.31</v>
      </c>
      <c r="R692" s="11" t="n">
        <v>5337</v>
      </c>
      <c r="S692" s="11" t="n">
        <f aca="false">K692*R692</f>
        <v>193092.66</v>
      </c>
      <c r="T692" s="8" t="n">
        <v>30.45</v>
      </c>
      <c r="U692" s="8" t="n">
        <v>37.5</v>
      </c>
      <c r="V692" s="12" t="n">
        <f aca="false">IF(U692-T692=0,"",(K692-T692)/(U692-T692))</f>
        <v>0.812765957446809</v>
      </c>
      <c r="W692" s="13" t="n">
        <f aca="false">IF(U692=0,"",K692/U692-1)</f>
        <v>-0.0352</v>
      </c>
      <c r="X692" s="11" t="n">
        <v>814697</v>
      </c>
      <c r="Y692" s="5" t="s">
        <v>99</v>
      </c>
      <c r="Z692" s="5" t="s">
        <v>101</v>
      </c>
      <c r="AA692" s="5" t="s">
        <v>100</v>
      </c>
      <c r="AB692" s="5"/>
      <c r="AC692" s="5" t="s">
        <v>2206</v>
      </c>
      <c r="AD692" s="14" t="n">
        <v>46288.771875</v>
      </c>
    </row>
    <row r="693" customFormat="false" ht="15" hidden="false" customHeight="false" outlineLevel="0" collapsed="false">
      <c r="A693" s="5" t="s">
        <v>2207</v>
      </c>
      <c r="B693" s="5" t="s">
        <v>2208</v>
      </c>
      <c r="C693" s="5" t="s">
        <v>55</v>
      </c>
      <c r="D693" s="5" t="s">
        <v>56</v>
      </c>
      <c r="E693" s="5" t="s">
        <v>273</v>
      </c>
      <c r="F693" s="5" t="s">
        <v>274</v>
      </c>
      <c r="G693" s="5" t="s">
        <v>59</v>
      </c>
      <c r="H693" s="5" t="s">
        <v>60</v>
      </c>
      <c r="I693" s="6" t="n">
        <v>0.07143</v>
      </c>
      <c r="J693" s="7" t="n">
        <f aca="false">IF(I693="","",1/I693)</f>
        <v>13.9997200055999</v>
      </c>
      <c r="K693" s="8" t="n">
        <v>54.21</v>
      </c>
      <c r="L693" s="9" t="n">
        <v>0.41</v>
      </c>
      <c r="M693" s="10" t="n">
        <v>0.0076</v>
      </c>
      <c r="N693" s="8" t="n">
        <v>54.34</v>
      </c>
      <c r="O693" s="8" t="n">
        <v>54.2</v>
      </c>
      <c r="P693" s="8" t="n">
        <v>54.75</v>
      </c>
      <c r="Q693" s="8" t="n">
        <v>54.3</v>
      </c>
      <c r="R693" s="11" t="n">
        <v>23731</v>
      </c>
      <c r="S693" s="11" t="n">
        <f aca="false">K693*R693</f>
        <v>1286457.51</v>
      </c>
      <c r="T693" s="8" t="n">
        <v>49.68</v>
      </c>
      <c r="U693" s="8" t="n">
        <v>61.75</v>
      </c>
      <c r="V693" s="12" t="n">
        <f aca="false">IF(U693-T693=0,"",(K693-T693)/(U693-T693))</f>
        <v>0.375310687655344</v>
      </c>
      <c r="W693" s="13" t="n">
        <f aca="false">IF(U693=0,"",K693/U693-1)</f>
        <v>-0.122105263157895</v>
      </c>
      <c r="X693" s="11" t="n">
        <v>1761855</v>
      </c>
      <c r="Y693" s="5" t="s">
        <v>273</v>
      </c>
      <c r="Z693" s="5" t="s">
        <v>275</v>
      </c>
      <c r="AA693" s="5" t="s">
        <v>274</v>
      </c>
      <c r="AB693" s="5"/>
      <c r="AC693" s="5" t="s">
        <v>2209</v>
      </c>
      <c r="AD693" s="14" t="n">
        <v>46288.771875</v>
      </c>
    </row>
    <row r="694" customFormat="false" ht="15" hidden="false" customHeight="false" outlineLevel="0" collapsed="false">
      <c r="A694" s="5" t="s">
        <v>2210</v>
      </c>
      <c r="B694" s="5" t="s">
        <v>2211</v>
      </c>
      <c r="C694" s="5" t="s">
        <v>55</v>
      </c>
      <c r="D694" s="5" t="s">
        <v>56</v>
      </c>
      <c r="E694" s="5" t="s">
        <v>242</v>
      </c>
      <c r="F694" s="5" t="s">
        <v>243</v>
      </c>
      <c r="G694" s="5" t="s">
        <v>59</v>
      </c>
      <c r="H694" s="5" t="s">
        <v>86</v>
      </c>
      <c r="I694" s="6" t="n">
        <v>1</v>
      </c>
      <c r="J694" s="7" t="n">
        <f aca="false">IF(I694="","",1/I694)</f>
        <v>1</v>
      </c>
      <c r="K694" s="8" t="n">
        <v>128.31</v>
      </c>
      <c r="L694" s="9" t="n">
        <v>-0.26</v>
      </c>
      <c r="M694" s="10" t="n">
        <v>-0.002</v>
      </c>
      <c r="N694" s="8" t="n">
        <v>128.31</v>
      </c>
      <c r="O694" s="8" t="n">
        <v>128.31</v>
      </c>
      <c r="P694" s="8" t="n">
        <v>128.31</v>
      </c>
      <c r="Q694" s="8" t="n">
        <v>128.31</v>
      </c>
      <c r="R694" s="11" t="n">
        <v>1</v>
      </c>
      <c r="S694" s="11" t="n">
        <f aca="false">K694*R694</f>
        <v>128.31</v>
      </c>
      <c r="T694" s="8" t="n">
        <v>124.92</v>
      </c>
      <c r="U694" s="8" t="n">
        <v>172.7</v>
      </c>
      <c r="V694" s="12" t="n">
        <f aca="false">IF(U694-T694=0,"",(K694-T694)/(U694-T694))</f>
        <v>0.070950188363332</v>
      </c>
      <c r="W694" s="13" t="n">
        <f aca="false">IF(U694=0,"",K694/U694-1)</f>
        <v>-0.257035321366532</v>
      </c>
      <c r="X694" s="11" t="n">
        <v>124423</v>
      </c>
      <c r="Y694" s="5" t="s">
        <v>242</v>
      </c>
      <c r="Z694" s="5" t="s">
        <v>244</v>
      </c>
      <c r="AA694" s="5" t="s">
        <v>243</v>
      </c>
      <c r="AB694" s="5"/>
      <c r="AC694" s="5" t="s">
        <v>2212</v>
      </c>
      <c r="AD694" s="14" t="n">
        <v>46288.771875</v>
      </c>
    </row>
    <row r="695" customFormat="false" ht="15" hidden="false" customHeight="false" outlineLevel="0" collapsed="false">
      <c r="A695" s="5" t="s">
        <v>2213</v>
      </c>
      <c r="B695" s="5" t="s">
        <v>2214</v>
      </c>
      <c r="C695" s="5" t="s">
        <v>55</v>
      </c>
      <c r="D695" s="5" t="s">
        <v>56</v>
      </c>
      <c r="E695" s="5" t="s">
        <v>273</v>
      </c>
      <c r="F695" s="5" t="s">
        <v>274</v>
      </c>
      <c r="G695" s="5" t="s">
        <v>59</v>
      </c>
      <c r="H695" s="5" t="s">
        <v>60</v>
      </c>
      <c r="I695" s="6" t="n">
        <v>0.0625</v>
      </c>
      <c r="J695" s="7" t="n">
        <f aca="false">IF(I695="","",1/I695)</f>
        <v>16</v>
      </c>
      <c r="K695" s="8" t="n">
        <v>61.38</v>
      </c>
      <c r="L695" s="9" t="n">
        <v>0.18</v>
      </c>
      <c r="M695" s="10" t="n">
        <v>0.0029</v>
      </c>
      <c r="N695" s="8" t="n">
        <v>61.5</v>
      </c>
      <c r="O695" s="8" t="n">
        <v>61.14</v>
      </c>
      <c r="P695" s="8" t="n">
        <v>61.68</v>
      </c>
      <c r="Q695" s="8" t="n">
        <v>61.38</v>
      </c>
      <c r="R695" s="11" t="n">
        <v>336</v>
      </c>
      <c r="S695" s="11" t="n">
        <f aca="false">K695*R695</f>
        <v>20623.68</v>
      </c>
      <c r="T695" s="8" t="n">
        <v>48.60375</v>
      </c>
      <c r="U695" s="8" t="n">
        <v>65.01</v>
      </c>
      <c r="V695" s="12" t="n">
        <f aca="false">IF(U695-T695=0,"",(K695-T695)/(U695-T695))</f>
        <v>0.778742857142857</v>
      </c>
      <c r="W695" s="13" t="n">
        <f aca="false">IF(U695=0,"",K695/U695-1)</f>
        <v>-0.0558375634517767</v>
      </c>
      <c r="X695" s="11" t="n">
        <v>1517375</v>
      </c>
      <c r="Y695" s="5" t="s">
        <v>273</v>
      </c>
      <c r="Z695" s="5" t="s">
        <v>275</v>
      </c>
      <c r="AA695" s="5" t="s">
        <v>274</v>
      </c>
      <c r="AB695" s="5"/>
      <c r="AC695" s="5" t="s">
        <v>2215</v>
      </c>
      <c r="AD695" s="14" t="n">
        <v>46288.771875</v>
      </c>
    </row>
    <row r="696" customFormat="false" ht="15" hidden="false" customHeight="false" outlineLevel="0" collapsed="false">
      <c r="A696" s="5" t="s">
        <v>2216</v>
      </c>
      <c r="B696" s="5" t="s">
        <v>2217</v>
      </c>
      <c r="C696" s="5" t="s">
        <v>55</v>
      </c>
      <c r="D696" s="5" t="s">
        <v>56</v>
      </c>
      <c r="E696" s="5" t="s">
        <v>71</v>
      </c>
      <c r="F696" s="5" t="s">
        <v>72</v>
      </c>
      <c r="G696" s="5" t="s">
        <v>59</v>
      </c>
      <c r="H696" s="5" t="s">
        <v>60</v>
      </c>
      <c r="I696" s="6" t="n">
        <v>0.05</v>
      </c>
      <c r="J696" s="7" t="n">
        <f aca="false">IF(I696="","",1/I696)</f>
        <v>20</v>
      </c>
      <c r="K696" s="8" t="n">
        <v>58.33</v>
      </c>
      <c r="L696" s="9" t="n">
        <v>-1.37</v>
      </c>
      <c r="M696" s="10" t="n">
        <v>-0.0229</v>
      </c>
      <c r="N696" s="8" t="n">
        <v>58.32</v>
      </c>
      <c r="O696" s="8" t="n">
        <v>58.32</v>
      </c>
      <c r="P696" s="8" t="n">
        <v>58.33</v>
      </c>
      <c r="Q696" s="8" t="n">
        <v>58.33</v>
      </c>
      <c r="R696" s="11" t="n">
        <v>2</v>
      </c>
      <c r="S696" s="11" t="n">
        <f aca="false">K696*R696</f>
        <v>116.66</v>
      </c>
      <c r="T696" s="8" t="n">
        <v>48.167</v>
      </c>
      <c r="U696" s="8" t="n">
        <v>64.218</v>
      </c>
      <c r="V696" s="12" t="n">
        <f aca="false">IF(U696-T696=0,"",(K696-T696)/(U696-T696))</f>
        <v>0.633169272942496</v>
      </c>
      <c r="W696" s="13" t="n">
        <f aca="false">IF(U696=0,"",K696/U696-1)</f>
        <v>-0.091687688809991</v>
      </c>
      <c r="X696" s="11" t="n">
        <v>465421</v>
      </c>
      <c r="Y696" s="5" t="s">
        <v>71</v>
      </c>
      <c r="Z696" s="5" t="s">
        <v>73</v>
      </c>
      <c r="AA696" s="5" t="s">
        <v>72</v>
      </c>
      <c r="AB696" s="5"/>
      <c r="AC696" s="5" t="s">
        <v>2218</v>
      </c>
      <c r="AD696" s="14" t="n">
        <v>46288.771875</v>
      </c>
    </row>
    <row r="697" customFormat="false" ht="15" hidden="false" customHeight="false" outlineLevel="0" collapsed="false">
      <c r="A697" s="5" t="s">
        <v>2219</v>
      </c>
      <c r="B697" s="5" t="s">
        <v>2220</v>
      </c>
      <c r="C697" s="5" t="s">
        <v>2221</v>
      </c>
      <c r="D697" s="5" t="s">
        <v>2222</v>
      </c>
      <c r="E697" s="5" t="s">
        <v>71</v>
      </c>
      <c r="F697" s="5" t="s">
        <v>72</v>
      </c>
      <c r="G697" s="5" t="s">
        <v>178</v>
      </c>
      <c r="H697" s="5"/>
      <c r="I697" s="6"/>
      <c r="J697" s="7" t="str">
        <f aca="false">IF(I697="","",1/I697)</f>
        <v/>
      </c>
      <c r="K697" s="8" t="n">
        <v>39</v>
      </c>
      <c r="L697" s="9" t="n">
        <v>0.97</v>
      </c>
      <c r="M697" s="10" t="n">
        <v>0.0255</v>
      </c>
      <c r="N697" s="8" t="n">
        <v>37.26</v>
      </c>
      <c r="O697" s="8" t="n">
        <v>37.26</v>
      </c>
      <c r="P697" s="8" t="n">
        <v>39</v>
      </c>
      <c r="Q697" s="8" t="n">
        <v>38</v>
      </c>
      <c r="R697" s="11" t="n">
        <v>9</v>
      </c>
      <c r="S697" s="11" t="n">
        <f aca="false">K697*R697</f>
        <v>351</v>
      </c>
      <c r="T697" s="8" t="n">
        <v>37.26</v>
      </c>
      <c r="U697" s="8" t="n">
        <v>141</v>
      </c>
      <c r="V697" s="12" t="n">
        <f aca="false">IF(U697-T697=0,"",(K697-T697)/(U697-T697))</f>
        <v>0.0167727009832273</v>
      </c>
      <c r="W697" s="13" t="n">
        <f aca="false">IF(U697=0,"",K697/U697-1)</f>
        <v>-0.723404255319149</v>
      </c>
      <c r="X697" s="11"/>
      <c r="Y697" s="5" t="s">
        <v>71</v>
      </c>
      <c r="Z697" s="5" t="s">
        <v>73</v>
      </c>
      <c r="AA697" s="5" t="s">
        <v>72</v>
      </c>
      <c r="AB697" s="5" t="s">
        <v>2223</v>
      </c>
      <c r="AC697" s="5" t="s">
        <v>2224</v>
      </c>
      <c r="AD697" s="14" t="n">
        <v>46288.771875</v>
      </c>
    </row>
    <row r="698" customFormat="false" ht="15" hidden="false" customHeight="false" outlineLevel="0" collapsed="false">
      <c r="A698" s="5" t="s">
        <v>2225</v>
      </c>
      <c r="B698" s="5" t="s">
        <v>2226</v>
      </c>
      <c r="C698" s="5" t="s">
        <v>55</v>
      </c>
      <c r="D698" s="5" t="s">
        <v>1434</v>
      </c>
      <c r="E698" s="5" t="s">
        <v>115</v>
      </c>
      <c r="F698" s="5" t="s">
        <v>116</v>
      </c>
      <c r="G698" s="5" t="s">
        <v>1438</v>
      </c>
      <c r="H698" s="5" t="s">
        <v>86</v>
      </c>
      <c r="I698" s="6" t="n">
        <v>0.5</v>
      </c>
      <c r="J698" s="7" t="n">
        <f aca="false">IF(I698="","",1/I698)</f>
        <v>2</v>
      </c>
      <c r="K698" s="8" t="n">
        <v>21.35</v>
      </c>
      <c r="L698" s="9" t="n">
        <v>-0.13</v>
      </c>
      <c r="M698" s="10" t="n">
        <v>-0.0061</v>
      </c>
      <c r="N698" s="8" t="n">
        <v>21.48</v>
      </c>
      <c r="O698" s="8" t="n">
        <v>21.25</v>
      </c>
      <c r="P698" s="8" t="n">
        <v>21.48</v>
      </c>
      <c r="Q698" s="8" t="n">
        <v>21.35</v>
      </c>
      <c r="R698" s="11" t="n">
        <v>885</v>
      </c>
      <c r="S698" s="11" t="n">
        <f aca="false">K698*R698</f>
        <v>18894.75</v>
      </c>
      <c r="T698" s="8" t="n">
        <v>20.91</v>
      </c>
      <c r="U698" s="8" t="n">
        <v>43.1</v>
      </c>
      <c r="V698" s="12" t="n">
        <f aca="false">IF(U698-T698=0,"",(K698-T698)/(U698-T698))</f>
        <v>0.0198287516899505</v>
      </c>
      <c r="W698" s="13" t="n">
        <f aca="false">IF(U698=0,"",K698/U698-1)</f>
        <v>-0.504640371229698</v>
      </c>
      <c r="X698" s="11" t="n">
        <v>438357</v>
      </c>
      <c r="Y698" s="5" t="s">
        <v>115</v>
      </c>
      <c r="Z698" s="5" t="s">
        <v>117</v>
      </c>
      <c r="AA698" s="5" t="s">
        <v>116</v>
      </c>
      <c r="AB698" s="5"/>
      <c r="AC698" s="5" t="s">
        <v>2227</v>
      </c>
      <c r="AD698" s="14" t="n">
        <v>46288.771875</v>
      </c>
    </row>
    <row r="699" customFormat="false" ht="15" hidden="false" customHeight="false" outlineLevel="0" collapsed="false">
      <c r="A699" s="5" t="s">
        <v>2228</v>
      </c>
      <c r="B699" s="5" t="s">
        <v>2229</v>
      </c>
      <c r="C699" s="5" t="s">
        <v>55</v>
      </c>
      <c r="D699" s="5" t="s">
        <v>56</v>
      </c>
      <c r="E699" s="5" t="s">
        <v>182</v>
      </c>
      <c r="F699" s="5" t="s">
        <v>183</v>
      </c>
      <c r="G699" s="5" t="s">
        <v>59</v>
      </c>
      <c r="H699" s="5" t="s">
        <v>60</v>
      </c>
      <c r="I699" s="6" t="n">
        <v>1</v>
      </c>
      <c r="J699" s="7" t="n">
        <f aca="false">IF(I699="","",1/I699)</f>
        <v>1</v>
      </c>
      <c r="K699" s="8" t="n">
        <v>51.35</v>
      </c>
      <c r="L699" s="9" t="n">
        <v>0.45</v>
      </c>
      <c r="M699" s="10" t="n">
        <v>0.0088</v>
      </c>
      <c r="N699" s="8" t="n">
        <v>51.55</v>
      </c>
      <c r="O699" s="8" t="n">
        <v>51.35</v>
      </c>
      <c r="P699" s="8" t="n">
        <v>52.08</v>
      </c>
      <c r="Q699" s="8" t="n">
        <v>51.35</v>
      </c>
      <c r="R699" s="11" t="n">
        <v>2302</v>
      </c>
      <c r="S699" s="11" t="n">
        <f aca="false">K699*R699</f>
        <v>118207.7</v>
      </c>
      <c r="T699" s="8" t="n">
        <v>39.08</v>
      </c>
      <c r="U699" s="8" t="n">
        <v>105.63</v>
      </c>
      <c r="V699" s="12" t="n">
        <f aca="false">IF(U699-T699=0,"",(K699-T699)/(U699-T699))</f>
        <v>0.184372652141247</v>
      </c>
      <c r="W699" s="13" t="n">
        <f aca="false">IF(U699=0,"",K699/U699-1)</f>
        <v>-0.513869165956641</v>
      </c>
      <c r="X699" s="11" t="n">
        <v>58050</v>
      </c>
      <c r="Y699" s="5" t="s">
        <v>182</v>
      </c>
      <c r="Z699" s="5" t="s">
        <v>184</v>
      </c>
      <c r="AA699" s="5" t="s">
        <v>183</v>
      </c>
      <c r="AB699" s="5"/>
      <c r="AC699" s="5" t="s">
        <v>2230</v>
      </c>
      <c r="AD699" s="14" t="n">
        <v>46288.771875</v>
      </c>
    </row>
    <row r="700" customFormat="false" ht="15" hidden="false" customHeight="false" outlineLevel="0" collapsed="false">
      <c r="A700" s="5" t="s">
        <v>2231</v>
      </c>
      <c r="B700" s="5" t="s">
        <v>2232</v>
      </c>
      <c r="C700" s="5" t="s">
        <v>55</v>
      </c>
      <c r="D700" s="5" t="s">
        <v>56</v>
      </c>
      <c r="E700" s="5" t="s">
        <v>1388</v>
      </c>
      <c r="F700" s="5" t="s">
        <v>1389</v>
      </c>
      <c r="G700" s="5" t="s">
        <v>59</v>
      </c>
      <c r="H700" s="5" t="s">
        <v>60</v>
      </c>
      <c r="I700" s="6" t="n">
        <v>0.05</v>
      </c>
      <c r="J700" s="7" t="n">
        <f aca="false">IF(I700="","",1/I700)</f>
        <v>20</v>
      </c>
      <c r="K700" s="8" t="n">
        <v>13.59</v>
      </c>
      <c r="L700" s="9" t="n">
        <v>0.06</v>
      </c>
      <c r="M700" s="10" t="n">
        <v>0.0044</v>
      </c>
      <c r="N700" s="8" t="n">
        <v>13.46</v>
      </c>
      <c r="O700" s="8" t="n">
        <v>13.41</v>
      </c>
      <c r="P700" s="8" t="n">
        <v>13.72</v>
      </c>
      <c r="Q700" s="8" t="n">
        <v>13.59</v>
      </c>
      <c r="R700" s="11" t="n">
        <v>11491</v>
      </c>
      <c r="S700" s="11" t="n">
        <f aca="false">K700*R700</f>
        <v>156162.69</v>
      </c>
      <c r="T700" s="8" t="n">
        <v>10.01</v>
      </c>
      <c r="U700" s="8" t="n">
        <v>21.27</v>
      </c>
      <c r="V700" s="12" t="n">
        <f aca="false">IF(U700-T700=0,"",(K700-T700)/(U700-T700))</f>
        <v>0.317939609236235</v>
      </c>
      <c r="W700" s="13" t="n">
        <f aca="false">IF(U700=0,"",K700/U700-1)</f>
        <v>-0.361071932299013</v>
      </c>
      <c r="X700" s="11" t="n">
        <v>231552</v>
      </c>
      <c r="Y700" s="5" t="s">
        <v>1388</v>
      </c>
      <c r="Z700" s="5" t="s">
        <v>1390</v>
      </c>
      <c r="AA700" s="5" t="s">
        <v>1389</v>
      </c>
      <c r="AB700" s="5"/>
      <c r="AC700" s="5" t="s">
        <v>2233</v>
      </c>
      <c r="AD700" s="14" t="n">
        <v>46288.771875</v>
      </c>
    </row>
    <row r="701" customFormat="false" ht="15" hidden="false" customHeight="false" outlineLevel="0" collapsed="false">
      <c r="A701" s="5" t="s">
        <v>2234</v>
      </c>
      <c r="B701" s="5" t="s">
        <v>2235</v>
      </c>
      <c r="C701" s="5" t="s">
        <v>55</v>
      </c>
      <c r="D701" s="5" t="s">
        <v>56</v>
      </c>
      <c r="E701" s="5" t="s">
        <v>77</v>
      </c>
      <c r="F701" s="5" t="s">
        <v>78</v>
      </c>
      <c r="G701" s="5" t="s">
        <v>59</v>
      </c>
      <c r="H701" s="5" t="s">
        <v>60</v>
      </c>
      <c r="I701" s="6" t="n">
        <v>0.5</v>
      </c>
      <c r="J701" s="7" t="n">
        <f aca="false">IF(I701="","",1/I701)</f>
        <v>2</v>
      </c>
      <c r="K701" s="8" t="n">
        <v>306.6</v>
      </c>
      <c r="L701" s="9" t="n">
        <v>4.04</v>
      </c>
      <c r="M701" s="10" t="n">
        <v>0.0134</v>
      </c>
      <c r="N701" s="8" t="n">
        <v>306.6</v>
      </c>
      <c r="O701" s="8" t="n">
        <v>306.6</v>
      </c>
      <c r="P701" s="8" t="n">
        <v>306.6</v>
      </c>
      <c r="Q701" s="8" t="n">
        <v>306.6</v>
      </c>
      <c r="R701" s="11" t="n">
        <v>1</v>
      </c>
      <c r="S701" s="11" t="n">
        <f aca="false">K701*R701</f>
        <v>306.6</v>
      </c>
      <c r="T701" s="8" t="n">
        <v>199.94</v>
      </c>
      <c r="U701" s="8" t="n">
        <v>306.6</v>
      </c>
      <c r="V701" s="12" t="n">
        <f aca="false">IF(U701-T701=0,"",(K701-T701)/(U701-T701))</f>
        <v>1</v>
      </c>
      <c r="W701" s="13" t="n">
        <f aca="false">IF(U701=0,"",K701/U701-1)</f>
        <v>0</v>
      </c>
      <c r="X701" s="11" t="n">
        <v>53475</v>
      </c>
      <c r="Y701" s="5" t="s">
        <v>77</v>
      </c>
      <c r="Z701" s="5" t="s">
        <v>79</v>
      </c>
      <c r="AA701" s="5" t="s">
        <v>78</v>
      </c>
      <c r="AB701" s="5"/>
      <c r="AC701" s="5" t="s">
        <v>2236</v>
      </c>
      <c r="AD701" s="14" t="n">
        <v>46288.771875</v>
      </c>
    </row>
    <row r="702" customFormat="false" ht="15" hidden="false" customHeight="false" outlineLevel="0" collapsed="false">
      <c r="A702" s="5" t="s">
        <v>2237</v>
      </c>
      <c r="B702" s="5" t="s">
        <v>2238</v>
      </c>
      <c r="C702" s="5" t="s">
        <v>55</v>
      </c>
      <c r="D702" s="5" t="s">
        <v>56</v>
      </c>
      <c r="E702" s="5" t="s">
        <v>370</v>
      </c>
      <c r="F702" s="5" t="s">
        <v>371</v>
      </c>
      <c r="G702" s="5" t="s">
        <v>59</v>
      </c>
      <c r="H702" s="5" t="s">
        <v>60</v>
      </c>
      <c r="I702" s="6" t="n">
        <v>0.08333333</v>
      </c>
      <c r="J702" s="7" t="n">
        <f aca="false">IF(I702="","",1/I702)</f>
        <v>12.00000048</v>
      </c>
      <c r="K702" s="8" t="n">
        <v>272.97</v>
      </c>
      <c r="L702" s="9" t="n">
        <v>-1.84</v>
      </c>
      <c r="M702" s="10" t="n">
        <v>-0.0067</v>
      </c>
      <c r="N702" s="8" t="n">
        <v>269.32</v>
      </c>
      <c r="O702" s="8" t="n">
        <v>269.32</v>
      </c>
      <c r="P702" s="8" t="n">
        <v>276.21</v>
      </c>
      <c r="Q702" s="8" t="n">
        <v>272.97</v>
      </c>
      <c r="R702" s="11" t="n">
        <v>249</v>
      </c>
      <c r="S702" s="11" t="n">
        <f aca="false">K702*R702</f>
        <v>67969.53</v>
      </c>
      <c r="T702" s="8" t="n">
        <v>178.32</v>
      </c>
      <c r="U702" s="8" t="n">
        <v>326.59</v>
      </c>
      <c r="V702" s="12" t="n">
        <f aca="false">IF(U702-T702=0,"",(K702-T702)/(U702-T702))</f>
        <v>0.638362446887435</v>
      </c>
      <c r="W702" s="13" t="n">
        <f aca="false">IF(U702=0,"",K702/U702-1)</f>
        <v>-0.164181389509783</v>
      </c>
      <c r="X702" s="11" t="n">
        <v>494448</v>
      </c>
      <c r="Y702" s="5" t="s">
        <v>370</v>
      </c>
      <c r="Z702" s="5" t="s">
        <v>372</v>
      </c>
      <c r="AA702" s="5" t="s">
        <v>371</v>
      </c>
      <c r="AB702" s="5"/>
      <c r="AC702" s="5" t="s">
        <v>2239</v>
      </c>
      <c r="AD702" s="14" t="n">
        <v>46288.771875</v>
      </c>
    </row>
    <row r="703" customFormat="false" ht="15" hidden="false" customHeight="false" outlineLevel="0" collapsed="false">
      <c r="A703" s="5" t="s">
        <v>2240</v>
      </c>
      <c r="B703" s="5" t="s">
        <v>2241</v>
      </c>
      <c r="C703" s="5" t="s">
        <v>55</v>
      </c>
      <c r="D703" s="5" t="s">
        <v>56</v>
      </c>
      <c r="E703" s="5" t="s">
        <v>242</v>
      </c>
      <c r="F703" s="5" t="s">
        <v>243</v>
      </c>
      <c r="G703" s="5" t="s">
        <v>59</v>
      </c>
      <c r="H703" s="5" t="s">
        <v>60</v>
      </c>
      <c r="I703" s="6" t="n">
        <v>0.5</v>
      </c>
      <c r="J703" s="7" t="n">
        <f aca="false">IF(I703="","",1/I703)</f>
        <v>2</v>
      </c>
      <c r="K703" s="8" t="n">
        <v>579.6</v>
      </c>
      <c r="L703" s="9" t="n">
        <v>-34.2</v>
      </c>
      <c r="M703" s="10" t="n">
        <v>-0.0557</v>
      </c>
      <c r="N703" s="8" t="n">
        <v>600</v>
      </c>
      <c r="O703" s="8" t="n">
        <v>579.6</v>
      </c>
      <c r="P703" s="8" t="n">
        <v>600</v>
      </c>
      <c r="Q703" s="8" t="n">
        <v>579.6</v>
      </c>
      <c r="R703" s="11" t="n">
        <v>2</v>
      </c>
      <c r="S703" s="11" t="n">
        <f aca="false">K703*R703</f>
        <v>1159.2</v>
      </c>
      <c r="T703" s="8" t="n">
        <v>478.31</v>
      </c>
      <c r="U703" s="8" t="n">
        <v>613.8</v>
      </c>
      <c r="V703" s="12" t="n">
        <f aca="false">IF(U703-T703=0,"",(K703-T703)/(U703-T703))</f>
        <v>0.747582847442616</v>
      </c>
      <c r="W703" s="13" t="n">
        <f aca="false">IF(U703=0,"",K703/U703-1)</f>
        <v>-0.0557184750733136</v>
      </c>
      <c r="X703" s="11" t="n">
        <v>132606</v>
      </c>
      <c r="Y703" s="5" t="s">
        <v>242</v>
      </c>
      <c r="Z703" s="5" t="s">
        <v>244</v>
      </c>
      <c r="AA703" s="5" t="s">
        <v>243</v>
      </c>
      <c r="AB703" s="5"/>
      <c r="AC703" s="5" t="s">
        <v>2242</v>
      </c>
      <c r="AD703" s="14" t="n">
        <v>46288.771875</v>
      </c>
    </row>
    <row r="704" customFormat="false" ht="15" hidden="false" customHeight="false" outlineLevel="0" collapsed="false">
      <c r="A704" s="5" t="s">
        <v>2243</v>
      </c>
      <c r="B704" s="5" t="s">
        <v>2244</v>
      </c>
      <c r="C704" s="5" t="s">
        <v>55</v>
      </c>
      <c r="D704" s="5" t="s">
        <v>56</v>
      </c>
      <c r="E704" s="5" t="s">
        <v>142</v>
      </c>
      <c r="F704" s="5" t="s">
        <v>143</v>
      </c>
      <c r="G704" s="5" t="s">
        <v>59</v>
      </c>
      <c r="H704" s="5" t="s">
        <v>60</v>
      </c>
      <c r="I704" s="6" t="n">
        <v>0.3333</v>
      </c>
      <c r="J704" s="7" t="n">
        <f aca="false">IF(I704="","",1/I704)</f>
        <v>3.000300030003</v>
      </c>
      <c r="K704" s="8" t="n">
        <v>9.23</v>
      </c>
      <c r="L704" s="9" t="n">
        <v>0.61</v>
      </c>
      <c r="M704" s="10" t="n">
        <v>0.0708</v>
      </c>
      <c r="N704" s="8" t="n">
        <v>8.66</v>
      </c>
      <c r="O704" s="8" t="n">
        <v>8.47</v>
      </c>
      <c r="P704" s="8" t="n">
        <v>9.23</v>
      </c>
      <c r="Q704" s="8" t="n">
        <v>8.53</v>
      </c>
      <c r="R704" s="11" t="n">
        <v>229</v>
      </c>
      <c r="S704" s="11" t="n">
        <f aca="false">K704*R704</f>
        <v>2113.67</v>
      </c>
      <c r="T704" s="8" t="n">
        <v>7.54</v>
      </c>
      <c r="U704" s="8" t="n">
        <v>34.39</v>
      </c>
      <c r="V704" s="12" t="n">
        <f aca="false">IF(U704-T704=0,"",(K704-T704)/(U704-T704))</f>
        <v>0.0629422718808194</v>
      </c>
      <c r="W704" s="13" t="n">
        <f aca="false">IF(U704=0,"",K704/U704-1)</f>
        <v>-0.731608025588834</v>
      </c>
      <c r="X704" s="11" t="n">
        <v>16001</v>
      </c>
      <c r="Y704" s="5" t="s">
        <v>142</v>
      </c>
      <c r="Z704" s="5" t="s">
        <v>144</v>
      </c>
      <c r="AA704" s="5" t="s">
        <v>143</v>
      </c>
      <c r="AB704" s="5"/>
      <c r="AC704" s="5" t="s">
        <v>2245</v>
      </c>
      <c r="AD704" s="14" t="n">
        <v>46288.771875</v>
      </c>
    </row>
    <row r="705" customFormat="false" ht="15" hidden="false" customHeight="false" outlineLevel="0" collapsed="false">
      <c r="A705" s="5" t="s">
        <v>2246</v>
      </c>
      <c r="B705" s="5" t="s">
        <v>2247</v>
      </c>
      <c r="C705" s="5" t="s">
        <v>55</v>
      </c>
      <c r="D705" s="5" t="s">
        <v>56</v>
      </c>
      <c r="E705" s="5" t="s">
        <v>77</v>
      </c>
      <c r="F705" s="5" t="s">
        <v>78</v>
      </c>
      <c r="G705" s="5" t="s">
        <v>59</v>
      </c>
      <c r="H705" s="5" t="s">
        <v>60</v>
      </c>
      <c r="I705" s="6" t="n">
        <v>0.0833</v>
      </c>
      <c r="J705" s="7" t="n">
        <f aca="false">IF(I705="","",1/I705)</f>
        <v>12.0048019207683</v>
      </c>
      <c r="K705" s="8" t="n">
        <v>84.95</v>
      </c>
      <c r="L705" s="9" t="n">
        <v>0.9</v>
      </c>
      <c r="M705" s="10" t="n">
        <v>0.0107</v>
      </c>
      <c r="N705" s="8" t="n">
        <v>82.72</v>
      </c>
      <c r="O705" s="8" t="n">
        <v>82.72</v>
      </c>
      <c r="P705" s="8" t="n">
        <v>85.08</v>
      </c>
      <c r="Q705" s="8" t="n">
        <v>84.95</v>
      </c>
      <c r="R705" s="11" t="n">
        <v>9032</v>
      </c>
      <c r="S705" s="11" t="n">
        <f aca="false">K705*R705</f>
        <v>767268.4</v>
      </c>
      <c r="T705" s="8" t="n">
        <v>52.7</v>
      </c>
      <c r="U705" s="8" t="n">
        <v>110.01</v>
      </c>
      <c r="V705" s="12" t="n">
        <f aca="false">IF(U705-T705=0,"",(K705-T705)/(U705-T705))</f>
        <v>0.562729017623451</v>
      </c>
      <c r="W705" s="13" t="n">
        <f aca="false">IF(U705=0,"",K705/U705-1)</f>
        <v>-0.227797472957004</v>
      </c>
      <c r="X705" s="11" t="n">
        <v>1065660</v>
      </c>
      <c r="Y705" s="5" t="s">
        <v>77</v>
      </c>
      <c r="Z705" s="5" t="s">
        <v>79</v>
      </c>
      <c r="AA705" s="5" t="s">
        <v>78</v>
      </c>
      <c r="AB705" s="5"/>
      <c r="AC705" s="5" t="s">
        <v>2248</v>
      </c>
      <c r="AD705" s="14" t="n">
        <v>46288.771875</v>
      </c>
    </row>
    <row r="706" customFormat="false" ht="15" hidden="false" customHeight="false" outlineLevel="0" collapsed="false">
      <c r="A706" s="5" t="s">
        <v>2249</v>
      </c>
      <c r="B706" s="5" t="s">
        <v>2250</v>
      </c>
      <c r="C706" s="5" t="s">
        <v>248</v>
      </c>
      <c r="D706" s="5" t="s">
        <v>249</v>
      </c>
      <c r="E706" s="5" t="s">
        <v>250</v>
      </c>
      <c r="F706" s="5" t="s">
        <v>251</v>
      </c>
      <c r="G706" s="5" t="s">
        <v>59</v>
      </c>
      <c r="H706" s="5" t="s">
        <v>60</v>
      </c>
      <c r="I706" s="6" t="n">
        <v>0.33333333</v>
      </c>
      <c r="J706" s="7" t="n">
        <f aca="false">IF(I706="","",1/I706)</f>
        <v>3.00000003</v>
      </c>
      <c r="K706" s="8" t="n">
        <v>67.13</v>
      </c>
      <c r="L706" s="9" t="n">
        <v>0</v>
      </c>
      <c r="M706" s="10" t="n">
        <v>0</v>
      </c>
      <c r="N706" s="8" t="n">
        <v>67.13</v>
      </c>
      <c r="O706" s="8" t="n">
        <v>67.13</v>
      </c>
      <c r="P706" s="8" t="n">
        <v>67.13</v>
      </c>
      <c r="Q706" s="8" t="n">
        <v>67.13</v>
      </c>
      <c r="R706" s="11" t="n">
        <v>31</v>
      </c>
      <c r="S706" s="11" t="n">
        <f aca="false">K706*R706</f>
        <v>2081.03</v>
      </c>
      <c r="T706" s="8" t="n">
        <v>52</v>
      </c>
      <c r="U706" s="8" t="n">
        <v>70.1</v>
      </c>
      <c r="V706" s="12" t="n">
        <f aca="false">IF(U706-T706=0,"",(K706-T706)/(U706-T706))</f>
        <v>0.835911602209945</v>
      </c>
      <c r="W706" s="13" t="n">
        <f aca="false">IF(U706=0,"",K706/U706-1)</f>
        <v>-0.0423680456490727</v>
      </c>
      <c r="X706" s="11"/>
      <c r="Y706" s="5" t="s">
        <v>253</v>
      </c>
      <c r="Z706" s="5" t="s">
        <v>254</v>
      </c>
      <c r="AA706" s="5" t="s">
        <v>251</v>
      </c>
      <c r="AB706" s="5"/>
      <c r="AC706" s="5" t="s">
        <v>2251</v>
      </c>
      <c r="AD706" s="14" t="n">
        <v>46288.771875</v>
      </c>
    </row>
    <row r="707" customFormat="false" ht="15" hidden="false" customHeight="false" outlineLevel="0" collapsed="false">
      <c r="A707" s="5" t="s">
        <v>2252</v>
      </c>
      <c r="B707" s="5" t="s">
        <v>2253</v>
      </c>
      <c r="C707" s="5" t="s">
        <v>55</v>
      </c>
      <c r="D707" s="5" t="s">
        <v>56</v>
      </c>
      <c r="E707" s="5" t="s">
        <v>115</v>
      </c>
      <c r="F707" s="5" t="s">
        <v>116</v>
      </c>
      <c r="G707" s="5" t="s">
        <v>59</v>
      </c>
      <c r="H707" s="5" t="s">
        <v>60</v>
      </c>
      <c r="I707" s="6" t="n">
        <v>1</v>
      </c>
      <c r="J707" s="7" t="n">
        <f aca="false">IF(I707="","",1/I707)</f>
        <v>1</v>
      </c>
      <c r="K707" s="8" t="n">
        <v>47.79</v>
      </c>
      <c r="L707" s="9" t="n">
        <v>1.59</v>
      </c>
      <c r="M707" s="10" t="n">
        <v>0.0344</v>
      </c>
      <c r="N707" s="8" t="n">
        <v>48.56</v>
      </c>
      <c r="O707" s="8" t="n">
        <v>46.9</v>
      </c>
      <c r="P707" s="8" t="n">
        <v>49.22</v>
      </c>
      <c r="Q707" s="8" t="n">
        <v>47.79</v>
      </c>
      <c r="R707" s="11" t="n">
        <v>8080</v>
      </c>
      <c r="S707" s="11" t="n">
        <f aca="false">K707*R707</f>
        <v>386143.2</v>
      </c>
      <c r="T707" s="8" t="n">
        <v>32.46</v>
      </c>
      <c r="U707" s="8" t="n">
        <v>138.02</v>
      </c>
      <c r="V707" s="12" t="n">
        <f aca="false">IF(U707-T707=0,"",(K707-T707)/(U707-T707))</f>
        <v>0.145225464190981</v>
      </c>
      <c r="W707" s="13" t="n">
        <f aca="false">IF(U707=0,"",K707/U707-1)</f>
        <v>-0.653745833937111</v>
      </c>
      <c r="X707" s="11" t="n">
        <v>10518</v>
      </c>
      <c r="Y707" s="5" t="s">
        <v>115</v>
      </c>
      <c r="Z707" s="5" t="s">
        <v>117</v>
      </c>
      <c r="AA707" s="5" t="s">
        <v>116</v>
      </c>
      <c r="AB707" s="5"/>
      <c r="AC707" s="5" t="s">
        <v>2254</v>
      </c>
      <c r="AD707" s="14" t="n">
        <v>46288.771875</v>
      </c>
    </row>
    <row r="708" customFormat="false" ht="15" hidden="false" customHeight="false" outlineLevel="0" collapsed="false">
      <c r="A708" s="5" t="s">
        <v>2255</v>
      </c>
      <c r="B708" s="5" t="s">
        <v>2256</v>
      </c>
      <c r="C708" s="5" t="s">
        <v>55</v>
      </c>
      <c r="D708" s="5" t="s">
        <v>56</v>
      </c>
      <c r="E708" s="5" t="s">
        <v>182</v>
      </c>
      <c r="F708" s="5" t="s">
        <v>183</v>
      </c>
      <c r="G708" s="5" t="s">
        <v>59</v>
      </c>
      <c r="H708" s="5" t="s">
        <v>60</v>
      </c>
      <c r="I708" s="6" t="n">
        <v>0.035714</v>
      </c>
      <c r="J708" s="7" t="n">
        <f aca="false">IF(I708="","",1/I708)</f>
        <v>28.000224001792</v>
      </c>
      <c r="K708" s="8" t="n">
        <v>42.32</v>
      </c>
      <c r="L708" s="9" t="n">
        <v>-2.55</v>
      </c>
      <c r="M708" s="10" t="n">
        <v>-0.0568</v>
      </c>
      <c r="N708" s="8" t="n">
        <v>43.6</v>
      </c>
      <c r="O708" s="8" t="n">
        <v>41.2</v>
      </c>
      <c r="P708" s="8" t="n">
        <v>43.6</v>
      </c>
      <c r="Q708" s="8" t="n">
        <v>42.32</v>
      </c>
      <c r="R708" s="11" t="n">
        <v>173</v>
      </c>
      <c r="S708" s="11" t="n">
        <f aca="false">K708*R708</f>
        <v>7321.36</v>
      </c>
      <c r="T708" s="8" t="n">
        <v>41.2</v>
      </c>
      <c r="U708" s="8" t="n">
        <v>67.1428558</v>
      </c>
      <c r="V708" s="12" t="n">
        <f aca="false">IF(U708-T708=0,"",(K708-T708)/(U708-T708))</f>
        <v>0.0431718084020649</v>
      </c>
      <c r="W708" s="13" t="n">
        <f aca="false">IF(U708=0,"",K708/U708-1)</f>
        <v>-0.369702115053617</v>
      </c>
      <c r="X708" s="11" t="n">
        <v>321504</v>
      </c>
      <c r="Y708" s="5" t="s">
        <v>182</v>
      </c>
      <c r="Z708" s="5" t="s">
        <v>184</v>
      </c>
      <c r="AA708" s="5" t="s">
        <v>183</v>
      </c>
      <c r="AB708" s="5"/>
      <c r="AC708" s="5" t="s">
        <v>2257</v>
      </c>
      <c r="AD708" s="14" t="n">
        <v>46288.771875</v>
      </c>
    </row>
    <row r="709" customFormat="false" ht="15" hidden="false" customHeight="false" outlineLevel="0" collapsed="false">
      <c r="A709" s="5" t="s">
        <v>2258</v>
      </c>
      <c r="B709" s="5" t="s">
        <v>2259</v>
      </c>
      <c r="C709" s="5" t="s">
        <v>55</v>
      </c>
      <c r="D709" s="5" t="s">
        <v>56</v>
      </c>
      <c r="E709" s="5" t="s">
        <v>71</v>
      </c>
      <c r="F709" s="5" t="s">
        <v>72</v>
      </c>
      <c r="G709" s="5" t="s">
        <v>59</v>
      </c>
      <c r="H709" s="5" t="s">
        <v>60</v>
      </c>
      <c r="I709" s="6" t="n">
        <v>1</v>
      </c>
      <c r="J709" s="7" t="n">
        <f aca="false">IF(I709="","",1/I709)</f>
        <v>1</v>
      </c>
      <c r="K709" s="8" t="n">
        <v>146.1</v>
      </c>
      <c r="L709" s="9" t="n">
        <v>-1.65</v>
      </c>
      <c r="M709" s="10" t="n">
        <v>-0.0112</v>
      </c>
      <c r="N709" s="8" t="n">
        <v>146.1</v>
      </c>
      <c r="O709" s="8" t="n">
        <v>146.1</v>
      </c>
      <c r="P709" s="8" t="n">
        <v>146.1</v>
      </c>
      <c r="Q709" s="8" t="n">
        <v>146.1</v>
      </c>
      <c r="R709" s="11" t="n">
        <v>20</v>
      </c>
      <c r="S709" s="11" t="n">
        <f aca="false">K709*R709</f>
        <v>2922</v>
      </c>
      <c r="T709" s="8" t="n">
        <v>131.99</v>
      </c>
      <c r="U709" s="8" t="n">
        <v>159.04</v>
      </c>
      <c r="V709" s="12" t="n">
        <f aca="false">IF(U709-T709=0,"",(K709-T709)/(U709-T709))</f>
        <v>0.521626617375231</v>
      </c>
      <c r="W709" s="13" t="n">
        <f aca="false">IF(U709=0,"",K709/U709-1)</f>
        <v>-0.0813631790744467</v>
      </c>
      <c r="X709" s="11" t="n">
        <v>121686</v>
      </c>
      <c r="Y709" s="5" t="s">
        <v>71</v>
      </c>
      <c r="Z709" s="5" t="s">
        <v>73</v>
      </c>
      <c r="AA709" s="5" t="s">
        <v>72</v>
      </c>
      <c r="AB709" s="5"/>
      <c r="AC709" s="5" t="s">
        <v>2260</v>
      </c>
      <c r="AD709" s="14" t="n">
        <v>46288.771875</v>
      </c>
    </row>
    <row r="710" customFormat="false" ht="15" hidden="false" customHeight="false" outlineLevel="0" collapsed="false">
      <c r="A710" s="5" t="s">
        <v>2261</v>
      </c>
      <c r="B710" s="5" t="s">
        <v>2262</v>
      </c>
      <c r="C710" s="5" t="s">
        <v>55</v>
      </c>
      <c r="D710" s="5" t="s">
        <v>56</v>
      </c>
      <c r="E710" s="5" t="s">
        <v>1388</v>
      </c>
      <c r="F710" s="5" t="s">
        <v>1389</v>
      </c>
      <c r="G710" s="5" t="s">
        <v>59</v>
      </c>
      <c r="H710" s="5" t="s">
        <v>60</v>
      </c>
      <c r="I710" s="6" t="n">
        <v>1</v>
      </c>
      <c r="J710" s="7" t="n">
        <f aca="false">IF(I710="","",1/I710)</f>
        <v>1</v>
      </c>
      <c r="K710" s="8" t="n">
        <v>197.5</v>
      </c>
      <c r="L710" s="9" t="n">
        <v>1.1</v>
      </c>
      <c r="M710" s="10" t="n">
        <v>0.0056</v>
      </c>
      <c r="N710" s="8" t="n">
        <v>197.5</v>
      </c>
      <c r="O710" s="8" t="n">
        <v>197.5</v>
      </c>
      <c r="P710" s="8" t="n">
        <v>197.5</v>
      </c>
      <c r="Q710" s="8" t="n">
        <v>197.5</v>
      </c>
      <c r="R710" s="11" t="n">
        <v>1</v>
      </c>
      <c r="S710" s="11" t="n">
        <f aca="false">K710*R710</f>
        <v>197.5</v>
      </c>
      <c r="T710" s="8" t="n">
        <v>115</v>
      </c>
      <c r="U710" s="8" t="n">
        <v>227.54</v>
      </c>
      <c r="V710" s="12" t="n">
        <f aca="false">IF(U710-T710=0,"",(K710-T710)/(U710-T710))</f>
        <v>0.733072685267461</v>
      </c>
      <c r="W710" s="13" t="n">
        <f aca="false">IF(U710=0,"",K710/U710-1)</f>
        <v>-0.13202074360552</v>
      </c>
      <c r="X710" s="11" t="n">
        <v>19687</v>
      </c>
      <c r="Y710" s="5" t="s">
        <v>1388</v>
      </c>
      <c r="Z710" s="5" t="s">
        <v>1390</v>
      </c>
      <c r="AA710" s="5" t="s">
        <v>1389</v>
      </c>
      <c r="AB710" s="5"/>
      <c r="AC710" s="5" t="s">
        <v>2263</v>
      </c>
      <c r="AD710" s="14" t="n">
        <v>46288.771875</v>
      </c>
    </row>
    <row r="711" customFormat="false" ht="15" hidden="false" customHeight="false" outlineLevel="0" collapsed="false">
      <c r="A711" s="5" t="s">
        <v>2264</v>
      </c>
      <c r="B711" s="5" t="s">
        <v>2265</v>
      </c>
      <c r="C711" s="5" t="s">
        <v>55</v>
      </c>
      <c r="D711" s="5" t="s">
        <v>56</v>
      </c>
      <c r="E711" s="5" t="s">
        <v>71</v>
      </c>
      <c r="F711" s="5" t="s">
        <v>72</v>
      </c>
      <c r="G711" s="5" t="s">
        <v>59</v>
      </c>
      <c r="H711" s="5" t="s">
        <v>60</v>
      </c>
      <c r="I711" s="6" t="n">
        <v>0.08333333</v>
      </c>
      <c r="J711" s="7" t="n">
        <f aca="false">IF(I711="","",1/I711)</f>
        <v>12.00000048</v>
      </c>
      <c r="K711" s="8" t="n">
        <v>52.16</v>
      </c>
      <c r="L711" s="9" t="n">
        <v>0.69</v>
      </c>
      <c r="M711" s="10" t="n">
        <v>0.0134</v>
      </c>
      <c r="N711" s="8" t="n">
        <v>52.16</v>
      </c>
      <c r="O711" s="8" t="n">
        <v>52.16</v>
      </c>
      <c r="P711" s="8" t="n">
        <v>52.16</v>
      </c>
      <c r="Q711" s="8" t="n">
        <v>52.16</v>
      </c>
      <c r="R711" s="11" t="n">
        <v>1</v>
      </c>
      <c r="S711" s="11" t="n">
        <f aca="false">K711*R711</f>
        <v>52.16</v>
      </c>
      <c r="T711" s="8" t="n">
        <v>38.73</v>
      </c>
      <c r="U711" s="8" t="n">
        <v>52.16</v>
      </c>
      <c r="V711" s="12" t="n">
        <f aca="false">IF(U711-T711=0,"",(K711-T711)/(U711-T711))</f>
        <v>1</v>
      </c>
      <c r="W711" s="13" t="n">
        <f aca="false">IF(U711=0,"",K711/U711-1)</f>
        <v>0</v>
      </c>
      <c r="X711" s="11" t="n">
        <v>42436</v>
      </c>
      <c r="Y711" s="5" t="s">
        <v>71</v>
      </c>
      <c r="Z711" s="5" t="s">
        <v>73</v>
      </c>
      <c r="AA711" s="5" t="s">
        <v>72</v>
      </c>
      <c r="AB711" s="5"/>
      <c r="AC711" s="5" t="s">
        <v>2266</v>
      </c>
      <c r="AD711" s="14" t="n">
        <v>46288.771875</v>
      </c>
    </row>
    <row r="712" customFormat="false" ht="15" hidden="false" customHeight="false" outlineLevel="0" collapsed="false">
      <c r="A712" s="5" t="s">
        <v>2267</v>
      </c>
      <c r="B712" s="5" t="s">
        <v>2268</v>
      </c>
      <c r="C712" s="5" t="s">
        <v>55</v>
      </c>
      <c r="D712" s="5" t="s">
        <v>56</v>
      </c>
      <c r="E712" s="5" t="s">
        <v>71</v>
      </c>
      <c r="F712" s="5" t="s">
        <v>72</v>
      </c>
      <c r="G712" s="5" t="s">
        <v>59</v>
      </c>
      <c r="H712" s="5" t="s">
        <v>60</v>
      </c>
      <c r="I712" s="6" t="n">
        <v>0.166667</v>
      </c>
      <c r="J712" s="7" t="n">
        <f aca="false">IF(I712="","",1/I712)</f>
        <v>5.999988000024</v>
      </c>
      <c r="K712" s="8" t="n">
        <v>47.96</v>
      </c>
      <c r="L712" s="9" t="n">
        <v>-0.17</v>
      </c>
      <c r="M712" s="10" t="n">
        <v>-0.0035</v>
      </c>
      <c r="N712" s="8" t="n">
        <v>49.99</v>
      </c>
      <c r="O712" s="8" t="n">
        <v>47.4</v>
      </c>
      <c r="P712" s="8" t="n">
        <v>49.99</v>
      </c>
      <c r="Q712" s="8" t="n">
        <v>47.96</v>
      </c>
      <c r="R712" s="11" t="n">
        <v>687</v>
      </c>
      <c r="S712" s="11" t="n">
        <f aca="false">K712*R712</f>
        <v>32948.52</v>
      </c>
      <c r="T712" s="8" t="n">
        <v>47.4</v>
      </c>
      <c r="U712" s="8" t="n">
        <v>59.02999941</v>
      </c>
      <c r="V712" s="12" t="n">
        <f aca="false">IF(U712-T712=0,"",(K712-T712)/(U712-T712))</f>
        <v>0.0481513352028624</v>
      </c>
      <c r="W712" s="13" t="n">
        <f aca="false">IF(U712=0,"",K712/U712-1)</f>
        <v>-0.187531755389526</v>
      </c>
      <c r="X712" s="11" t="n">
        <v>273745</v>
      </c>
      <c r="Y712" s="5" t="s">
        <v>71</v>
      </c>
      <c r="Z712" s="5" t="s">
        <v>73</v>
      </c>
      <c r="AA712" s="5" t="s">
        <v>72</v>
      </c>
      <c r="AB712" s="5"/>
      <c r="AC712" s="5" t="s">
        <v>2269</v>
      </c>
      <c r="AD712" s="14" t="n">
        <v>46288.771875</v>
      </c>
    </row>
    <row r="713" customFormat="false" ht="15" hidden="false" customHeight="false" outlineLevel="0" collapsed="false">
      <c r="A713" s="5" t="s">
        <v>2270</v>
      </c>
      <c r="B713" s="5" t="s">
        <v>2271</v>
      </c>
      <c r="C713" s="5" t="s">
        <v>55</v>
      </c>
      <c r="D713" s="5" t="s">
        <v>56</v>
      </c>
      <c r="E713" s="5" t="s">
        <v>71</v>
      </c>
      <c r="F713" s="5" t="s">
        <v>72</v>
      </c>
      <c r="G713" s="5" t="s">
        <v>59</v>
      </c>
      <c r="H713" s="5" t="s">
        <v>60</v>
      </c>
      <c r="I713" s="6" t="n">
        <v>0.083333</v>
      </c>
      <c r="J713" s="7" t="n">
        <f aca="false">IF(I713="","",1/I713)</f>
        <v>12.000048000192</v>
      </c>
      <c r="K713" s="8" t="n">
        <v>68.53</v>
      </c>
      <c r="L713" s="9" t="n">
        <v>0.21</v>
      </c>
      <c r="M713" s="10" t="n">
        <v>0.0031</v>
      </c>
      <c r="N713" s="8" t="n">
        <v>68.18</v>
      </c>
      <c r="O713" s="8" t="n">
        <v>68.04</v>
      </c>
      <c r="P713" s="8" t="n">
        <v>69.23</v>
      </c>
      <c r="Q713" s="8" t="n">
        <v>68.53</v>
      </c>
      <c r="R713" s="11" t="n">
        <v>119</v>
      </c>
      <c r="S713" s="11" t="n">
        <f aca="false">K713*R713</f>
        <v>8155.07</v>
      </c>
      <c r="T713" s="8" t="n">
        <v>63.86666794</v>
      </c>
      <c r="U713" s="8" t="n">
        <v>78.96000158</v>
      </c>
      <c r="V713" s="12" t="n">
        <f aca="false">IF(U713-T713=0,"",(K713-T713)/(U713-T713))</f>
        <v>0.308966340453864</v>
      </c>
      <c r="W713" s="13" t="n">
        <f aca="false">IF(U713=0,"",K713/U713-1)</f>
        <v>-0.132092215948509</v>
      </c>
      <c r="X713" s="11" t="n">
        <v>156912</v>
      </c>
      <c r="Y713" s="5" t="s">
        <v>71</v>
      </c>
      <c r="Z713" s="5" t="s">
        <v>73</v>
      </c>
      <c r="AA713" s="5" t="s">
        <v>72</v>
      </c>
      <c r="AB713" s="5"/>
      <c r="AC713" s="5" t="s">
        <v>2272</v>
      </c>
      <c r="AD713" s="14" t="n">
        <v>46288.771875</v>
      </c>
    </row>
    <row r="714" customFormat="false" ht="15" hidden="false" customHeight="false" outlineLevel="0" collapsed="false">
      <c r="A714" s="5" t="s">
        <v>2273</v>
      </c>
      <c r="B714" s="5" t="s">
        <v>2274</v>
      </c>
      <c r="C714" s="5" t="s">
        <v>55</v>
      </c>
      <c r="D714" s="5" t="s">
        <v>56</v>
      </c>
      <c r="E714" s="5" t="s">
        <v>115</v>
      </c>
      <c r="F714" s="5" t="s">
        <v>116</v>
      </c>
      <c r="G714" s="5" t="s">
        <v>59</v>
      </c>
      <c r="H714" s="5" t="s">
        <v>60</v>
      </c>
      <c r="I714" s="6" t="n">
        <v>0.05</v>
      </c>
      <c r="J714" s="7" t="n">
        <f aca="false">IF(I714="","",1/I714)</f>
        <v>20</v>
      </c>
      <c r="K714" s="8" t="n">
        <v>39.4</v>
      </c>
      <c r="L714" s="9" t="n">
        <v>-0.12</v>
      </c>
      <c r="M714" s="10" t="n">
        <v>-0.003</v>
      </c>
      <c r="N714" s="8" t="n">
        <v>39.4</v>
      </c>
      <c r="O714" s="8" t="n">
        <v>39.4</v>
      </c>
      <c r="P714" s="8" t="n">
        <v>39.4</v>
      </c>
      <c r="Q714" s="8" t="n">
        <v>39.4</v>
      </c>
      <c r="R714" s="11" t="n">
        <v>1</v>
      </c>
      <c r="S714" s="11" t="n">
        <f aca="false">K714*R714</f>
        <v>39.4</v>
      </c>
      <c r="T714" s="8" t="n">
        <v>20.5</v>
      </c>
      <c r="U714" s="8" t="n">
        <v>41.6</v>
      </c>
      <c r="V714" s="12" t="n">
        <f aca="false">IF(U714-T714=0,"",(K714-T714)/(U714-T714))</f>
        <v>0.895734597156398</v>
      </c>
      <c r="W714" s="13" t="n">
        <f aca="false">IF(U714=0,"",K714/U714-1)</f>
        <v>-0.0528846153846154</v>
      </c>
      <c r="X714" s="11" t="n">
        <v>117234</v>
      </c>
      <c r="Y714" s="5" t="s">
        <v>115</v>
      </c>
      <c r="Z714" s="5" t="s">
        <v>117</v>
      </c>
      <c r="AA714" s="5" t="s">
        <v>116</v>
      </c>
      <c r="AB714" s="5"/>
      <c r="AC714" s="5" t="s">
        <v>2275</v>
      </c>
      <c r="AD714" s="14" t="n">
        <v>46288.771875</v>
      </c>
    </row>
    <row r="715" customFormat="false" ht="15" hidden="false" customHeight="false" outlineLevel="0" collapsed="false">
      <c r="A715" s="5" t="s">
        <v>2276</v>
      </c>
      <c r="B715" s="5" t="s">
        <v>2277</v>
      </c>
      <c r="C715" s="5" t="s">
        <v>55</v>
      </c>
      <c r="D715" s="5" t="s">
        <v>56</v>
      </c>
      <c r="E715" s="5" t="s">
        <v>273</v>
      </c>
      <c r="F715" s="5" t="s">
        <v>274</v>
      </c>
      <c r="G715" s="5" t="s">
        <v>59</v>
      </c>
      <c r="H715" s="5"/>
      <c r="I715" s="6"/>
      <c r="J715" s="7" t="str">
        <f aca="false">IF(I715="","",1/I715)</f>
        <v/>
      </c>
      <c r="K715" s="8" t="n">
        <v>885.15</v>
      </c>
      <c r="L715" s="9" t="n">
        <v>8.76</v>
      </c>
      <c r="M715" s="10" t="n">
        <v>0.01</v>
      </c>
      <c r="N715" s="8" t="n">
        <v>885.15</v>
      </c>
      <c r="O715" s="8" t="n">
        <v>885.15</v>
      </c>
      <c r="P715" s="8" t="n">
        <v>885.15</v>
      </c>
      <c r="Q715" s="8" t="n">
        <v>885.15</v>
      </c>
      <c r="R715" s="11" t="n">
        <v>5</v>
      </c>
      <c r="S715" s="11" t="n">
        <f aca="false">K715*R715</f>
        <v>4425.75</v>
      </c>
      <c r="T715" s="8" t="n">
        <v>807.2</v>
      </c>
      <c r="U715" s="8" t="n">
        <v>1132.78</v>
      </c>
      <c r="V715" s="12" t="n">
        <f aca="false">IF(U715-T715=0,"",(K715-T715)/(U715-T715))</f>
        <v>0.239418883223785</v>
      </c>
      <c r="W715" s="13" t="n">
        <f aca="false">IF(U715=0,"",K715/U715-1)</f>
        <v>-0.218603788908702</v>
      </c>
      <c r="X715" s="11" t="n">
        <v>105439</v>
      </c>
      <c r="Y715" s="5" t="s">
        <v>273</v>
      </c>
      <c r="Z715" s="5" t="s">
        <v>275</v>
      </c>
      <c r="AA715" s="5" t="s">
        <v>274</v>
      </c>
      <c r="AB715" s="5" t="s">
        <v>111</v>
      </c>
      <c r="AC715" s="5" t="s">
        <v>2278</v>
      </c>
      <c r="AD715" s="14" t="n">
        <v>46288.771875</v>
      </c>
    </row>
    <row r="716" customFormat="false" ht="15" hidden="false" customHeight="false" outlineLevel="0" collapsed="false">
      <c r="A716" s="5" t="s">
        <v>2279</v>
      </c>
      <c r="B716" s="5" t="s">
        <v>2280</v>
      </c>
      <c r="C716" s="5" t="s">
        <v>55</v>
      </c>
      <c r="D716" s="5" t="s">
        <v>56</v>
      </c>
      <c r="E716" s="5" t="s">
        <v>142</v>
      </c>
      <c r="F716" s="5" t="s">
        <v>143</v>
      </c>
      <c r="G716" s="5" t="s">
        <v>59</v>
      </c>
      <c r="H716" s="5" t="s">
        <v>60</v>
      </c>
      <c r="I716" s="6" t="n">
        <v>0.25</v>
      </c>
      <c r="J716" s="7" t="n">
        <f aca="false">IF(I716="","",1/I716)</f>
        <v>4</v>
      </c>
      <c r="K716" s="8" t="n">
        <v>540.54</v>
      </c>
      <c r="L716" s="9" t="n">
        <v>2.59</v>
      </c>
      <c r="M716" s="10" t="n">
        <v>0.0048</v>
      </c>
      <c r="N716" s="8" t="n">
        <v>540.54</v>
      </c>
      <c r="O716" s="8" t="n">
        <v>540.54</v>
      </c>
      <c r="P716" s="8" t="n">
        <v>540.54</v>
      </c>
      <c r="Q716" s="8" t="n">
        <v>540.54</v>
      </c>
      <c r="R716" s="11" t="n">
        <v>50</v>
      </c>
      <c r="S716" s="11" t="n">
        <f aca="false">K716*R716</f>
        <v>27027</v>
      </c>
      <c r="T716" s="8" t="n">
        <v>465.6</v>
      </c>
      <c r="U716" s="8" t="n">
        <v>627.6</v>
      </c>
      <c r="V716" s="12" t="n">
        <f aca="false">IF(U716-T716=0,"",(K716-T716)/(U716-T716))</f>
        <v>0.462592592592592</v>
      </c>
      <c r="W716" s="13" t="n">
        <f aca="false">IF(U716=0,"",K716/U716-1)</f>
        <v>-0.138718929254302</v>
      </c>
      <c r="X716" s="11" t="n">
        <v>242778</v>
      </c>
      <c r="Y716" s="5" t="s">
        <v>142</v>
      </c>
      <c r="Z716" s="5" t="s">
        <v>144</v>
      </c>
      <c r="AA716" s="5" t="s">
        <v>143</v>
      </c>
      <c r="AB716" s="5"/>
      <c r="AC716" s="5" t="s">
        <v>2281</v>
      </c>
      <c r="AD716" s="14" t="n">
        <v>46288.771875</v>
      </c>
    </row>
    <row r="717" customFormat="false" ht="15" hidden="false" customHeight="false" outlineLevel="0" collapsed="false">
      <c r="A717" s="5" t="s">
        <v>2282</v>
      </c>
      <c r="B717" s="5" t="s">
        <v>2283</v>
      </c>
      <c r="C717" s="5" t="s">
        <v>55</v>
      </c>
      <c r="D717" s="5" t="s">
        <v>56</v>
      </c>
      <c r="E717" s="5" t="s">
        <v>1388</v>
      </c>
      <c r="F717" s="5" t="s">
        <v>1389</v>
      </c>
      <c r="G717" s="5" t="s">
        <v>59</v>
      </c>
      <c r="H717" s="5" t="s">
        <v>60</v>
      </c>
      <c r="I717" s="6" t="n">
        <v>1</v>
      </c>
      <c r="J717" s="7" t="n">
        <f aca="false">IF(I717="","",1/I717)</f>
        <v>1</v>
      </c>
      <c r="K717" s="8" t="n">
        <v>168.13</v>
      </c>
      <c r="L717" s="9" t="n">
        <v>-1.97</v>
      </c>
      <c r="M717" s="10" t="n">
        <v>-0.0116</v>
      </c>
      <c r="N717" s="8" t="n">
        <v>168.13</v>
      </c>
      <c r="O717" s="8" t="n">
        <v>168.13</v>
      </c>
      <c r="P717" s="8" t="n">
        <v>168.13</v>
      </c>
      <c r="Q717" s="8" t="n">
        <v>168.13</v>
      </c>
      <c r="R717" s="11" t="n">
        <v>4</v>
      </c>
      <c r="S717" s="11" t="n">
        <f aca="false">K717*R717</f>
        <v>672.52</v>
      </c>
      <c r="T717" s="8" t="n">
        <v>168.13</v>
      </c>
      <c r="U717" s="8" t="n">
        <v>330.6</v>
      </c>
      <c r="V717" s="12" t="n">
        <f aca="false">IF(U717-T717=0,"",(K717-T717)/(U717-T717))</f>
        <v>0</v>
      </c>
      <c r="W717" s="13" t="n">
        <f aca="false">IF(U717=0,"",K717/U717-1)</f>
        <v>-0.491439806412583</v>
      </c>
      <c r="X717" s="11" t="n">
        <v>80913</v>
      </c>
      <c r="Y717" s="5" t="s">
        <v>1388</v>
      </c>
      <c r="Z717" s="5" t="s">
        <v>1390</v>
      </c>
      <c r="AA717" s="5" t="s">
        <v>1389</v>
      </c>
      <c r="AB717" s="5"/>
      <c r="AC717" s="5" t="s">
        <v>2284</v>
      </c>
      <c r="AD717" s="14" t="n">
        <v>46288.771875</v>
      </c>
    </row>
    <row r="718" customFormat="false" ht="15" hidden="false" customHeight="false" outlineLevel="0" collapsed="false">
      <c r="A718" s="5" t="s">
        <v>2285</v>
      </c>
      <c r="B718" s="5" t="s">
        <v>2286</v>
      </c>
      <c r="C718" s="5" t="s">
        <v>55</v>
      </c>
      <c r="D718" s="5" t="s">
        <v>56</v>
      </c>
      <c r="E718" s="5" t="s">
        <v>115</v>
      </c>
      <c r="F718" s="5" t="s">
        <v>116</v>
      </c>
      <c r="G718" s="5" t="s">
        <v>59</v>
      </c>
      <c r="H718" s="5" t="s">
        <v>60</v>
      </c>
      <c r="I718" s="6" t="n">
        <v>0.1</v>
      </c>
      <c r="J718" s="7" t="n">
        <f aca="false">IF(I718="","",1/I718)</f>
        <v>10</v>
      </c>
      <c r="K718" s="8" t="n">
        <v>199.84</v>
      </c>
      <c r="L718" s="9" t="n">
        <v>-0.92</v>
      </c>
      <c r="M718" s="10" t="n">
        <v>-0.0046</v>
      </c>
      <c r="N718" s="8" t="n">
        <v>199.84</v>
      </c>
      <c r="O718" s="8" t="n">
        <v>199.84</v>
      </c>
      <c r="P718" s="8" t="n">
        <v>199.84</v>
      </c>
      <c r="Q718" s="8" t="n">
        <v>199.84</v>
      </c>
      <c r="R718" s="11" t="n">
        <v>1</v>
      </c>
      <c r="S718" s="11" t="n">
        <f aca="false">K718*R718</f>
        <v>199.84</v>
      </c>
      <c r="T718" s="8" t="n">
        <v>164.1</v>
      </c>
      <c r="U718" s="8" t="n">
        <v>258</v>
      </c>
      <c r="V718" s="12" t="n">
        <f aca="false">IF(U718-T718=0,"",(K718-T718)/(U718-T718))</f>
        <v>0.380617678381257</v>
      </c>
      <c r="W718" s="13" t="n">
        <f aca="false">IF(U718=0,"",K718/U718-1)</f>
        <v>-0.225426356589147</v>
      </c>
      <c r="X718" s="11" t="n">
        <v>184161</v>
      </c>
      <c r="Y718" s="5" t="s">
        <v>115</v>
      </c>
      <c r="Z718" s="5" t="s">
        <v>117</v>
      </c>
      <c r="AA718" s="5" t="s">
        <v>116</v>
      </c>
      <c r="AB718" s="5"/>
      <c r="AC718" s="5" t="s">
        <v>2287</v>
      </c>
      <c r="AD718" s="14" t="n">
        <v>46288.771875</v>
      </c>
    </row>
    <row r="719" customFormat="false" ht="15" hidden="false" customHeight="false" outlineLevel="0" collapsed="false">
      <c r="A719" s="5" t="s">
        <v>2288</v>
      </c>
      <c r="B719" s="5" t="s">
        <v>2289</v>
      </c>
      <c r="C719" s="5" t="s">
        <v>55</v>
      </c>
      <c r="D719" s="5" t="s">
        <v>56</v>
      </c>
      <c r="E719" s="5" t="s">
        <v>370</v>
      </c>
      <c r="F719" s="5" t="s">
        <v>371</v>
      </c>
      <c r="G719" s="5" t="s">
        <v>59</v>
      </c>
      <c r="H719" s="5" t="s">
        <v>60</v>
      </c>
      <c r="I719" s="6" t="n">
        <v>0.0625</v>
      </c>
      <c r="J719" s="7" t="n">
        <f aca="false">IF(I719="","",1/I719)</f>
        <v>16</v>
      </c>
      <c r="K719" s="8" t="n">
        <v>68.39</v>
      </c>
      <c r="L719" s="9" t="n">
        <v>-0.08</v>
      </c>
      <c r="M719" s="10" t="n">
        <v>-0.0012</v>
      </c>
      <c r="N719" s="8" t="n">
        <v>68.39</v>
      </c>
      <c r="O719" s="8" t="n">
        <v>68.39</v>
      </c>
      <c r="P719" s="8" t="n">
        <v>68.39</v>
      </c>
      <c r="Q719" s="8" t="n">
        <v>68.39</v>
      </c>
      <c r="R719" s="11" t="n">
        <v>5</v>
      </c>
      <c r="S719" s="11" t="n">
        <f aca="false">K719*R719</f>
        <v>341.95</v>
      </c>
      <c r="T719" s="8" t="n">
        <v>62.07</v>
      </c>
      <c r="U719" s="8" t="n">
        <v>74.65875</v>
      </c>
      <c r="V719" s="12" t="n">
        <f aca="false">IF(U719-T719=0,"",(K719-T719)/(U719-T719))</f>
        <v>0.502035547611955</v>
      </c>
      <c r="W719" s="13" t="n">
        <f aca="false">IF(U719=0,"",K719/U719-1)</f>
        <v>-0.0839653757931923</v>
      </c>
      <c r="X719" s="11" t="n">
        <v>335173</v>
      </c>
      <c r="Y719" s="5" t="s">
        <v>370</v>
      </c>
      <c r="Z719" s="5" t="s">
        <v>372</v>
      </c>
      <c r="AA719" s="5" t="s">
        <v>371</v>
      </c>
      <c r="AB719" s="5"/>
      <c r="AC719" s="5" t="s">
        <v>2290</v>
      </c>
      <c r="AD719" s="14" t="n">
        <v>46288.771875</v>
      </c>
    </row>
    <row r="720" customFormat="false" ht="15" hidden="false" customHeight="false" outlineLevel="0" collapsed="false">
      <c r="A720" s="5" t="s">
        <v>2291</v>
      </c>
      <c r="B720" s="5" t="s">
        <v>2292</v>
      </c>
      <c r="C720" s="5" t="s">
        <v>55</v>
      </c>
      <c r="D720" s="5" t="s">
        <v>56</v>
      </c>
      <c r="E720" s="5" t="s">
        <v>127</v>
      </c>
      <c r="F720" s="5" t="s">
        <v>128</v>
      </c>
      <c r="G720" s="5" t="s">
        <v>59</v>
      </c>
      <c r="H720" s="5" t="s">
        <v>86</v>
      </c>
      <c r="I720" s="6" t="n">
        <v>0.125</v>
      </c>
      <c r="J720" s="7" t="n">
        <f aca="false">IF(I720="","",1/I720)</f>
        <v>8</v>
      </c>
      <c r="K720" s="8" t="n">
        <v>34</v>
      </c>
      <c r="L720" s="9" t="n">
        <v>0.2</v>
      </c>
      <c r="M720" s="10" t="n">
        <v>0.0059</v>
      </c>
      <c r="N720" s="8" t="n">
        <v>34</v>
      </c>
      <c r="O720" s="8" t="n">
        <v>34</v>
      </c>
      <c r="P720" s="8" t="n">
        <v>34</v>
      </c>
      <c r="Q720" s="8" t="n">
        <v>34</v>
      </c>
      <c r="R720" s="11" t="n">
        <v>4</v>
      </c>
      <c r="S720" s="11" t="n">
        <f aca="false">K720*R720</f>
        <v>136</v>
      </c>
      <c r="T720" s="8" t="n">
        <v>33.02</v>
      </c>
      <c r="U720" s="8" t="n">
        <v>51.26</v>
      </c>
      <c r="V720" s="12" t="n">
        <f aca="false">IF(U720-T720=0,"",(K720-T720)/(U720-T720))</f>
        <v>0.0537280701754384</v>
      </c>
      <c r="W720" s="13" t="n">
        <f aca="false">IF(U720=0,"",K720/U720-1)</f>
        <v>-0.336714787358564</v>
      </c>
      <c r="X720" s="11" t="n">
        <v>142433</v>
      </c>
      <c r="Y720" s="5" t="s">
        <v>127</v>
      </c>
      <c r="Z720" s="5" t="s">
        <v>129</v>
      </c>
      <c r="AA720" s="5" t="s">
        <v>128</v>
      </c>
      <c r="AB720" s="5"/>
      <c r="AC720" s="5" t="s">
        <v>2293</v>
      </c>
      <c r="AD720" s="14" t="n">
        <v>46288.771875</v>
      </c>
    </row>
    <row r="721" customFormat="false" ht="15" hidden="false" customHeight="false" outlineLevel="0" collapsed="false">
      <c r="A721" s="5" t="s">
        <v>2294</v>
      </c>
      <c r="B721" s="5" t="s">
        <v>2295</v>
      </c>
      <c r="C721" s="5" t="s">
        <v>55</v>
      </c>
      <c r="D721" s="5" t="s">
        <v>56</v>
      </c>
      <c r="E721" s="5" t="s">
        <v>99</v>
      </c>
      <c r="F721" s="5" t="s">
        <v>100</v>
      </c>
      <c r="G721" s="5" t="s">
        <v>59</v>
      </c>
      <c r="H721" s="5" t="s">
        <v>60</v>
      </c>
      <c r="I721" s="6" t="n">
        <v>0.1</v>
      </c>
      <c r="J721" s="7" t="n">
        <f aca="false">IF(I721="","",1/I721)</f>
        <v>10</v>
      </c>
      <c r="K721" s="8" t="n">
        <v>7.72</v>
      </c>
      <c r="L721" s="9" t="n">
        <v>-0.38</v>
      </c>
      <c r="M721" s="10" t="n">
        <v>-0.0469</v>
      </c>
      <c r="N721" s="8" t="n">
        <v>8.19</v>
      </c>
      <c r="O721" s="8" t="n">
        <v>7.72</v>
      </c>
      <c r="P721" s="8" t="n">
        <v>8.19</v>
      </c>
      <c r="Q721" s="8" t="n">
        <v>7.72</v>
      </c>
      <c r="R721" s="11" t="n">
        <v>43</v>
      </c>
      <c r="S721" s="11" t="n">
        <f aca="false">K721*R721</f>
        <v>331.96</v>
      </c>
      <c r="T721" s="8" t="n">
        <v>6.68</v>
      </c>
      <c r="U721" s="8" t="n">
        <v>20.9</v>
      </c>
      <c r="V721" s="12" t="n">
        <f aca="false">IF(U721-T721=0,"",(K721-T721)/(U721-T721))</f>
        <v>0.0731364275668073</v>
      </c>
      <c r="W721" s="13" t="n">
        <f aca="false">IF(U721=0,"",K721/U721-1)</f>
        <v>-0.630622009569378</v>
      </c>
      <c r="X721" s="11" t="n">
        <v>7879</v>
      </c>
      <c r="Y721" s="5" t="s">
        <v>99</v>
      </c>
      <c r="Z721" s="5" t="s">
        <v>101</v>
      </c>
      <c r="AA721" s="5" t="s">
        <v>100</v>
      </c>
      <c r="AB721" s="5"/>
      <c r="AC721" s="5" t="s">
        <v>2296</v>
      </c>
      <c r="AD721" s="14" t="n">
        <v>46288.771875</v>
      </c>
    </row>
    <row r="722" customFormat="false" ht="15" hidden="false" customHeight="false" outlineLevel="0" collapsed="false">
      <c r="A722" s="5" t="s">
        <v>2297</v>
      </c>
      <c r="B722" s="5" t="s">
        <v>2298</v>
      </c>
      <c r="C722" s="5" t="s">
        <v>55</v>
      </c>
      <c r="D722" s="5" t="s">
        <v>56</v>
      </c>
      <c r="E722" s="5" t="s">
        <v>115</v>
      </c>
      <c r="F722" s="5" t="s">
        <v>116</v>
      </c>
      <c r="G722" s="5" t="s">
        <v>59</v>
      </c>
      <c r="H722" s="5" t="s">
        <v>60</v>
      </c>
      <c r="I722" s="6" t="n">
        <v>0.1</v>
      </c>
      <c r="J722" s="7" t="n">
        <f aca="false">IF(I722="","",1/I722)</f>
        <v>10</v>
      </c>
      <c r="K722" s="8" t="n">
        <v>26.2</v>
      </c>
      <c r="L722" s="9" t="n">
        <v>0.9</v>
      </c>
      <c r="M722" s="10" t="n">
        <v>0.0356</v>
      </c>
      <c r="N722" s="8" t="n">
        <v>25.3</v>
      </c>
      <c r="O722" s="8" t="n">
        <v>25.24</v>
      </c>
      <c r="P722" s="8" t="n">
        <v>26.2</v>
      </c>
      <c r="Q722" s="8" t="n">
        <v>25.55</v>
      </c>
      <c r="R722" s="11" t="n">
        <v>12934</v>
      </c>
      <c r="S722" s="11" t="n">
        <f aca="false">K722*R722</f>
        <v>338870.8</v>
      </c>
      <c r="T722" s="8" t="n">
        <v>17.38</v>
      </c>
      <c r="U722" s="8" t="n">
        <v>77.08</v>
      </c>
      <c r="V722" s="12" t="n">
        <f aca="false">IF(U722-T722=0,"",(K722-T722)/(U722-T722))</f>
        <v>0.147738693467337</v>
      </c>
      <c r="W722" s="13" t="n">
        <f aca="false">IF(U722=0,"",K722/U722-1)</f>
        <v>-0.660093409444733</v>
      </c>
      <c r="X722" s="11" t="n">
        <v>182323</v>
      </c>
      <c r="Y722" s="5" t="s">
        <v>115</v>
      </c>
      <c r="Z722" s="5" t="s">
        <v>117</v>
      </c>
      <c r="AA722" s="5" t="s">
        <v>116</v>
      </c>
      <c r="AB722" s="5"/>
      <c r="AC722" s="5" t="s">
        <v>2299</v>
      </c>
      <c r="AD722" s="14" t="n">
        <v>46288.771875</v>
      </c>
    </row>
    <row r="723" customFormat="false" ht="15" hidden="false" customHeight="false" outlineLevel="0" collapsed="false">
      <c r="A723" s="5" t="s">
        <v>2300</v>
      </c>
      <c r="B723" s="5" t="s">
        <v>2301</v>
      </c>
      <c r="C723" s="5" t="s">
        <v>55</v>
      </c>
      <c r="D723" s="5" t="s">
        <v>56</v>
      </c>
      <c r="E723" s="5" t="s">
        <v>57</v>
      </c>
      <c r="F723" s="5" t="s">
        <v>58</v>
      </c>
      <c r="G723" s="5" t="s">
        <v>59</v>
      </c>
      <c r="H723" s="5" t="s">
        <v>60</v>
      </c>
      <c r="I723" s="6" t="n">
        <v>0.0166</v>
      </c>
      <c r="J723" s="7" t="n">
        <f aca="false">IF(I723="","",1/I723)</f>
        <v>60.2409638554217</v>
      </c>
      <c r="K723" s="8" t="n">
        <v>10.89</v>
      </c>
      <c r="L723" s="9" t="n">
        <v>-0.17</v>
      </c>
      <c r="M723" s="10" t="n">
        <v>-0.0154</v>
      </c>
      <c r="N723" s="8" t="n">
        <v>10.9</v>
      </c>
      <c r="O723" s="8" t="n">
        <v>10.89</v>
      </c>
      <c r="P723" s="8" t="n">
        <v>10.9</v>
      </c>
      <c r="Q723" s="8" t="n">
        <v>10.89</v>
      </c>
      <c r="R723" s="11" t="n">
        <v>5748</v>
      </c>
      <c r="S723" s="11" t="n">
        <f aca="false">K723*R723</f>
        <v>62595.72</v>
      </c>
      <c r="T723" s="8" t="n">
        <v>9.14</v>
      </c>
      <c r="U723" s="8" t="n">
        <v>21.13</v>
      </c>
      <c r="V723" s="12" t="n">
        <f aca="false">IF(U723-T723=0,"",(K723-T723)/(U723-T723))</f>
        <v>0.145954962468724</v>
      </c>
      <c r="W723" s="13" t="n">
        <f aca="false">IF(U723=0,"",K723/U723-1)</f>
        <v>-0.484619025082821</v>
      </c>
      <c r="X723" s="11" t="n">
        <v>12658</v>
      </c>
      <c r="Y723" s="5" t="s">
        <v>57</v>
      </c>
      <c r="Z723" s="5" t="s">
        <v>61</v>
      </c>
      <c r="AA723" s="5" t="s">
        <v>58</v>
      </c>
      <c r="AB723" s="5"/>
      <c r="AC723" s="5" t="s">
        <v>2302</v>
      </c>
      <c r="AD723" s="14" t="n">
        <v>46288.771875</v>
      </c>
    </row>
    <row r="724" customFormat="false" ht="15" hidden="false" customHeight="false" outlineLevel="0" collapsed="false">
      <c r="A724" s="5" t="s">
        <v>2303</v>
      </c>
      <c r="B724" s="5" t="s">
        <v>2304</v>
      </c>
      <c r="C724" s="5" t="s">
        <v>55</v>
      </c>
      <c r="D724" s="5" t="s">
        <v>56</v>
      </c>
      <c r="E724" s="5" t="s">
        <v>115</v>
      </c>
      <c r="F724" s="5" t="s">
        <v>116</v>
      </c>
      <c r="G724" s="5" t="s">
        <v>59</v>
      </c>
      <c r="H724" s="5" t="s">
        <v>60</v>
      </c>
      <c r="I724" s="6" t="n">
        <v>0.04</v>
      </c>
      <c r="J724" s="7" t="n">
        <f aca="false">IF(I724="","",1/I724)</f>
        <v>25</v>
      </c>
      <c r="K724" s="8" t="n">
        <v>16.42</v>
      </c>
      <c r="L724" s="9" t="n">
        <v>0.29</v>
      </c>
      <c r="M724" s="10" t="n">
        <v>0.018</v>
      </c>
      <c r="N724" s="8" t="n">
        <v>16.42</v>
      </c>
      <c r="O724" s="8" t="n">
        <v>16.26</v>
      </c>
      <c r="P724" s="8" t="n">
        <v>16.42</v>
      </c>
      <c r="Q724" s="8" t="n">
        <v>16.42</v>
      </c>
      <c r="R724" s="11" t="n">
        <v>408</v>
      </c>
      <c r="S724" s="11" t="n">
        <f aca="false">K724*R724</f>
        <v>6699.36</v>
      </c>
      <c r="T724" s="8" t="n">
        <v>5.58</v>
      </c>
      <c r="U724" s="8" t="n">
        <v>16.42</v>
      </c>
      <c r="V724" s="12" t="n">
        <f aca="false">IF(U724-T724=0,"",(K724-T724)/(U724-T724))</f>
        <v>1</v>
      </c>
      <c r="W724" s="13" t="n">
        <f aca="false">IF(U724=0,"",K724/U724-1)</f>
        <v>0</v>
      </c>
      <c r="X724" s="11" t="n">
        <v>34073</v>
      </c>
      <c r="Y724" s="5" t="s">
        <v>115</v>
      </c>
      <c r="Z724" s="5" t="s">
        <v>117</v>
      </c>
      <c r="AA724" s="5" t="s">
        <v>116</v>
      </c>
      <c r="AB724" s="5"/>
      <c r="AC724" s="5" t="s">
        <v>2305</v>
      </c>
      <c r="AD724" s="14" t="n">
        <v>46288.771875</v>
      </c>
    </row>
    <row r="725" customFormat="false" ht="15" hidden="false" customHeight="false" outlineLevel="0" collapsed="false">
      <c r="A725" s="5" t="s">
        <v>2306</v>
      </c>
      <c r="B725" s="5" t="s">
        <v>2307</v>
      </c>
      <c r="C725" s="5" t="s">
        <v>55</v>
      </c>
      <c r="D725" s="5" t="s">
        <v>56</v>
      </c>
      <c r="E725" s="5" t="s">
        <v>115</v>
      </c>
      <c r="F725" s="5" t="s">
        <v>116</v>
      </c>
      <c r="G725" s="5" t="s">
        <v>59</v>
      </c>
      <c r="H725" s="5" t="s">
        <v>60</v>
      </c>
      <c r="I725" s="6" t="n">
        <v>0.083333</v>
      </c>
      <c r="J725" s="7" t="n">
        <f aca="false">IF(I725="","",1/I725)</f>
        <v>12.000048000192</v>
      </c>
      <c r="K725" s="8" t="n">
        <v>5.63</v>
      </c>
      <c r="L725" s="9" t="n">
        <v>0.17</v>
      </c>
      <c r="M725" s="10" t="n">
        <v>0.0311</v>
      </c>
      <c r="N725" s="8" t="n">
        <v>5.52</v>
      </c>
      <c r="O725" s="8" t="n">
        <v>5.52</v>
      </c>
      <c r="P725" s="8" t="n">
        <v>5.7</v>
      </c>
      <c r="Q725" s="8" t="n">
        <v>5.63</v>
      </c>
      <c r="R725" s="11" t="n">
        <v>115050</v>
      </c>
      <c r="S725" s="11" t="n">
        <f aca="false">K725*R725</f>
        <v>647731.5</v>
      </c>
      <c r="T725" s="8" t="n">
        <v>2.12</v>
      </c>
      <c r="U725" s="8" t="n">
        <v>8.55</v>
      </c>
      <c r="V725" s="12" t="n">
        <f aca="false">IF(U725-T725=0,"",(K725-T725)/(U725-T725))</f>
        <v>0.545878693623639</v>
      </c>
      <c r="W725" s="13" t="n">
        <f aca="false">IF(U725=0,"",K725/U725-1)</f>
        <v>-0.341520467836257</v>
      </c>
      <c r="X725" s="11" t="n">
        <v>4432</v>
      </c>
      <c r="Y725" s="5" t="s">
        <v>115</v>
      </c>
      <c r="Z725" s="5" t="s">
        <v>117</v>
      </c>
      <c r="AA725" s="5" t="s">
        <v>116</v>
      </c>
      <c r="AB725" s="5"/>
      <c r="AC725" s="5" t="s">
        <v>2308</v>
      </c>
      <c r="AD725" s="14" t="n">
        <v>46288.771875</v>
      </c>
    </row>
    <row r="726" customFormat="false" ht="15" hidden="false" customHeight="false" outlineLevel="0" collapsed="false">
      <c r="A726" s="5" t="s">
        <v>2309</v>
      </c>
      <c r="B726" s="5" t="s">
        <v>2310</v>
      </c>
      <c r="C726" s="5" t="s">
        <v>55</v>
      </c>
      <c r="D726" s="5" t="s">
        <v>56</v>
      </c>
      <c r="E726" s="5" t="s">
        <v>99</v>
      </c>
      <c r="F726" s="5" t="s">
        <v>100</v>
      </c>
      <c r="G726" s="5" t="s">
        <v>59</v>
      </c>
      <c r="H726" s="5" t="s">
        <v>60</v>
      </c>
      <c r="I726" s="6" t="n">
        <v>0.0166667</v>
      </c>
      <c r="J726" s="7" t="n">
        <f aca="false">IF(I726="","",1/I726)</f>
        <v>59.99988000024</v>
      </c>
      <c r="K726" s="8" t="n">
        <v>69.29</v>
      </c>
      <c r="L726" s="9" t="n">
        <v>0.35</v>
      </c>
      <c r="M726" s="10" t="n">
        <v>0.0051</v>
      </c>
      <c r="N726" s="8" t="n">
        <v>69.58</v>
      </c>
      <c r="O726" s="8" t="n">
        <v>68.1</v>
      </c>
      <c r="P726" s="8" t="n">
        <v>69.71</v>
      </c>
      <c r="Q726" s="8" t="n">
        <v>69.29</v>
      </c>
      <c r="R726" s="11" t="n">
        <v>711</v>
      </c>
      <c r="S726" s="11" t="n">
        <f aca="false">K726*R726</f>
        <v>49265.19</v>
      </c>
      <c r="T726" s="8" t="n">
        <v>49.24</v>
      </c>
      <c r="U726" s="8" t="n">
        <v>73.33</v>
      </c>
      <c r="V726" s="12" t="n">
        <f aca="false">IF(U726-T726=0,"",(K726-T726)/(U726-T726))</f>
        <v>0.832295558322956</v>
      </c>
      <c r="W726" s="13" t="n">
        <f aca="false">IF(U726=0,"",K726/U726-1)</f>
        <v>-0.0550934133369697</v>
      </c>
      <c r="X726" s="11" t="n">
        <v>423570</v>
      </c>
      <c r="Y726" s="5" t="s">
        <v>99</v>
      </c>
      <c r="Z726" s="5" t="s">
        <v>101</v>
      </c>
      <c r="AA726" s="5" t="s">
        <v>100</v>
      </c>
      <c r="AB726" s="5"/>
      <c r="AC726" s="5" t="s">
        <v>2311</v>
      </c>
      <c r="AD726" s="14" t="n">
        <v>46288.771875</v>
      </c>
    </row>
    <row r="727" customFormat="false" ht="15" hidden="false" customHeight="false" outlineLevel="0" collapsed="false">
      <c r="A727" s="5" t="s">
        <v>2312</v>
      </c>
      <c r="B727" s="5" t="s">
        <v>2313</v>
      </c>
      <c r="C727" s="5" t="s">
        <v>55</v>
      </c>
      <c r="D727" s="5" t="s">
        <v>56</v>
      </c>
      <c r="E727" s="5" t="s">
        <v>77</v>
      </c>
      <c r="F727" s="5" t="s">
        <v>78</v>
      </c>
      <c r="G727" s="5" t="s">
        <v>59</v>
      </c>
      <c r="H727" s="5" t="s">
        <v>60</v>
      </c>
      <c r="I727" s="6" t="n">
        <v>1</v>
      </c>
      <c r="J727" s="7" t="n">
        <f aca="false">IF(I727="","",1/I727)</f>
        <v>1</v>
      </c>
      <c r="K727" s="8" t="n">
        <v>83.25</v>
      </c>
      <c r="L727" s="9" t="n">
        <v>-1.3</v>
      </c>
      <c r="M727" s="10" t="n">
        <v>-0.0154</v>
      </c>
      <c r="N727" s="8" t="n">
        <v>88.25</v>
      </c>
      <c r="O727" s="8" t="n">
        <v>82.73</v>
      </c>
      <c r="P727" s="8" t="n">
        <v>90.39</v>
      </c>
      <c r="Q727" s="8" t="n">
        <v>83.25</v>
      </c>
      <c r="R727" s="11" t="n">
        <v>7002</v>
      </c>
      <c r="S727" s="11" t="n">
        <f aca="false">K727*R727</f>
        <v>582916.5</v>
      </c>
      <c r="T727" s="8" t="n">
        <v>66</v>
      </c>
      <c r="U727" s="8" t="n">
        <v>319</v>
      </c>
      <c r="V727" s="12" t="n">
        <f aca="false">IF(U727-T727=0,"",(K727-T727)/(U727-T727))</f>
        <v>0.0681818181818182</v>
      </c>
      <c r="W727" s="13" t="n">
        <f aca="false">IF(U727=0,"",K727/U727-1)</f>
        <v>-0.739028213166144</v>
      </c>
      <c r="X727" s="11" t="n">
        <v>28218</v>
      </c>
      <c r="Y727" s="5" t="s">
        <v>77</v>
      </c>
      <c r="Z727" s="5" t="s">
        <v>79</v>
      </c>
      <c r="AA727" s="5" t="s">
        <v>78</v>
      </c>
      <c r="AB727" s="5"/>
      <c r="AC727" s="5" t="s">
        <v>2314</v>
      </c>
      <c r="AD727" s="14" t="n">
        <v>46288.771875</v>
      </c>
    </row>
    <row r="728" customFormat="false" ht="15" hidden="false" customHeight="false" outlineLevel="0" collapsed="false">
      <c r="A728" s="5" t="s">
        <v>2315</v>
      </c>
      <c r="B728" s="5" t="s">
        <v>2316</v>
      </c>
      <c r="C728" s="5" t="s">
        <v>55</v>
      </c>
      <c r="D728" s="5" t="s">
        <v>56</v>
      </c>
      <c r="E728" s="5" t="s">
        <v>370</v>
      </c>
      <c r="F728" s="5" t="s">
        <v>371</v>
      </c>
      <c r="G728" s="5" t="s">
        <v>59</v>
      </c>
      <c r="H728" s="5" t="s">
        <v>60</v>
      </c>
      <c r="I728" s="6" t="n">
        <v>1</v>
      </c>
      <c r="J728" s="7" t="n">
        <f aca="false">IF(I728="","",1/I728)</f>
        <v>1</v>
      </c>
      <c r="K728" s="8" t="n">
        <v>28.35</v>
      </c>
      <c r="L728" s="9" t="n">
        <v>0.35</v>
      </c>
      <c r="M728" s="10" t="n">
        <v>0.0125</v>
      </c>
      <c r="N728" s="8" t="n">
        <v>28.7</v>
      </c>
      <c r="O728" s="8" t="n">
        <v>28.35</v>
      </c>
      <c r="P728" s="8" t="n">
        <v>28.7</v>
      </c>
      <c r="Q728" s="8" t="n">
        <v>28.35</v>
      </c>
      <c r="R728" s="11" t="n">
        <v>1114</v>
      </c>
      <c r="S728" s="11" t="n">
        <f aca="false">K728*R728</f>
        <v>31581.9</v>
      </c>
      <c r="T728" s="8" t="n">
        <v>16.22</v>
      </c>
      <c r="U728" s="8" t="n">
        <v>38.82</v>
      </c>
      <c r="V728" s="12" t="n">
        <f aca="false">IF(U728-T728=0,"",(K728-T728)/(U728-T728))</f>
        <v>0.536725663716814</v>
      </c>
      <c r="W728" s="13" t="n">
        <f aca="false">IF(U728=0,"",K728/U728-1)</f>
        <v>-0.269706336939722</v>
      </c>
      <c r="X728" s="11" t="n">
        <v>31380</v>
      </c>
      <c r="Y728" s="5" t="s">
        <v>370</v>
      </c>
      <c r="Z728" s="5" t="s">
        <v>372</v>
      </c>
      <c r="AA728" s="5" t="s">
        <v>371</v>
      </c>
      <c r="AB728" s="5"/>
      <c r="AC728" s="5" t="s">
        <v>2317</v>
      </c>
      <c r="AD728" s="14" t="n">
        <v>46288.771875</v>
      </c>
    </row>
    <row r="729" customFormat="false" ht="15" hidden="false" customHeight="false" outlineLevel="0" collapsed="false">
      <c r="A729" s="5" t="s">
        <v>2318</v>
      </c>
      <c r="B729" s="5" t="s">
        <v>2319</v>
      </c>
      <c r="C729" s="5" t="s">
        <v>55</v>
      </c>
      <c r="D729" s="5" t="s">
        <v>56</v>
      </c>
      <c r="E729" s="5" t="s">
        <v>312</v>
      </c>
      <c r="F729" s="5" t="s">
        <v>313</v>
      </c>
      <c r="G729" s="5" t="s">
        <v>59</v>
      </c>
      <c r="H729" s="5" t="s">
        <v>86</v>
      </c>
      <c r="I729" s="6" t="n">
        <v>1</v>
      </c>
      <c r="J729" s="7" t="n">
        <f aca="false">IF(I729="","",1/I729)</f>
        <v>1</v>
      </c>
      <c r="K729" s="8" t="n">
        <v>490.25</v>
      </c>
      <c r="L729" s="9" t="n">
        <v>-9.5</v>
      </c>
      <c r="M729" s="10" t="n">
        <v>-0.019</v>
      </c>
      <c r="N729" s="8" t="n">
        <v>493</v>
      </c>
      <c r="O729" s="8" t="n">
        <v>488</v>
      </c>
      <c r="P729" s="8" t="n">
        <v>493.18</v>
      </c>
      <c r="Q729" s="8" t="n">
        <v>491.26</v>
      </c>
      <c r="R729" s="11" t="n">
        <v>203</v>
      </c>
      <c r="S729" s="11" t="n">
        <f aca="false">K729*R729</f>
        <v>99520.75</v>
      </c>
      <c r="T729" s="8" t="n">
        <v>344.27</v>
      </c>
      <c r="U729" s="8" t="n">
        <v>570</v>
      </c>
      <c r="V729" s="12" t="n">
        <f aca="false">IF(U729-T729=0,"",(K729-T729)/(U729-T729))</f>
        <v>0.646701811899172</v>
      </c>
      <c r="W729" s="13" t="n">
        <f aca="false">IF(U729=0,"",K729/U729-1)</f>
        <v>-0.139912280701754</v>
      </c>
      <c r="X729" s="11" t="n">
        <v>844261</v>
      </c>
      <c r="Y729" s="5" t="s">
        <v>312</v>
      </c>
      <c r="Z729" s="5" t="s">
        <v>314</v>
      </c>
      <c r="AA729" s="5" t="s">
        <v>313</v>
      </c>
      <c r="AB729" s="5"/>
      <c r="AC729" s="5" t="s">
        <v>2320</v>
      </c>
      <c r="AD729" s="14" t="n">
        <v>46288.771875</v>
      </c>
    </row>
    <row r="730" customFormat="false" ht="15" hidden="false" customHeight="false" outlineLevel="0" collapsed="false">
      <c r="A730" s="5" t="s">
        <v>2321</v>
      </c>
      <c r="B730" s="5" t="s">
        <v>2322</v>
      </c>
      <c r="C730" s="5" t="s">
        <v>55</v>
      </c>
      <c r="D730" s="5" t="s">
        <v>56</v>
      </c>
      <c r="E730" s="5" t="s">
        <v>57</v>
      </c>
      <c r="F730" s="5" t="s">
        <v>58</v>
      </c>
      <c r="G730" s="5" t="s">
        <v>59</v>
      </c>
      <c r="H730" s="5" t="s">
        <v>60</v>
      </c>
      <c r="I730" s="6" t="n">
        <v>0.0625</v>
      </c>
      <c r="J730" s="7" t="n">
        <f aca="false">IF(I730="","",1/I730)</f>
        <v>16</v>
      </c>
      <c r="K730" s="8" t="n">
        <v>73.6</v>
      </c>
      <c r="L730" s="9" t="n">
        <v>-0.32</v>
      </c>
      <c r="M730" s="10" t="n">
        <v>-0.0043</v>
      </c>
      <c r="N730" s="8" t="n">
        <v>73.6</v>
      </c>
      <c r="O730" s="8" t="n">
        <v>73.6</v>
      </c>
      <c r="P730" s="8" t="n">
        <v>73.6</v>
      </c>
      <c r="Q730" s="8" t="n">
        <v>73.6</v>
      </c>
      <c r="R730" s="11" t="n">
        <v>55</v>
      </c>
      <c r="S730" s="11" t="n">
        <f aca="false">K730*R730</f>
        <v>4048</v>
      </c>
      <c r="T730" s="8" t="n">
        <v>52.96</v>
      </c>
      <c r="U730" s="8" t="n">
        <v>80.81</v>
      </c>
      <c r="V730" s="12" t="n">
        <f aca="false">IF(U730-T730=0,"",(K730-T730)/(U730-T730))</f>
        <v>0.741113105924596</v>
      </c>
      <c r="W730" s="13" t="n">
        <f aca="false">IF(U730=0,"",K730/U730-1)</f>
        <v>-0.0892216309862641</v>
      </c>
      <c r="X730" s="11" t="n">
        <v>380123</v>
      </c>
      <c r="Y730" s="5" t="s">
        <v>57</v>
      </c>
      <c r="Z730" s="5" t="s">
        <v>61</v>
      </c>
      <c r="AA730" s="5" t="s">
        <v>58</v>
      </c>
      <c r="AB730" s="5"/>
      <c r="AC730" s="5" t="s">
        <v>2323</v>
      </c>
      <c r="AD730" s="14" t="n">
        <v>46288.771875</v>
      </c>
    </row>
    <row r="731" customFormat="false" ht="15" hidden="false" customHeight="false" outlineLevel="0" collapsed="false">
      <c r="A731" s="5" t="s">
        <v>2324</v>
      </c>
      <c r="B731" s="5" t="s">
        <v>2325</v>
      </c>
      <c r="C731" s="5" t="s">
        <v>55</v>
      </c>
      <c r="D731" s="5" t="s">
        <v>56</v>
      </c>
      <c r="E731" s="5" t="s">
        <v>71</v>
      </c>
      <c r="F731" s="5" t="s">
        <v>72</v>
      </c>
      <c r="G731" s="5" t="s">
        <v>1438</v>
      </c>
      <c r="H731" s="5" t="s">
        <v>60</v>
      </c>
      <c r="I731" s="6" t="n">
        <v>0.16667</v>
      </c>
      <c r="J731" s="7" t="n">
        <f aca="false">IF(I731="","",1/I731)</f>
        <v>5.99988000239995</v>
      </c>
      <c r="K731" s="8" t="n">
        <v>11.64</v>
      </c>
      <c r="L731" s="9" t="n">
        <v>-0.39</v>
      </c>
      <c r="M731" s="10" t="n">
        <v>-0.0324</v>
      </c>
      <c r="N731" s="8" t="n">
        <v>11.9</v>
      </c>
      <c r="O731" s="8" t="n">
        <v>11.61</v>
      </c>
      <c r="P731" s="8" t="n">
        <v>12.15</v>
      </c>
      <c r="Q731" s="8" t="n">
        <v>11.68</v>
      </c>
      <c r="R731" s="11" t="n">
        <v>10445355</v>
      </c>
      <c r="S731" s="11" t="n">
        <f aca="false">K731*R731</f>
        <v>121583932.2</v>
      </c>
      <c r="T731" s="8" t="n">
        <v>9.47</v>
      </c>
      <c r="U731" s="8" t="n">
        <v>16.57</v>
      </c>
      <c r="V731" s="12" t="n">
        <f aca="false">IF(U731-T731=0,"",(K731-T731)/(U731-T731))</f>
        <v>0.305633802816901</v>
      </c>
      <c r="W731" s="13" t="n">
        <f aca="false">IF(U731=0,"",K731/U731-1)</f>
        <v>-0.297525648762824</v>
      </c>
      <c r="X731" s="11" t="n">
        <v>350049</v>
      </c>
      <c r="Y731" s="5" t="s">
        <v>71</v>
      </c>
      <c r="Z731" s="5" t="s">
        <v>73</v>
      </c>
      <c r="AA731" s="5" t="s">
        <v>72</v>
      </c>
      <c r="AB731" s="5"/>
      <c r="AC731" s="5" t="s">
        <v>2326</v>
      </c>
      <c r="AD731" s="14" t="n">
        <v>46288.771875</v>
      </c>
    </row>
    <row r="732" customFormat="false" ht="15" hidden="false" customHeight="false" outlineLevel="0" collapsed="false">
      <c r="A732" s="5" t="s">
        <v>2327</v>
      </c>
      <c r="B732" s="5" t="s">
        <v>2328</v>
      </c>
      <c r="C732" s="5" t="s">
        <v>248</v>
      </c>
      <c r="D732" s="5" t="s">
        <v>249</v>
      </c>
      <c r="E732" s="5" t="s">
        <v>250</v>
      </c>
      <c r="F732" s="5" t="s">
        <v>251</v>
      </c>
      <c r="G732" s="5" t="s">
        <v>59</v>
      </c>
      <c r="H732" s="5" t="s">
        <v>60</v>
      </c>
      <c r="I732" s="6" t="n">
        <v>0.1</v>
      </c>
      <c r="J732" s="7" t="n">
        <f aca="false">IF(I732="","",1/I732)</f>
        <v>10</v>
      </c>
      <c r="K732" s="8" t="n">
        <v>57.3</v>
      </c>
      <c r="L732" s="9" t="n">
        <v>-0.5</v>
      </c>
      <c r="M732" s="10" t="n">
        <v>-0.0087</v>
      </c>
      <c r="N732" s="8" t="n">
        <v>57.3</v>
      </c>
      <c r="O732" s="8" t="n">
        <v>57.3</v>
      </c>
      <c r="P732" s="8" t="n">
        <v>57.3</v>
      </c>
      <c r="Q732" s="8" t="n">
        <v>57.3</v>
      </c>
      <c r="R732" s="11" t="n">
        <v>2</v>
      </c>
      <c r="S732" s="11" t="n">
        <f aca="false">K732*R732</f>
        <v>114.6</v>
      </c>
      <c r="T732" s="8" t="n">
        <v>49.95</v>
      </c>
      <c r="U732" s="8" t="n">
        <v>69</v>
      </c>
      <c r="V732" s="12" t="n">
        <f aca="false">IF(U732-T732=0,"",(K732-T732)/(U732-T732))</f>
        <v>0.385826771653543</v>
      </c>
      <c r="W732" s="13" t="n">
        <f aca="false">IF(U732=0,"",K732/U732-1)</f>
        <v>-0.169565217391304</v>
      </c>
      <c r="X732" s="11"/>
      <c r="Y732" s="5" t="s">
        <v>253</v>
      </c>
      <c r="Z732" s="5" t="s">
        <v>254</v>
      </c>
      <c r="AA732" s="5" t="s">
        <v>251</v>
      </c>
      <c r="AB732" s="5"/>
      <c r="AC732" s="5" t="s">
        <v>2329</v>
      </c>
      <c r="AD732" s="14" t="n">
        <v>46288.771875</v>
      </c>
    </row>
    <row r="733" customFormat="false" ht="15" hidden="false" customHeight="false" outlineLevel="0" collapsed="false">
      <c r="A733" s="5" t="s">
        <v>2330</v>
      </c>
      <c r="B733" s="5" t="s">
        <v>2331</v>
      </c>
      <c r="C733" s="5" t="s">
        <v>55</v>
      </c>
      <c r="D733" s="5" t="s">
        <v>56</v>
      </c>
      <c r="E733" s="5" t="s">
        <v>77</v>
      </c>
      <c r="F733" s="5" t="s">
        <v>78</v>
      </c>
      <c r="G733" s="5" t="s">
        <v>59</v>
      </c>
      <c r="H733" s="5" t="s">
        <v>60</v>
      </c>
      <c r="I733" s="6" t="n">
        <v>0.166666667</v>
      </c>
      <c r="J733" s="7" t="n">
        <f aca="false">IF(I733="","",1/I733)</f>
        <v>5.999999988</v>
      </c>
      <c r="K733" s="8" t="n">
        <v>166.07</v>
      </c>
      <c r="L733" s="9" t="n">
        <v>-9.78</v>
      </c>
      <c r="M733" s="10" t="n">
        <v>-0.0556</v>
      </c>
      <c r="N733" s="8" t="n">
        <v>172.32</v>
      </c>
      <c r="O733" s="8" t="n">
        <v>163.8</v>
      </c>
      <c r="P733" s="8" t="n">
        <v>172.32</v>
      </c>
      <c r="Q733" s="8" t="n">
        <v>166.07</v>
      </c>
      <c r="R733" s="11" t="n">
        <v>3139</v>
      </c>
      <c r="S733" s="11" t="n">
        <f aca="false">K733*R733</f>
        <v>521293.73</v>
      </c>
      <c r="T733" s="8" t="n">
        <v>139.25</v>
      </c>
      <c r="U733" s="8" t="n">
        <v>199.99</v>
      </c>
      <c r="V733" s="12" t="n">
        <f aca="false">IF(U733-T733=0,"",(K733-T733)/(U733-T733))</f>
        <v>0.441554165294699</v>
      </c>
      <c r="W733" s="13" t="n">
        <f aca="false">IF(U733=0,"",K733/U733-1)</f>
        <v>-0.169608480424021</v>
      </c>
      <c r="X733" s="11" t="n">
        <v>1317341</v>
      </c>
      <c r="Y733" s="5" t="s">
        <v>77</v>
      </c>
      <c r="Z733" s="5" t="s">
        <v>79</v>
      </c>
      <c r="AA733" s="5" t="s">
        <v>78</v>
      </c>
      <c r="AB733" s="5"/>
      <c r="AC733" s="5" t="s">
        <v>2332</v>
      </c>
      <c r="AD733" s="14" t="n">
        <v>46288.771875</v>
      </c>
    </row>
    <row r="734" customFormat="false" ht="15" hidden="false" customHeight="false" outlineLevel="0" collapsed="false">
      <c r="A734" s="5" t="s">
        <v>2333</v>
      </c>
      <c r="B734" s="5" t="s">
        <v>2334</v>
      </c>
      <c r="C734" s="5" t="s">
        <v>55</v>
      </c>
      <c r="D734" s="5" t="s">
        <v>56</v>
      </c>
      <c r="E734" s="5" t="s">
        <v>312</v>
      </c>
      <c r="F734" s="5" t="s">
        <v>313</v>
      </c>
      <c r="G734" s="5" t="s">
        <v>59</v>
      </c>
      <c r="H734" s="5" t="s">
        <v>86</v>
      </c>
      <c r="I734" s="6" t="n">
        <v>0.5</v>
      </c>
      <c r="J734" s="7" t="n">
        <f aca="false">IF(I734="","",1/I734)</f>
        <v>2</v>
      </c>
      <c r="K734" s="8" t="n">
        <v>27.33</v>
      </c>
      <c r="L734" s="9" t="n">
        <v>-1.83</v>
      </c>
      <c r="M734" s="10" t="n">
        <v>-0.0628</v>
      </c>
      <c r="N734" s="8" t="n">
        <v>28</v>
      </c>
      <c r="O734" s="8" t="n">
        <v>26.9</v>
      </c>
      <c r="P734" s="8" t="n">
        <v>28</v>
      </c>
      <c r="Q734" s="8" t="n">
        <v>27.33</v>
      </c>
      <c r="R734" s="11" t="n">
        <v>4764</v>
      </c>
      <c r="S734" s="11" t="n">
        <f aca="false">K734*R734</f>
        <v>130200.12</v>
      </c>
      <c r="T734" s="8" t="n">
        <v>20.18</v>
      </c>
      <c r="U734" s="8" t="n">
        <v>55.38</v>
      </c>
      <c r="V734" s="12" t="n">
        <f aca="false">IF(U734-T734=0,"",(K734-T734)/(U734-T734))</f>
        <v>0.203125</v>
      </c>
      <c r="W734" s="13" t="n">
        <f aca="false">IF(U734=0,"",K734/U734-1)</f>
        <v>-0.506500541711809</v>
      </c>
      <c r="X734" s="11" t="n">
        <v>40057</v>
      </c>
      <c r="Y734" s="5" t="s">
        <v>312</v>
      </c>
      <c r="Z734" s="5" t="s">
        <v>314</v>
      </c>
      <c r="AA734" s="5" t="s">
        <v>313</v>
      </c>
      <c r="AB734" s="5"/>
      <c r="AC734" s="5" t="s">
        <v>2335</v>
      </c>
      <c r="AD734" s="14" t="n">
        <v>46288.771875</v>
      </c>
    </row>
    <row r="735" customFormat="false" ht="15" hidden="false" customHeight="false" outlineLevel="0" collapsed="false">
      <c r="A735" s="5" t="s">
        <v>2336</v>
      </c>
      <c r="B735" s="5" t="s">
        <v>2337</v>
      </c>
      <c r="C735" s="5" t="s">
        <v>55</v>
      </c>
      <c r="D735" s="5" t="s">
        <v>56</v>
      </c>
      <c r="E735" s="5" t="s">
        <v>65</v>
      </c>
      <c r="F735" s="5" t="s">
        <v>66</v>
      </c>
      <c r="G735" s="5" t="s">
        <v>59</v>
      </c>
      <c r="H735" s="5" t="s">
        <v>60</v>
      </c>
      <c r="I735" s="6" t="n">
        <v>0.1</v>
      </c>
      <c r="J735" s="7" t="n">
        <f aca="false">IF(I735="","",1/I735)</f>
        <v>10</v>
      </c>
      <c r="K735" s="8" t="n">
        <v>164.6</v>
      </c>
      <c r="L735" s="9" t="n">
        <v>-10.4</v>
      </c>
      <c r="M735" s="10" t="n">
        <v>-0.0594</v>
      </c>
      <c r="N735" s="8" t="n">
        <v>164.96</v>
      </c>
      <c r="O735" s="8" t="n">
        <v>164.6</v>
      </c>
      <c r="P735" s="8" t="n">
        <v>164.96</v>
      </c>
      <c r="Q735" s="8" t="n">
        <v>164.6</v>
      </c>
      <c r="R735" s="11" t="n">
        <v>4</v>
      </c>
      <c r="S735" s="11" t="n">
        <f aca="false">K735*R735</f>
        <v>658.4</v>
      </c>
      <c r="T735" s="8" t="n">
        <v>147</v>
      </c>
      <c r="U735" s="8" t="n">
        <v>195.77</v>
      </c>
      <c r="V735" s="12" t="n">
        <f aca="false">IF(U735-T735=0,"",(K735-T735)/(U735-T735))</f>
        <v>0.360877588681566</v>
      </c>
      <c r="W735" s="13" t="n">
        <f aca="false">IF(U735=0,"",K735/U735-1)</f>
        <v>-0.159217449047352</v>
      </c>
      <c r="X735" s="11" t="n">
        <v>407931</v>
      </c>
      <c r="Y735" s="5" t="s">
        <v>65</v>
      </c>
      <c r="Z735" s="5" t="s">
        <v>67</v>
      </c>
      <c r="AA735" s="5" t="s">
        <v>66</v>
      </c>
      <c r="AB735" s="5"/>
      <c r="AC735" s="5" t="s">
        <v>2338</v>
      </c>
      <c r="AD735" s="14" t="n">
        <v>46288.771875</v>
      </c>
    </row>
    <row r="736" customFormat="false" ht="15" hidden="false" customHeight="false" outlineLevel="0" collapsed="false">
      <c r="A736" s="5" t="s">
        <v>2339</v>
      </c>
      <c r="B736" s="5" t="s">
        <v>2340</v>
      </c>
      <c r="C736" s="5" t="s">
        <v>55</v>
      </c>
      <c r="D736" s="5" t="s">
        <v>56</v>
      </c>
      <c r="E736" s="5" t="s">
        <v>324</v>
      </c>
      <c r="F736" s="5" t="s">
        <v>325</v>
      </c>
      <c r="G736" s="5" t="s">
        <v>59</v>
      </c>
      <c r="H736" s="5" t="s">
        <v>86</v>
      </c>
      <c r="I736" s="6" t="n">
        <v>0.25</v>
      </c>
      <c r="J736" s="7" t="n">
        <f aca="false">IF(I736="","",1/I736)</f>
        <v>4</v>
      </c>
      <c r="K736" s="8" t="n">
        <v>45.99</v>
      </c>
      <c r="L736" s="9" t="n">
        <v>0.54</v>
      </c>
      <c r="M736" s="10" t="n">
        <v>0.0119</v>
      </c>
      <c r="N736" s="8" t="n">
        <v>45.99</v>
      </c>
      <c r="O736" s="8" t="n">
        <v>45.99</v>
      </c>
      <c r="P736" s="8" t="n">
        <v>45.99</v>
      </c>
      <c r="Q736" s="8" t="n">
        <v>45.99</v>
      </c>
      <c r="R736" s="11" t="n">
        <v>1</v>
      </c>
      <c r="S736" s="11" t="n">
        <f aca="false">K736*R736</f>
        <v>45.99</v>
      </c>
      <c r="T736" s="8" t="n">
        <v>25.96</v>
      </c>
      <c r="U736" s="8" t="n">
        <v>58.8</v>
      </c>
      <c r="V736" s="12" t="n">
        <f aca="false">IF(U736-T736=0,"",(K736-T736)/(U736-T736))</f>
        <v>0.609926918392205</v>
      </c>
      <c r="W736" s="13" t="n">
        <f aca="false">IF(U736=0,"",K736/U736-1)</f>
        <v>-0.217857142857143</v>
      </c>
      <c r="X736" s="11" t="n">
        <v>69220</v>
      </c>
      <c r="Y736" s="5" t="s">
        <v>324</v>
      </c>
      <c r="Z736" s="5" t="s">
        <v>326</v>
      </c>
      <c r="AA736" s="5" t="s">
        <v>325</v>
      </c>
      <c r="AB736" s="5"/>
      <c r="AC736" s="5" t="s">
        <v>2341</v>
      </c>
      <c r="AD736" s="14" t="n">
        <v>46288.771875</v>
      </c>
    </row>
    <row r="737" customFormat="false" ht="15" hidden="false" customHeight="false" outlineLevel="0" collapsed="false">
      <c r="A737" s="5" t="s">
        <v>2342</v>
      </c>
      <c r="B737" s="5" t="s">
        <v>2343</v>
      </c>
      <c r="C737" s="5" t="s">
        <v>55</v>
      </c>
      <c r="D737" s="5" t="s">
        <v>56</v>
      </c>
      <c r="E737" s="5" t="s">
        <v>71</v>
      </c>
      <c r="F737" s="5" t="s">
        <v>72</v>
      </c>
      <c r="G737" s="5" t="s">
        <v>59</v>
      </c>
      <c r="H737" s="5" t="s">
        <v>60</v>
      </c>
      <c r="I737" s="6" t="n">
        <v>0.25</v>
      </c>
      <c r="J737" s="7" t="n">
        <f aca="false">IF(I737="","",1/I737)</f>
        <v>4</v>
      </c>
      <c r="K737" s="8" t="n">
        <v>65.66</v>
      </c>
      <c r="L737" s="9" t="n">
        <v>-1.89</v>
      </c>
      <c r="M737" s="10" t="n">
        <v>-0.028</v>
      </c>
      <c r="N737" s="8" t="n">
        <v>65.66</v>
      </c>
      <c r="O737" s="8" t="n">
        <v>65.66</v>
      </c>
      <c r="P737" s="8" t="n">
        <v>65.66</v>
      </c>
      <c r="Q737" s="8" t="n">
        <v>65.66</v>
      </c>
      <c r="R737" s="11" t="n">
        <v>8</v>
      </c>
      <c r="S737" s="11" t="n">
        <f aca="false">K737*R737</f>
        <v>525.28</v>
      </c>
      <c r="T737" s="8" t="n">
        <v>45.995</v>
      </c>
      <c r="U737" s="8" t="n">
        <v>80.88</v>
      </c>
      <c r="V737" s="12" t="n">
        <f aca="false">IF(U737-T737=0,"",(K737-T737)/(U737-T737))</f>
        <v>0.563709330657876</v>
      </c>
      <c r="W737" s="13" t="n">
        <f aca="false">IF(U737=0,"",K737/U737-1)</f>
        <v>-0.188180019782394</v>
      </c>
      <c r="X737" s="11" t="n">
        <v>20518</v>
      </c>
      <c r="Y737" s="5" t="s">
        <v>71</v>
      </c>
      <c r="Z737" s="5" t="s">
        <v>73</v>
      </c>
      <c r="AA737" s="5" t="s">
        <v>72</v>
      </c>
      <c r="AB737" s="5"/>
      <c r="AC737" s="5" t="s">
        <v>2344</v>
      </c>
      <c r="AD737" s="14" t="n">
        <v>46288.771875</v>
      </c>
    </row>
    <row r="738" customFormat="false" ht="15" hidden="false" customHeight="false" outlineLevel="0" collapsed="false">
      <c r="A738" s="5" t="s">
        <v>2345</v>
      </c>
      <c r="B738" s="5" t="s">
        <v>2346</v>
      </c>
      <c r="C738" s="5" t="s">
        <v>55</v>
      </c>
      <c r="D738" s="5" t="s">
        <v>56</v>
      </c>
      <c r="E738" s="5" t="s">
        <v>71</v>
      </c>
      <c r="F738" s="5" t="s">
        <v>72</v>
      </c>
      <c r="G738" s="5" t="s">
        <v>59</v>
      </c>
      <c r="H738" s="5" t="s">
        <v>86</v>
      </c>
      <c r="I738" s="6" t="n">
        <v>1</v>
      </c>
      <c r="J738" s="7" t="n">
        <f aca="false">IF(I738="","",1/I738)</f>
        <v>1</v>
      </c>
      <c r="K738" s="8" t="n">
        <v>133.9</v>
      </c>
      <c r="L738" s="9" t="n">
        <v>-4.28</v>
      </c>
      <c r="M738" s="10" t="n">
        <v>-0.031</v>
      </c>
      <c r="N738" s="8" t="n">
        <v>133.9</v>
      </c>
      <c r="O738" s="8" t="n">
        <v>133.9</v>
      </c>
      <c r="P738" s="8" t="n">
        <v>133.9</v>
      </c>
      <c r="Q738" s="8" t="n">
        <v>133.9</v>
      </c>
      <c r="R738" s="11" t="n">
        <v>1</v>
      </c>
      <c r="S738" s="11" t="n">
        <f aca="false">K738*R738</f>
        <v>133.9</v>
      </c>
      <c r="T738" s="8" t="n">
        <v>83.43</v>
      </c>
      <c r="U738" s="8" t="n">
        <v>140.56</v>
      </c>
      <c r="V738" s="12" t="n">
        <f aca="false">IF(U738-T738=0,"",(K738-T738)/(U738-T738))</f>
        <v>0.883423770348328</v>
      </c>
      <c r="W738" s="13" t="n">
        <f aca="false">IF(U738=0,"",K738/U738-1)</f>
        <v>-0.0473819009675583</v>
      </c>
      <c r="X738" s="11" t="n">
        <v>841581</v>
      </c>
      <c r="Y738" s="5" t="s">
        <v>71</v>
      </c>
      <c r="Z738" s="5" t="s">
        <v>73</v>
      </c>
      <c r="AA738" s="5" t="s">
        <v>72</v>
      </c>
      <c r="AB738" s="5"/>
      <c r="AC738" s="5" t="s">
        <v>2347</v>
      </c>
      <c r="AD738" s="14" t="n">
        <v>46288.771875</v>
      </c>
    </row>
    <row r="739" customFormat="false" ht="15" hidden="false" customHeight="false" outlineLevel="0" collapsed="false">
      <c r="A739" s="5" t="s">
        <v>2348</v>
      </c>
      <c r="B739" s="5" t="s">
        <v>2349</v>
      </c>
      <c r="C739" s="5" t="s">
        <v>55</v>
      </c>
      <c r="D739" s="5" t="s">
        <v>56</v>
      </c>
      <c r="E739" s="5" t="s">
        <v>105</v>
      </c>
      <c r="F739" s="5" t="s">
        <v>106</v>
      </c>
      <c r="G739" s="5" t="s">
        <v>59</v>
      </c>
      <c r="H739" s="5" t="s">
        <v>60</v>
      </c>
      <c r="I739" s="6" t="n">
        <v>0.25</v>
      </c>
      <c r="J739" s="7" t="n">
        <f aca="false">IF(I739="","",1/I739)</f>
        <v>4</v>
      </c>
      <c r="K739" s="8" t="n">
        <v>471.36</v>
      </c>
      <c r="L739" s="9" t="n">
        <v>-16.8</v>
      </c>
      <c r="M739" s="10" t="n">
        <v>-0.0344</v>
      </c>
      <c r="N739" s="8" t="n">
        <v>471.36</v>
      </c>
      <c r="O739" s="8" t="n">
        <v>471.36</v>
      </c>
      <c r="P739" s="8" t="n">
        <v>471.36</v>
      </c>
      <c r="Q739" s="8" t="n">
        <v>471.36</v>
      </c>
      <c r="R739" s="11" t="n">
        <v>1</v>
      </c>
      <c r="S739" s="11" t="n">
        <f aca="false">K739*R739</f>
        <v>471.36</v>
      </c>
      <c r="T739" s="8" t="n">
        <v>451</v>
      </c>
      <c r="U739" s="8" t="n">
        <v>536</v>
      </c>
      <c r="V739" s="12" t="n">
        <f aca="false">IF(U739-T739=0,"",(K739-T739)/(U739-T739))</f>
        <v>0.239529411764706</v>
      </c>
      <c r="W739" s="13" t="n">
        <f aca="false">IF(U739=0,"",K739/U739-1)</f>
        <v>-0.120597014925373</v>
      </c>
      <c r="X739" s="11" t="n">
        <v>98424</v>
      </c>
      <c r="Y739" s="5" t="s">
        <v>105</v>
      </c>
      <c r="Z739" s="5" t="s">
        <v>107</v>
      </c>
      <c r="AA739" s="5" t="s">
        <v>106</v>
      </c>
      <c r="AB739" s="5"/>
      <c r="AC739" s="5" t="s">
        <v>2350</v>
      </c>
      <c r="AD739" s="14" t="n">
        <v>46288.771875</v>
      </c>
    </row>
    <row r="740" customFormat="false" ht="15" hidden="false" customHeight="false" outlineLevel="0" collapsed="false">
      <c r="A740" s="5" t="s">
        <v>2351</v>
      </c>
      <c r="B740" s="5" t="s">
        <v>2352</v>
      </c>
      <c r="C740" s="5" t="s">
        <v>55</v>
      </c>
      <c r="D740" s="5" t="s">
        <v>56</v>
      </c>
      <c r="E740" s="5" t="s">
        <v>115</v>
      </c>
      <c r="F740" s="5" t="s">
        <v>116</v>
      </c>
      <c r="G740" s="5" t="s">
        <v>59</v>
      </c>
      <c r="H740" s="5" t="s">
        <v>60</v>
      </c>
      <c r="I740" s="6" t="n">
        <v>0.025</v>
      </c>
      <c r="J740" s="7" t="n">
        <f aca="false">IF(I740="","",1/I740)</f>
        <v>40</v>
      </c>
      <c r="K740" s="8" t="n">
        <v>53.75</v>
      </c>
      <c r="L740" s="9" t="n">
        <v>1.5</v>
      </c>
      <c r="M740" s="10" t="n">
        <v>0.0287</v>
      </c>
      <c r="N740" s="8" t="n">
        <v>53.35</v>
      </c>
      <c r="O740" s="8" t="n">
        <v>53.35</v>
      </c>
      <c r="P740" s="8" t="n">
        <v>54.15</v>
      </c>
      <c r="Q740" s="8" t="n">
        <v>53.75</v>
      </c>
      <c r="R740" s="11" t="n">
        <v>235</v>
      </c>
      <c r="S740" s="11" t="n">
        <f aca="false">K740*R740</f>
        <v>12631.25</v>
      </c>
      <c r="T740" s="8" t="n">
        <v>46.9</v>
      </c>
      <c r="U740" s="8" t="n">
        <v>71.396</v>
      </c>
      <c r="V740" s="12" t="n">
        <f aca="false">IF(U740-T740=0,"",(K740-T740)/(U740-T740))</f>
        <v>0.279637491835402</v>
      </c>
      <c r="W740" s="13" t="n">
        <f aca="false">IF(U740=0,"",K740/U740-1)</f>
        <v>-0.247156703456776</v>
      </c>
      <c r="X740" s="11" t="n">
        <v>401358</v>
      </c>
      <c r="Y740" s="5" t="s">
        <v>115</v>
      </c>
      <c r="Z740" s="5" t="s">
        <v>117</v>
      </c>
      <c r="AA740" s="5" t="s">
        <v>116</v>
      </c>
      <c r="AB740" s="5"/>
      <c r="AC740" s="5" t="s">
        <v>2353</v>
      </c>
      <c r="AD740" s="14" t="n">
        <v>46288.771875</v>
      </c>
    </row>
    <row r="741" customFormat="false" ht="15" hidden="false" customHeight="false" outlineLevel="0" collapsed="false">
      <c r="A741" s="5" t="s">
        <v>2354</v>
      </c>
      <c r="B741" s="5" t="s">
        <v>2355</v>
      </c>
      <c r="C741" s="5" t="s">
        <v>55</v>
      </c>
      <c r="D741" s="5" t="s">
        <v>56</v>
      </c>
      <c r="E741" s="5" t="s">
        <v>127</v>
      </c>
      <c r="F741" s="5" t="s">
        <v>128</v>
      </c>
      <c r="G741" s="5" t="s">
        <v>59</v>
      </c>
      <c r="H741" s="5" t="s">
        <v>60</v>
      </c>
      <c r="I741" s="6" t="n">
        <v>1</v>
      </c>
      <c r="J741" s="7" t="n">
        <f aca="false">IF(I741="","",1/I741)</f>
        <v>1</v>
      </c>
      <c r="K741" s="8" t="n">
        <v>195.2</v>
      </c>
      <c r="L741" s="9" t="n">
        <v>-3.27</v>
      </c>
      <c r="M741" s="10" t="n">
        <v>-0.0165</v>
      </c>
      <c r="N741" s="8" t="n">
        <v>195.2</v>
      </c>
      <c r="O741" s="8" t="n">
        <v>195.2</v>
      </c>
      <c r="P741" s="8" t="n">
        <v>195.2</v>
      </c>
      <c r="Q741" s="8" t="n">
        <v>195.2</v>
      </c>
      <c r="R741" s="11" t="n">
        <v>1</v>
      </c>
      <c r="S741" s="11" t="n">
        <f aca="false">K741*R741</f>
        <v>195.2</v>
      </c>
      <c r="T741" s="8" t="n">
        <v>164.12</v>
      </c>
      <c r="U741" s="8" t="n">
        <v>300</v>
      </c>
      <c r="V741" s="12" t="n">
        <f aca="false">IF(U741-T741=0,"",(K741-T741)/(U741-T741))</f>
        <v>0.228731233441272</v>
      </c>
      <c r="W741" s="13" t="n">
        <f aca="false">IF(U741=0,"",K741/U741-1)</f>
        <v>-0.349333333333333</v>
      </c>
      <c r="X741" s="11" t="n">
        <v>105353</v>
      </c>
      <c r="Y741" s="5" t="s">
        <v>127</v>
      </c>
      <c r="Z741" s="5" t="s">
        <v>129</v>
      </c>
      <c r="AA741" s="5" t="s">
        <v>128</v>
      </c>
      <c r="AB741" s="5"/>
      <c r="AC741" s="5" t="s">
        <v>2356</v>
      </c>
      <c r="AD741" s="14" t="n">
        <v>46288.771875</v>
      </c>
    </row>
    <row r="742" customFormat="false" ht="15" hidden="false" customHeight="false" outlineLevel="0" collapsed="false">
      <c r="A742" s="5" t="s">
        <v>2357</v>
      </c>
      <c r="B742" s="5" t="s">
        <v>2358</v>
      </c>
      <c r="C742" s="5" t="s">
        <v>55</v>
      </c>
      <c r="D742" s="5" t="s">
        <v>56</v>
      </c>
      <c r="E742" s="5" t="s">
        <v>115</v>
      </c>
      <c r="F742" s="5" t="s">
        <v>116</v>
      </c>
      <c r="G742" s="5" t="s">
        <v>59</v>
      </c>
      <c r="H742" s="5" t="s">
        <v>60</v>
      </c>
      <c r="I742" s="6" t="n">
        <v>0.25</v>
      </c>
      <c r="J742" s="7" t="n">
        <f aca="false">IF(I742="","",1/I742)</f>
        <v>4</v>
      </c>
      <c r="K742" s="8" t="n">
        <v>656</v>
      </c>
      <c r="L742" s="9" t="n">
        <v>22.39</v>
      </c>
      <c r="M742" s="10" t="n">
        <v>0.0353</v>
      </c>
      <c r="N742" s="8" t="n">
        <v>644.17</v>
      </c>
      <c r="O742" s="8" t="n">
        <v>630</v>
      </c>
      <c r="P742" s="8" t="n">
        <v>662.57</v>
      </c>
      <c r="Q742" s="8" t="n">
        <v>662.57</v>
      </c>
      <c r="R742" s="11" t="n">
        <v>287</v>
      </c>
      <c r="S742" s="11" t="n">
        <f aca="false">K742*R742</f>
        <v>188272</v>
      </c>
      <c r="T742" s="8" t="n">
        <v>502.69</v>
      </c>
      <c r="U742" s="8" t="n">
        <v>978</v>
      </c>
      <c r="V742" s="12" t="n">
        <f aca="false">IF(U742-T742=0,"",(K742-T742)/(U742-T742))</f>
        <v>0.32254739012434</v>
      </c>
      <c r="W742" s="13" t="n">
        <f aca="false">IF(U742=0,"",K742/U742-1)</f>
        <v>-0.329243353783231</v>
      </c>
      <c r="X742" s="11" t="n">
        <v>528192</v>
      </c>
      <c r="Y742" s="5" t="s">
        <v>115</v>
      </c>
      <c r="Z742" s="5" t="s">
        <v>117</v>
      </c>
      <c r="AA742" s="5" t="s">
        <v>116</v>
      </c>
      <c r="AB742" s="5"/>
      <c r="AC742" s="5" t="s">
        <v>2359</v>
      </c>
      <c r="AD742" s="14" t="n">
        <v>46288.771875</v>
      </c>
    </row>
    <row r="743" customFormat="false" ht="15" hidden="false" customHeight="false" outlineLevel="0" collapsed="false">
      <c r="A743" s="5" t="s">
        <v>2360</v>
      </c>
      <c r="B743" s="5" t="s">
        <v>2361</v>
      </c>
      <c r="C743" s="5" t="s">
        <v>55</v>
      </c>
      <c r="D743" s="5" t="s">
        <v>56</v>
      </c>
      <c r="E743" s="5" t="s">
        <v>99</v>
      </c>
      <c r="F743" s="5" t="s">
        <v>100</v>
      </c>
      <c r="G743" s="5" t="s">
        <v>59</v>
      </c>
      <c r="H743" s="5" t="s">
        <v>60</v>
      </c>
      <c r="I743" s="6" t="n">
        <v>0.05</v>
      </c>
      <c r="J743" s="7" t="n">
        <f aca="false">IF(I743="","",1/I743)</f>
        <v>20</v>
      </c>
      <c r="K743" s="8" t="n">
        <v>4.92</v>
      </c>
      <c r="L743" s="9" t="n">
        <v>-0.4</v>
      </c>
      <c r="M743" s="10" t="n">
        <v>-0.0752</v>
      </c>
      <c r="N743" s="8" t="n">
        <v>4.96</v>
      </c>
      <c r="O743" s="8" t="n">
        <v>4.9</v>
      </c>
      <c r="P743" s="8" t="n">
        <v>4.96</v>
      </c>
      <c r="Q743" s="8" t="n">
        <v>4.92</v>
      </c>
      <c r="R743" s="11" t="n">
        <v>7516</v>
      </c>
      <c r="S743" s="11" t="n">
        <f aca="false">K743*R743</f>
        <v>36978.72</v>
      </c>
      <c r="T743" s="8" t="n">
        <v>3.75</v>
      </c>
      <c r="U743" s="8" t="n">
        <v>6.67</v>
      </c>
      <c r="V743" s="12" t="n">
        <f aca="false">IF(U743-T743=0,"",(K743-T743)/(U743-T743))</f>
        <v>0.400684931506849</v>
      </c>
      <c r="W743" s="13" t="n">
        <f aca="false">IF(U743=0,"",K743/U743-1)</f>
        <v>-0.262368815592204</v>
      </c>
      <c r="X743" s="11" t="n">
        <v>11249</v>
      </c>
      <c r="Y743" s="5" t="s">
        <v>99</v>
      </c>
      <c r="Z743" s="5" t="s">
        <v>101</v>
      </c>
      <c r="AA743" s="5" t="s">
        <v>100</v>
      </c>
      <c r="AB743" s="5"/>
      <c r="AC743" s="5" t="s">
        <v>2362</v>
      </c>
      <c r="AD743" s="14" t="n">
        <v>46288.771875</v>
      </c>
    </row>
    <row r="744" customFormat="false" ht="15" hidden="false" customHeight="false" outlineLevel="0" collapsed="false">
      <c r="A744" s="5" t="s">
        <v>2363</v>
      </c>
      <c r="B744" s="5" t="s">
        <v>2364</v>
      </c>
      <c r="C744" s="5" t="s">
        <v>55</v>
      </c>
      <c r="D744" s="5" t="s">
        <v>56</v>
      </c>
      <c r="E744" s="5" t="s">
        <v>77</v>
      </c>
      <c r="F744" s="5" t="s">
        <v>78</v>
      </c>
      <c r="G744" s="5" t="s">
        <v>59</v>
      </c>
      <c r="H744" s="5"/>
      <c r="I744" s="6"/>
      <c r="J744" s="7" t="str">
        <f aca="false">IF(I744="","",1/I744)</f>
        <v/>
      </c>
      <c r="K744" s="8" t="n">
        <v>230.46</v>
      </c>
      <c r="L744" s="9" t="n">
        <v>11.97</v>
      </c>
      <c r="M744" s="10" t="n">
        <v>0.0548</v>
      </c>
      <c r="N744" s="8" t="n">
        <v>230.46</v>
      </c>
      <c r="O744" s="8" t="n">
        <v>230.46</v>
      </c>
      <c r="P744" s="8" t="n">
        <v>230.46</v>
      </c>
      <c r="Q744" s="8" t="n">
        <v>230.46</v>
      </c>
      <c r="R744" s="11" t="n">
        <v>1</v>
      </c>
      <c r="S744" s="11" t="n">
        <f aca="false">K744*R744</f>
        <v>230.46</v>
      </c>
      <c r="T744" s="8" t="n">
        <v>139.02</v>
      </c>
      <c r="U744" s="8" t="n">
        <v>230.46</v>
      </c>
      <c r="V744" s="12" t="n">
        <f aca="false">IF(U744-T744=0,"",(K744-T744)/(U744-T744))</f>
        <v>1</v>
      </c>
      <c r="W744" s="13" t="n">
        <f aca="false">IF(U744=0,"",K744/U744-1)</f>
        <v>0</v>
      </c>
      <c r="X744" s="11" t="n">
        <v>69276</v>
      </c>
      <c r="Y744" s="5" t="s">
        <v>77</v>
      </c>
      <c r="Z744" s="5" t="s">
        <v>79</v>
      </c>
      <c r="AA744" s="5" t="s">
        <v>78</v>
      </c>
      <c r="AB744" s="5" t="s">
        <v>111</v>
      </c>
      <c r="AC744" s="5" t="s">
        <v>2365</v>
      </c>
      <c r="AD744" s="14" t="n">
        <v>46288.771875</v>
      </c>
    </row>
    <row r="745" customFormat="false" ht="15" hidden="false" customHeight="false" outlineLevel="0" collapsed="false">
      <c r="A745" s="5" t="s">
        <v>2366</v>
      </c>
      <c r="B745" s="5" t="s">
        <v>2367</v>
      </c>
      <c r="C745" s="5" t="s">
        <v>55</v>
      </c>
      <c r="D745" s="5" t="s">
        <v>56</v>
      </c>
      <c r="E745" s="5" t="s">
        <v>71</v>
      </c>
      <c r="F745" s="5" t="s">
        <v>72</v>
      </c>
      <c r="G745" s="5" t="s">
        <v>59</v>
      </c>
      <c r="H745" s="5" t="s">
        <v>60</v>
      </c>
      <c r="I745" s="6" t="n">
        <v>1</v>
      </c>
      <c r="J745" s="7" t="n">
        <f aca="false">IF(I745="","",1/I745)</f>
        <v>1</v>
      </c>
      <c r="K745" s="8" t="n">
        <v>959.31</v>
      </c>
      <c r="L745" s="9" t="n">
        <v>-26.57</v>
      </c>
      <c r="M745" s="10" t="n">
        <v>-0.027</v>
      </c>
      <c r="N745" s="8" t="n">
        <v>959.31</v>
      </c>
      <c r="O745" s="8" t="n">
        <v>959.31</v>
      </c>
      <c r="P745" s="8" t="n">
        <v>959.31</v>
      </c>
      <c r="Q745" s="8" t="n">
        <v>959.31</v>
      </c>
      <c r="R745" s="11" t="n">
        <v>50</v>
      </c>
      <c r="S745" s="11" t="n">
        <f aca="false">K745*R745</f>
        <v>47965.5</v>
      </c>
      <c r="T745" s="8" t="n">
        <v>627.2</v>
      </c>
      <c r="U745" s="8" t="n">
        <v>1009</v>
      </c>
      <c r="V745" s="12" t="n">
        <f aca="false">IF(U745-T745=0,"",(K745-T745)/(U745-T745))</f>
        <v>0.869853326348874</v>
      </c>
      <c r="W745" s="13" t="n">
        <f aca="false">IF(U745=0,"",K745/U745-1)</f>
        <v>-0.0492467789890981</v>
      </c>
      <c r="X745" s="11" t="n">
        <v>253403</v>
      </c>
      <c r="Y745" s="5" t="s">
        <v>71</v>
      </c>
      <c r="Z745" s="5" t="s">
        <v>73</v>
      </c>
      <c r="AA745" s="5" t="s">
        <v>72</v>
      </c>
      <c r="AB745" s="5"/>
      <c r="AC745" s="5" t="s">
        <v>2368</v>
      </c>
      <c r="AD745" s="14" t="n">
        <v>46288.771875</v>
      </c>
    </row>
    <row r="746" customFormat="false" ht="15" hidden="false" customHeight="false" outlineLevel="0" collapsed="false">
      <c r="A746" s="5" t="s">
        <v>2369</v>
      </c>
      <c r="B746" s="5" t="s">
        <v>2370</v>
      </c>
      <c r="C746" s="5" t="s">
        <v>55</v>
      </c>
      <c r="D746" s="5" t="s">
        <v>56</v>
      </c>
      <c r="E746" s="5" t="s">
        <v>77</v>
      </c>
      <c r="F746" s="5" t="s">
        <v>78</v>
      </c>
      <c r="G746" s="5" t="s">
        <v>59</v>
      </c>
      <c r="H746" s="5" t="s">
        <v>60</v>
      </c>
      <c r="I746" s="6" t="n">
        <v>0.018182</v>
      </c>
      <c r="J746" s="7" t="n">
        <f aca="false">IF(I746="","",1/I746)</f>
        <v>54.9994500054999</v>
      </c>
      <c r="K746" s="8" t="n">
        <v>89</v>
      </c>
      <c r="L746" s="9" t="n">
        <v>3</v>
      </c>
      <c r="M746" s="10" t="n">
        <v>0.0349</v>
      </c>
      <c r="N746" s="8" t="n">
        <v>86</v>
      </c>
      <c r="O746" s="8" t="n">
        <v>82.78</v>
      </c>
      <c r="P746" s="8" t="n">
        <v>89</v>
      </c>
      <c r="Q746" s="8" t="n">
        <v>89</v>
      </c>
      <c r="R746" s="11" t="n">
        <v>10525</v>
      </c>
      <c r="S746" s="11" t="n">
        <f aca="false">K746*R746</f>
        <v>936725</v>
      </c>
      <c r="T746" s="8" t="n">
        <v>20.56219344</v>
      </c>
      <c r="U746" s="8" t="n">
        <v>107.4150512</v>
      </c>
      <c r="V746" s="12" t="n">
        <f aca="false">IF(U746-T746=0,"",(K746-T746)/(U746-T746))</f>
        <v>0.787974147599309</v>
      </c>
      <c r="W746" s="13" t="n">
        <f aca="false">IF(U746=0,"",K746/U746-1)</f>
        <v>-0.171438276054185</v>
      </c>
      <c r="X746" s="11" t="n">
        <v>1070446</v>
      </c>
      <c r="Y746" s="5" t="s">
        <v>77</v>
      </c>
      <c r="Z746" s="5" t="s">
        <v>79</v>
      </c>
      <c r="AA746" s="5" t="s">
        <v>78</v>
      </c>
      <c r="AB746" s="5"/>
      <c r="AC746" s="5" t="s">
        <v>2371</v>
      </c>
      <c r="AD746" s="14" t="n">
        <v>46288.771875</v>
      </c>
    </row>
    <row r="747" customFormat="false" ht="15" hidden="false" customHeight="false" outlineLevel="0" collapsed="false">
      <c r="A747" s="5" t="s">
        <v>2372</v>
      </c>
      <c r="B747" s="5" t="s">
        <v>2373</v>
      </c>
      <c r="C747" s="5" t="s">
        <v>55</v>
      </c>
      <c r="D747" s="5" t="s">
        <v>56</v>
      </c>
      <c r="E747" s="5" t="s">
        <v>105</v>
      </c>
      <c r="F747" s="5" t="s">
        <v>106</v>
      </c>
      <c r="G747" s="5" t="s">
        <v>59</v>
      </c>
      <c r="H747" s="5" t="s">
        <v>60</v>
      </c>
      <c r="I747" s="6" t="n">
        <v>0.25</v>
      </c>
      <c r="J747" s="7" t="n">
        <f aca="false">IF(I747="","",1/I747)</f>
        <v>4</v>
      </c>
      <c r="K747" s="8" t="n">
        <v>114.24</v>
      </c>
      <c r="L747" s="9" t="n">
        <v>-1.37</v>
      </c>
      <c r="M747" s="10" t="n">
        <v>-0.0119</v>
      </c>
      <c r="N747" s="8" t="n">
        <v>113.64</v>
      </c>
      <c r="O747" s="8" t="n">
        <v>113.64</v>
      </c>
      <c r="P747" s="8" t="n">
        <v>114.24</v>
      </c>
      <c r="Q747" s="8" t="n">
        <v>114.24</v>
      </c>
      <c r="R747" s="11" t="n">
        <v>21</v>
      </c>
      <c r="S747" s="11" t="n">
        <f aca="false">K747*R747</f>
        <v>2399.04</v>
      </c>
      <c r="T747" s="8" t="n">
        <v>83.52</v>
      </c>
      <c r="U747" s="8" t="n">
        <v>134.16</v>
      </c>
      <c r="V747" s="12" t="n">
        <f aca="false">IF(U747-T747=0,"",(K747-T747)/(U747-T747))</f>
        <v>0.606635071090047</v>
      </c>
      <c r="W747" s="13" t="n">
        <f aca="false">IF(U747=0,"",K747/U747-1)</f>
        <v>-0.148479427549195</v>
      </c>
      <c r="X747" s="11" t="n">
        <v>71203</v>
      </c>
      <c r="Y747" s="5" t="s">
        <v>105</v>
      </c>
      <c r="Z747" s="5" t="s">
        <v>107</v>
      </c>
      <c r="AA747" s="5" t="s">
        <v>106</v>
      </c>
      <c r="AB747" s="5"/>
      <c r="AC747" s="5" t="s">
        <v>2374</v>
      </c>
      <c r="AD747" s="14" t="n">
        <v>46288.771875</v>
      </c>
    </row>
    <row r="748" customFormat="false" ht="15" hidden="false" customHeight="false" outlineLevel="0" collapsed="false">
      <c r="A748" s="5" t="s">
        <v>2375</v>
      </c>
      <c r="B748" s="5" t="s">
        <v>2376</v>
      </c>
      <c r="C748" s="5" t="s">
        <v>55</v>
      </c>
      <c r="D748" s="5" t="s">
        <v>56</v>
      </c>
      <c r="E748" s="5" t="s">
        <v>71</v>
      </c>
      <c r="F748" s="5" t="s">
        <v>72</v>
      </c>
      <c r="G748" s="5" t="s">
        <v>59</v>
      </c>
      <c r="H748" s="5" t="s">
        <v>60</v>
      </c>
      <c r="I748" s="6" t="n">
        <v>0.166667</v>
      </c>
      <c r="J748" s="7" t="n">
        <f aca="false">IF(I748="","",1/I748)</f>
        <v>5.999988000024</v>
      </c>
      <c r="K748" s="8" t="n">
        <v>60.96</v>
      </c>
      <c r="L748" s="9" t="n">
        <v>-2.95</v>
      </c>
      <c r="M748" s="10" t="n">
        <v>-0.0462</v>
      </c>
      <c r="N748" s="8" t="n">
        <v>61.08</v>
      </c>
      <c r="O748" s="8" t="n">
        <v>60.96</v>
      </c>
      <c r="P748" s="8" t="n">
        <v>61.08</v>
      </c>
      <c r="Q748" s="8" t="n">
        <v>60.96</v>
      </c>
      <c r="R748" s="11" t="n">
        <v>301</v>
      </c>
      <c r="S748" s="11" t="n">
        <f aca="false">K748*R748</f>
        <v>18348.96</v>
      </c>
      <c r="T748" s="8" t="n">
        <v>57.03666781</v>
      </c>
      <c r="U748" s="8" t="n">
        <v>79.03833491</v>
      </c>
      <c r="V748" s="12" t="n">
        <f aca="false">IF(U748-T748=0,"",(K748-T748)/(U748-T748))</f>
        <v>0.178319768777885</v>
      </c>
      <c r="W748" s="13" t="n">
        <f aca="false">IF(U748=0,"",K748/U748-1)</f>
        <v>-0.22872869134434</v>
      </c>
      <c r="X748" s="11" t="n">
        <v>121007</v>
      </c>
      <c r="Y748" s="5" t="s">
        <v>71</v>
      </c>
      <c r="Z748" s="5" t="s">
        <v>73</v>
      </c>
      <c r="AA748" s="5" t="s">
        <v>72</v>
      </c>
      <c r="AB748" s="5"/>
      <c r="AC748" s="5" t="s">
        <v>2377</v>
      </c>
      <c r="AD748" s="14" t="n">
        <v>46288.771875</v>
      </c>
    </row>
    <row r="749" customFormat="false" ht="15" hidden="false" customHeight="false" outlineLevel="0" collapsed="false">
      <c r="A749" s="5" t="s">
        <v>2378</v>
      </c>
      <c r="B749" s="5" t="s">
        <v>2379</v>
      </c>
      <c r="C749" s="5" t="s">
        <v>55</v>
      </c>
      <c r="D749" s="5" t="s">
        <v>56</v>
      </c>
      <c r="E749" s="5" t="s">
        <v>99</v>
      </c>
      <c r="F749" s="5" t="s">
        <v>100</v>
      </c>
      <c r="G749" s="5" t="s">
        <v>59</v>
      </c>
      <c r="H749" s="5" t="s">
        <v>60</v>
      </c>
      <c r="I749" s="6" t="n">
        <v>0.05</v>
      </c>
      <c r="J749" s="7" t="n">
        <f aca="false">IF(I749="","",1/I749)</f>
        <v>20</v>
      </c>
      <c r="K749" s="8" t="n">
        <v>70.22</v>
      </c>
      <c r="L749" s="9" t="n">
        <v>-0.49</v>
      </c>
      <c r="M749" s="10" t="n">
        <v>-0.0069</v>
      </c>
      <c r="N749" s="8" t="n">
        <v>70.03</v>
      </c>
      <c r="O749" s="8" t="n">
        <v>69.87</v>
      </c>
      <c r="P749" s="8" t="n">
        <v>70.64</v>
      </c>
      <c r="Q749" s="8" t="n">
        <v>70.22</v>
      </c>
      <c r="R749" s="11" t="n">
        <v>8410</v>
      </c>
      <c r="S749" s="11" t="n">
        <f aca="false">K749*R749</f>
        <v>590550.2</v>
      </c>
      <c r="T749" s="8" t="n">
        <v>68.52</v>
      </c>
      <c r="U749" s="8" t="n">
        <v>102.4</v>
      </c>
      <c r="V749" s="12" t="n">
        <f aca="false">IF(U749-T749=0,"",(K749-T749)/(U749-T749))</f>
        <v>0.0501770956316412</v>
      </c>
      <c r="W749" s="13" t="n">
        <f aca="false">IF(U749=0,"",K749/U749-1)</f>
        <v>-0.3142578125</v>
      </c>
      <c r="X749" s="11" t="n">
        <v>540006</v>
      </c>
      <c r="Y749" s="5" t="s">
        <v>99</v>
      </c>
      <c r="Z749" s="5" t="s">
        <v>101</v>
      </c>
      <c r="AA749" s="5" t="s">
        <v>100</v>
      </c>
      <c r="AB749" s="5"/>
      <c r="AC749" s="5" t="s">
        <v>2380</v>
      </c>
      <c r="AD749" s="14" t="n">
        <v>46288.771875</v>
      </c>
    </row>
    <row r="750" customFormat="false" ht="15" hidden="false" customHeight="false" outlineLevel="0" collapsed="false">
      <c r="A750" s="5" t="s">
        <v>2381</v>
      </c>
      <c r="B750" s="5" t="s">
        <v>2382</v>
      </c>
      <c r="C750" s="5" t="s">
        <v>55</v>
      </c>
      <c r="D750" s="5" t="s">
        <v>56</v>
      </c>
      <c r="E750" s="5" t="s">
        <v>115</v>
      </c>
      <c r="F750" s="5" t="s">
        <v>116</v>
      </c>
      <c r="G750" s="5" t="s">
        <v>59</v>
      </c>
      <c r="H750" s="5" t="s">
        <v>60</v>
      </c>
      <c r="I750" s="6" t="n">
        <v>1</v>
      </c>
      <c r="J750" s="7" t="n">
        <f aca="false">IF(I750="","",1/I750)</f>
        <v>1</v>
      </c>
      <c r="K750" s="8" t="n">
        <v>137.05</v>
      </c>
      <c r="L750" s="9" t="n">
        <v>-0.77</v>
      </c>
      <c r="M750" s="10" t="n">
        <v>-0.0056</v>
      </c>
      <c r="N750" s="8" t="n">
        <v>137.62</v>
      </c>
      <c r="O750" s="8" t="n">
        <v>137.05</v>
      </c>
      <c r="P750" s="8" t="n">
        <v>137.62</v>
      </c>
      <c r="Q750" s="8" t="n">
        <v>137.05</v>
      </c>
      <c r="R750" s="11" t="n">
        <v>7307</v>
      </c>
      <c r="S750" s="11" t="n">
        <f aca="false">K750*R750</f>
        <v>1001424.35</v>
      </c>
      <c r="T750" s="8" t="n">
        <v>89.99</v>
      </c>
      <c r="U750" s="8" t="n">
        <v>162.68</v>
      </c>
      <c r="V750" s="12" t="n">
        <f aca="false">IF(U750-T750=0,"",(K750-T750)/(U750-T750))</f>
        <v>0.647406795982941</v>
      </c>
      <c r="W750" s="13" t="n">
        <f aca="false">IF(U750=0,"",K750/U750-1)</f>
        <v>-0.157548561593312</v>
      </c>
      <c r="X750" s="11" t="n">
        <v>83600</v>
      </c>
      <c r="Y750" s="5" t="s">
        <v>115</v>
      </c>
      <c r="Z750" s="5" t="s">
        <v>117</v>
      </c>
      <c r="AA750" s="5" t="s">
        <v>116</v>
      </c>
      <c r="AB750" s="5"/>
      <c r="AC750" s="5" t="s">
        <v>2383</v>
      </c>
      <c r="AD750" s="14" t="n">
        <v>46288.771875</v>
      </c>
    </row>
    <row r="751" customFormat="false" ht="15" hidden="false" customHeight="false" outlineLevel="0" collapsed="false">
      <c r="A751" s="5" t="s">
        <v>2384</v>
      </c>
      <c r="B751" s="5" t="s">
        <v>2385</v>
      </c>
      <c r="C751" s="5" t="s">
        <v>55</v>
      </c>
      <c r="D751" s="5" t="s">
        <v>56</v>
      </c>
      <c r="E751" s="5" t="s">
        <v>230</v>
      </c>
      <c r="F751" s="5" t="s">
        <v>231</v>
      </c>
      <c r="G751" s="5" t="s">
        <v>59</v>
      </c>
      <c r="H751" s="5" t="s">
        <v>60</v>
      </c>
      <c r="I751" s="6" t="n">
        <v>0.166667</v>
      </c>
      <c r="J751" s="7" t="n">
        <f aca="false">IF(I751="","",1/I751)</f>
        <v>5.999988000024</v>
      </c>
      <c r="K751" s="8" t="n">
        <v>67.3</v>
      </c>
      <c r="L751" s="9" t="n">
        <v>-1.48</v>
      </c>
      <c r="M751" s="10" t="n">
        <v>-0.0215</v>
      </c>
      <c r="N751" s="8" t="n">
        <v>67.55</v>
      </c>
      <c r="O751" s="8" t="n">
        <v>67.3</v>
      </c>
      <c r="P751" s="8" t="n">
        <v>67.55</v>
      </c>
      <c r="Q751" s="8" t="n">
        <v>67.3</v>
      </c>
      <c r="R751" s="11" t="n">
        <v>2000</v>
      </c>
      <c r="S751" s="11" t="n">
        <f aca="false">K751*R751</f>
        <v>134600</v>
      </c>
      <c r="T751" s="8" t="n">
        <v>58.81333275</v>
      </c>
      <c r="U751" s="8" t="n">
        <v>79.5999992</v>
      </c>
      <c r="V751" s="12" t="n">
        <f aca="false">IF(U751-T751=0,"",(K751-T751)/(U751-T751))</f>
        <v>0.408274567276755</v>
      </c>
      <c r="W751" s="13" t="n">
        <f aca="false">IF(U751=0,"",K751/U751-1)</f>
        <v>-0.154522604568066</v>
      </c>
      <c r="X751" s="11" t="n">
        <v>198049</v>
      </c>
      <c r="Y751" s="5" t="s">
        <v>230</v>
      </c>
      <c r="Z751" s="5" t="s">
        <v>232</v>
      </c>
      <c r="AA751" s="5" t="s">
        <v>231</v>
      </c>
      <c r="AB751" s="5"/>
      <c r="AC751" s="5" t="s">
        <v>2386</v>
      </c>
      <c r="AD751" s="14" t="n">
        <v>46288.771875</v>
      </c>
    </row>
    <row r="752" customFormat="false" ht="15" hidden="false" customHeight="false" outlineLevel="0" collapsed="false">
      <c r="A752" s="5" t="s">
        <v>2387</v>
      </c>
      <c r="B752" s="5" t="s">
        <v>2388</v>
      </c>
      <c r="C752" s="5" t="s">
        <v>55</v>
      </c>
      <c r="D752" s="5" t="s">
        <v>56</v>
      </c>
      <c r="E752" s="5" t="s">
        <v>65</v>
      </c>
      <c r="F752" s="5" t="s">
        <v>66</v>
      </c>
      <c r="G752" s="5" t="s">
        <v>59</v>
      </c>
      <c r="H752" s="5" t="s">
        <v>86</v>
      </c>
      <c r="I752" s="6" t="n">
        <v>0.166666</v>
      </c>
      <c r="J752" s="7" t="n">
        <f aca="false">IF(I752="","",1/I752)</f>
        <v>6.000024000096</v>
      </c>
      <c r="K752" s="8" t="n">
        <v>60.06</v>
      </c>
      <c r="L752" s="9" t="n">
        <v>0.9</v>
      </c>
      <c r="M752" s="10" t="n">
        <v>0.0152</v>
      </c>
      <c r="N752" s="8" t="n">
        <v>60.06</v>
      </c>
      <c r="O752" s="8" t="n">
        <v>60.06</v>
      </c>
      <c r="P752" s="8" t="n">
        <v>60.06</v>
      </c>
      <c r="Q752" s="8" t="n">
        <v>60.06</v>
      </c>
      <c r="R752" s="11" t="n">
        <v>45</v>
      </c>
      <c r="S752" s="11" t="n">
        <f aca="false">K752*R752</f>
        <v>2702.7</v>
      </c>
      <c r="T752" s="8" t="n">
        <v>37.5</v>
      </c>
      <c r="U752" s="8" t="n">
        <v>77.63</v>
      </c>
      <c r="V752" s="12" t="n">
        <f aca="false">IF(U752-T752=0,"",(K752-T752)/(U752-T752))</f>
        <v>0.562172937951657</v>
      </c>
      <c r="W752" s="13" t="n">
        <f aca="false">IF(U752=0,"",K752/U752-1)</f>
        <v>-0.226330027051398</v>
      </c>
      <c r="X752" s="11" t="n">
        <v>98770</v>
      </c>
      <c r="Y752" s="5" t="s">
        <v>65</v>
      </c>
      <c r="Z752" s="5" t="s">
        <v>67</v>
      </c>
      <c r="AA752" s="5" t="s">
        <v>66</v>
      </c>
      <c r="AB752" s="5"/>
      <c r="AC752" s="5" t="s">
        <v>2389</v>
      </c>
      <c r="AD752" s="14" t="n">
        <v>46288.771875</v>
      </c>
    </row>
    <row r="753" customFormat="false" ht="15" hidden="false" customHeight="false" outlineLevel="0" collapsed="false">
      <c r="A753" s="5" t="s">
        <v>2390</v>
      </c>
      <c r="B753" s="5" t="s">
        <v>2391</v>
      </c>
      <c r="C753" s="5" t="s">
        <v>55</v>
      </c>
      <c r="D753" s="5" t="s">
        <v>56</v>
      </c>
      <c r="E753" s="5" t="s">
        <v>57</v>
      </c>
      <c r="F753" s="5" t="s">
        <v>58</v>
      </c>
      <c r="G753" s="5" t="s">
        <v>59</v>
      </c>
      <c r="H753" s="5" t="s">
        <v>86</v>
      </c>
      <c r="I753" s="6" t="n">
        <v>1</v>
      </c>
      <c r="J753" s="7" t="n">
        <f aca="false">IF(I753="","",1/I753)</f>
        <v>1</v>
      </c>
      <c r="K753" s="8" t="n">
        <v>21.41</v>
      </c>
      <c r="L753" s="9" t="n">
        <v>0.19</v>
      </c>
      <c r="M753" s="10" t="n">
        <v>0.009</v>
      </c>
      <c r="N753" s="8" t="n">
        <v>21.22</v>
      </c>
      <c r="O753" s="8" t="n">
        <v>20.97</v>
      </c>
      <c r="P753" s="8" t="n">
        <v>21.42</v>
      </c>
      <c r="Q753" s="8" t="n">
        <v>21.41</v>
      </c>
      <c r="R753" s="11" t="n">
        <v>957</v>
      </c>
      <c r="S753" s="11" t="n">
        <f aca="false">K753*R753</f>
        <v>20489.37</v>
      </c>
      <c r="T753" s="8" t="n">
        <v>16.05</v>
      </c>
      <c r="U753" s="8" t="n">
        <v>41.37</v>
      </c>
      <c r="V753" s="12" t="n">
        <f aca="false">IF(U753-T753=0,"",(K753-T753)/(U753-T753))</f>
        <v>0.211690363349131</v>
      </c>
      <c r="W753" s="13" t="n">
        <f aca="false">IF(U753=0,"",K753/U753-1)</f>
        <v>-0.482475223591975</v>
      </c>
      <c r="X753" s="11" t="n">
        <v>324955</v>
      </c>
      <c r="Y753" s="5" t="s">
        <v>57</v>
      </c>
      <c r="Z753" s="5" t="s">
        <v>61</v>
      </c>
      <c r="AA753" s="5" t="s">
        <v>58</v>
      </c>
      <c r="AB753" s="5"/>
      <c r="AC753" s="5" t="s">
        <v>2392</v>
      </c>
      <c r="AD753" s="14" t="n">
        <v>46288.771875</v>
      </c>
    </row>
    <row r="754" customFormat="false" ht="15" hidden="false" customHeight="false" outlineLevel="0" collapsed="false">
      <c r="A754" s="5" t="s">
        <v>2393</v>
      </c>
      <c r="B754" s="5" t="s">
        <v>2394</v>
      </c>
      <c r="C754" s="5" t="s">
        <v>55</v>
      </c>
      <c r="D754" s="5" t="s">
        <v>56</v>
      </c>
      <c r="E754" s="5" t="s">
        <v>142</v>
      </c>
      <c r="F754" s="5" t="s">
        <v>143</v>
      </c>
      <c r="G754" s="5" t="s">
        <v>59</v>
      </c>
      <c r="H754" s="5" t="s">
        <v>60</v>
      </c>
      <c r="I754" s="6" t="n">
        <v>0.0285714</v>
      </c>
      <c r="J754" s="7" t="n">
        <f aca="false">IF(I754="","",1/I754)</f>
        <v>35.000035000035</v>
      </c>
      <c r="K754" s="8" t="n">
        <v>4.99</v>
      </c>
      <c r="L754" s="9" t="n">
        <v>-0.29</v>
      </c>
      <c r="M754" s="10" t="n">
        <v>-0.0549</v>
      </c>
      <c r="N754" s="8" t="n">
        <v>5.34</v>
      </c>
      <c r="O754" s="8" t="n">
        <v>4.9</v>
      </c>
      <c r="P754" s="8" t="n">
        <v>5.34</v>
      </c>
      <c r="Q754" s="8" t="n">
        <v>4.94</v>
      </c>
      <c r="R754" s="11" t="n">
        <v>17960</v>
      </c>
      <c r="S754" s="11" t="n">
        <f aca="false">K754*R754</f>
        <v>89620.4</v>
      </c>
      <c r="T754" s="8" t="n">
        <v>4.37</v>
      </c>
      <c r="U754" s="8" t="n">
        <v>12</v>
      </c>
      <c r="V754" s="12" t="n">
        <f aca="false">IF(U754-T754=0,"",(K754-T754)/(U754-T754))</f>
        <v>0.0812581913499345</v>
      </c>
      <c r="W754" s="13" t="n">
        <f aca="false">IF(U754=0,"",K754/U754-1)</f>
        <v>-0.584166666666667</v>
      </c>
      <c r="X754" s="11" t="n">
        <v>11361</v>
      </c>
      <c r="Y754" s="5" t="s">
        <v>142</v>
      </c>
      <c r="Z754" s="5" t="s">
        <v>144</v>
      </c>
      <c r="AA754" s="5" t="s">
        <v>143</v>
      </c>
      <c r="AB754" s="5"/>
      <c r="AC754" s="5" t="s">
        <v>2395</v>
      </c>
      <c r="AD754" s="14" t="n">
        <v>46288.771875</v>
      </c>
    </row>
    <row r="755" customFormat="false" ht="15" hidden="false" customHeight="false" outlineLevel="0" collapsed="false">
      <c r="A755" s="5" t="s">
        <v>2396</v>
      </c>
      <c r="B755" s="5" t="s">
        <v>2397</v>
      </c>
      <c r="C755" s="5" t="s">
        <v>55</v>
      </c>
      <c r="D755" s="5" t="s">
        <v>56</v>
      </c>
      <c r="E755" s="5" t="s">
        <v>71</v>
      </c>
      <c r="F755" s="5" t="s">
        <v>72</v>
      </c>
      <c r="G755" s="5" t="s">
        <v>59</v>
      </c>
      <c r="H755" s="5" t="s">
        <v>60</v>
      </c>
      <c r="I755" s="6" t="n">
        <v>0.166666</v>
      </c>
      <c r="J755" s="7" t="n">
        <f aca="false">IF(I755="","",1/I755)</f>
        <v>6.000024000096</v>
      </c>
      <c r="K755" s="8" t="n">
        <v>90.45</v>
      </c>
      <c r="L755" s="9" t="n">
        <v>-0.82</v>
      </c>
      <c r="M755" s="10" t="n">
        <v>-0.009</v>
      </c>
      <c r="N755" s="8" t="n">
        <v>90.45</v>
      </c>
      <c r="O755" s="8" t="n">
        <v>90.45</v>
      </c>
      <c r="P755" s="8" t="n">
        <v>90.45</v>
      </c>
      <c r="Q755" s="8" t="n">
        <v>90.45</v>
      </c>
      <c r="R755" s="11" t="n">
        <v>2</v>
      </c>
      <c r="S755" s="11" t="n">
        <f aca="false">K755*R755</f>
        <v>180.9</v>
      </c>
      <c r="T755" s="8" t="n">
        <v>73.71</v>
      </c>
      <c r="U755" s="8" t="n">
        <v>91.27</v>
      </c>
      <c r="V755" s="12" t="n">
        <f aca="false">IF(U755-T755=0,"",(K755-T755)/(U755-T755))</f>
        <v>0.953302961275627</v>
      </c>
      <c r="W755" s="13" t="n">
        <f aca="false">IF(U755=0,"",K755/U755-1)</f>
        <v>-0.00898433220116135</v>
      </c>
      <c r="X755" s="11" t="n">
        <v>63732</v>
      </c>
      <c r="Y755" s="5" t="s">
        <v>71</v>
      </c>
      <c r="Z755" s="5" t="s">
        <v>73</v>
      </c>
      <c r="AA755" s="5" t="s">
        <v>72</v>
      </c>
      <c r="AB755" s="5"/>
      <c r="AC755" s="5" t="s">
        <v>2398</v>
      </c>
      <c r="AD755" s="14" t="n">
        <v>46288.771875</v>
      </c>
    </row>
    <row r="756" customFormat="false" ht="15" hidden="false" customHeight="false" outlineLevel="0" collapsed="false">
      <c r="A756" s="5" t="s">
        <v>2399</v>
      </c>
      <c r="B756" s="5" t="s">
        <v>2400</v>
      </c>
      <c r="C756" s="5" t="s">
        <v>55</v>
      </c>
      <c r="D756" s="5" t="s">
        <v>56</v>
      </c>
      <c r="E756" s="5" t="s">
        <v>57</v>
      </c>
      <c r="F756" s="5" t="s">
        <v>58</v>
      </c>
      <c r="G756" s="5" t="s">
        <v>59</v>
      </c>
      <c r="H756" s="5" t="s">
        <v>60</v>
      </c>
      <c r="I756" s="6" t="n">
        <v>0.3333333</v>
      </c>
      <c r="J756" s="7" t="n">
        <f aca="false">IF(I756="","",1/I756)</f>
        <v>3.00000030000003</v>
      </c>
      <c r="K756" s="8" t="n">
        <v>119.48</v>
      </c>
      <c r="L756" s="9" t="n">
        <v>0</v>
      </c>
      <c r="M756" s="10" t="n">
        <v>0</v>
      </c>
      <c r="N756" s="8" t="n">
        <v>119.48</v>
      </c>
      <c r="O756" s="8" t="n">
        <v>119.48</v>
      </c>
      <c r="P756" s="8" t="n">
        <v>119.48</v>
      </c>
      <c r="Q756" s="8" t="n">
        <v>119.48</v>
      </c>
      <c r="R756" s="11" t="n">
        <v>7</v>
      </c>
      <c r="S756" s="11" t="n">
        <f aca="false">K756*R756</f>
        <v>836.36</v>
      </c>
      <c r="T756" s="8" t="n">
        <v>114.32</v>
      </c>
      <c r="U756" s="8" t="n">
        <v>206.01</v>
      </c>
      <c r="V756" s="12" t="n">
        <f aca="false">IF(U756-T756=0,"",(K756-T756)/(U756-T756))</f>
        <v>0.0562765841422185</v>
      </c>
      <c r="W756" s="13" t="n">
        <f aca="false">IF(U756=0,"",K756/U756-1)</f>
        <v>-0.420028153973108</v>
      </c>
      <c r="X756" s="11" t="n">
        <v>32775</v>
      </c>
      <c r="Y756" s="5" t="s">
        <v>57</v>
      </c>
      <c r="Z756" s="5" t="s">
        <v>61</v>
      </c>
      <c r="AA756" s="5" t="s">
        <v>58</v>
      </c>
      <c r="AB756" s="5"/>
      <c r="AC756" s="5" t="s">
        <v>2401</v>
      </c>
      <c r="AD756" s="14" t="n">
        <v>46288.771875</v>
      </c>
    </row>
    <row r="757" customFormat="false" ht="15" hidden="false" customHeight="false" outlineLevel="0" collapsed="false">
      <c r="A757" s="5" t="s">
        <v>2402</v>
      </c>
      <c r="B757" s="5" t="s">
        <v>2403</v>
      </c>
      <c r="C757" s="5" t="s">
        <v>55</v>
      </c>
      <c r="D757" s="5" t="s">
        <v>56</v>
      </c>
      <c r="E757" s="5" t="s">
        <v>105</v>
      </c>
      <c r="F757" s="5" t="s">
        <v>106</v>
      </c>
      <c r="G757" s="5" t="s">
        <v>59</v>
      </c>
      <c r="H757" s="5" t="s">
        <v>60</v>
      </c>
      <c r="I757" s="6" t="n">
        <v>0.25</v>
      </c>
      <c r="J757" s="7" t="n">
        <f aca="false">IF(I757="","",1/I757)</f>
        <v>4</v>
      </c>
      <c r="K757" s="8" t="n">
        <v>82.16</v>
      </c>
      <c r="L757" s="9" t="n">
        <v>1.84</v>
      </c>
      <c r="M757" s="10" t="n">
        <v>0.0229</v>
      </c>
      <c r="N757" s="8" t="n">
        <v>82.4</v>
      </c>
      <c r="O757" s="8" t="n">
        <v>82.16</v>
      </c>
      <c r="P757" s="8" t="n">
        <v>82.4</v>
      </c>
      <c r="Q757" s="8" t="n">
        <v>82.16</v>
      </c>
      <c r="R757" s="11" t="n">
        <v>6</v>
      </c>
      <c r="S757" s="11" t="n">
        <f aca="false">K757*R757</f>
        <v>492.96</v>
      </c>
      <c r="T757" s="8" t="n">
        <v>80.32</v>
      </c>
      <c r="U757" s="8" t="n">
        <v>126.82</v>
      </c>
      <c r="V757" s="12" t="n">
        <f aca="false">IF(U757-T757=0,"",(K757-T757)/(U757-T757))</f>
        <v>0.0395698924731184</v>
      </c>
      <c r="W757" s="13" t="n">
        <f aca="false">IF(U757=0,"",K757/U757-1)</f>
        <v>-0.352152657309573</v>
      </c>
      <c r="X757" s="11" t="n">
        <v>76271</v>
      </c>
      <c r="Y757" s="5" t="s">
        <v>105</v>
      </c>
      <c r="Z757" s="5" t="s">
        <v>107</v>
      </c>
      <c r="AA757" s="5" t="s">
        <v>106</v>
      </c>
      <c r="AB757" s="5"/>
      <c r="AC757" s="5" t="s">
        <v>2404</v>
      </c>
      <c r="AD757" s="14" t="n">
        <v>46288.771875</v>
      </c>
    </row>
    <row r="758" customFormat="false" ht="15" hidden="false" customHeight="false" outlineLevel="0" collapsed="false">
      <c r="A758" s="5" t="s">
        <v>2405</v>
      </c>
      <c r="B758" s="5" t="s">
        <v>2406</v>
      </c>
      <c r="C758" s="5" t="s">
        <v>55</v>
      </c>
      <c r="D758" s="5" t="s">
        <v>56</v>
      </c>
      <c r="E758" s="5" t="s">
        <v>312</v>
      </c>
      <c r="F758" s="5" t="s">
        <v>313</v>
      </c>
      <c r="G758" s="5" t="s">
        <v>59</v>
      </c>
      <c r="H758" s="5"/>
      <c r="I758" s="6"/>
      <c r="J758" s="7" t="str">
        <f aca="false">IF(I758="","",1/I758)</f>
        <v/>
      </c>
      <c r="K758" s="8" t="n">
        <v>17.65</v>
      </c>
      <c r="L758" s="9" t="n">
        <v>-0.15</v>
      </c>
      <c r="M758" s="10" t="n">
        <v>-0.0084</v>
      </c>
      <c r="N758" s="8" t="n">
        <v>18</v>
      </c>
      <c r="O758" s="8" t="n">
        <v>17.22</v>
      </c>
      <c r="P758" s="8" t="n">
        <v>18</v>
      </c>
      <c r="Q758" s="8" t="n">
        <v>17.44</v>
      </c>
      <c r="R758" s="11" t="n">
        <v>38668</v>
      </c>
      <c r="S758" s="11" t="n">
        <f aca="false">K758*R758</f>
        <v>682490.2</v>
      </c>
      <c r="T758" s="8" t="n">
        <v>8.31</v>
      </c>
      <c r="U758" s="8" t="n">
        <v>40</v>
      </c>
      <c r="V758" s="12" t="n">
        <f aca="false">IF(U758-T758=0,"",(K758-T758)/(U758-T758))</f>
        <v>0.294730198800884</v>
      </c>
      <c r="W758" s="13" t="n">
        <f aca="false">IF(U758=0,"",K758/U758-1)</f>
        <v>-0.55875</v>
      </c>
      <c r="X758" s="11" t="n">
        <v>6074</v>
      </c>
      <c r="Y758" s="5" t="s">
        <v>312</v>
      </c>
      <c r="Z758" s="5" t="s">
        <v>314</v>
      </c>
      <c r="AA758" s="5" t="s">
        <v>313</v>
      </c>
      <c r="AB758" s="5" t="s">
        <v>111</v>
      </c>
      <c r="AC758" s="5" t="s">
        <v>2407</v>
      </c>
      <c r="AD758" s="14" t="n">
        <v>46288.771875</v>
      </c>
    </row>
    <row r="759" customFormat="false" ht="15" hidden="false" customHeight="false" outlineLevel="0" collapsed="false">
      <c r="A759" s="5" t="s">
        <v>2408</v>
      </c>
      <c r="B759" s="5" t="s">
        <v>2409</v>
      </c>
      <c r="C759" s="5" t="s">
        <v>55</v>
      </c>
      <c r="D759" s="5" t="s">
        <v>56</v>
      </c>
      <c r="E759" s="5" t="s">
        <v>1388</v>
      </c>
      <c r="F759" s="5" t="s">
        <v>1389</v>
      </c>
      <c r="G759" s="5" t="s">
        <v>59</v>
      </c>
      <c r="H759" s="5" t="s">
        <v>60</v>
      </c>
      <c r="I759" s="6" t="n">
        <v>0.00833</v>
      </c>
      <c r="J759" s="7" t="n">
        <f aca="false">IF(I759="","",1/I759)</f>
        <v>120.048019207683</v>
      </c>
      <c r="K759" s="8" t="n">
        <v>6.14</v>
      </c>
      <c r="L759" s="9" t="n">
        <v>-0.16</v>
      </c>
      <c r="M759" s="10" t="n">
        <v>-0.0254</v>
      </c>
      <c r="N759" s="8" t="n">
        <v>6.37</v>
      </c>
      <c r="O759" s="8" t="n">
        <v>5.8</v>
      </c>
      <c r="P759" s="8" t="n">
        <v>6.44</v>
      </c>
      <c r="Q759" s="8" t="n">
        <v>6.14</v>
      </c>
      <c r="R759" s="11" t="n">
        <v>95193</v>
      </c>
      <c r="S759" s="11" t="n">
        <f aca="false">K759*R759</f>
        <v>584485.02</v>
      </c>
      <c r="T759" s="8" t="n">
        <v>3.9</v>
      </c>
      <c r="U759" s="8" t="n">
        <v>8.12</v>
      </c>
      <c r="V759" s="12" t="n">
        <f aca="false">IF(U759-T759=0,"",(K759-T759)/(U759-T759))</f>
        <v>0.530805687203792</v>
      </c>
      <c r="W759" s="13" t="n">
        <f aca="false">IF(U759=0,"",K759/U759-1)</f>
        <v>-0.24384236453202</v>
      </c>
      <c r="X759" s="11" t="n">
        <v>972205</v>
      </c>
      <c r="Y759" s="5" t="s">
        <v>1388</v>
      </c>
      <c r="Z759" s="5" t="s">
        <v>1390</v>
      </c>
      <c r="AA759" s="5" t="s">
        <v>1389</v>
      </c>
      <c r="AB759" s="5"/>
      <c r="AC759" s="5" t="s">
        <v>2410</v>
      </c>
      <c r="AD759" s="14" t="n">
        <v>46288.771875</v>
      </c>
    </row>
    <row r="760" customFormat="false" ht="15" hidden="false" customHeight="false" outlineLevel="0" collapsed="false">
      <c r="A760" s="5" t="s">
        <v>2411</v>
      </c>
      <c r="B760" s="5" t="s">
        <v>2412</v>
      </c>
      <c r="C760" s="5" t="s">
        <v>55</v>
      </c>
      <c r="D760" s="5" t="s">
        <v>56</v>
      </c>
      <c r="E760" s="5" t="s">
        <v>273</v>
      </c>
      <c r="F760" s="5" t="s">
        <v>274</v>
      </c>
      <c r="G760" s="5" t="s">
        <v>59</v>
      </c>
      <c r="H760" s="5" t="s">
        <v>60</v>
      </c>
      <c r="I760" s="6" t="n">
        <v>0.3333333</v>
      </c>
      <c r="J760" s="7" t="n">
        <f aca="false">IF(I760="","",1/I760)</f>
        <v>3.00000030000003</v>
      </c>
      <c r="K760" s="8" t="n">
        <v>16.92</v>
      </c>
      <c r="L760" s="9" t="n">
        <v>0.03</v>
      </c>
      <c r="M760" s="10" t="n">
        <v>0.0018</v>
      </c>
      <c r="N760" s="8" t="n">
        <v>17.1</v>
      </c>
      <c r="O760" s="8" t="n">
        <v>16.92</v>
      </c>
      <c r="P760" s="8" t="n">
        <v>17.1</v>
      </c>
      <c r="Q760" s="8" t="n">
        <v>16.92</v>
      </c>
      <c r="R760" s="11" t="n">
        <v>7</v>
      </c>
      <c r="S760" s="11" t="n">
        <f aca="false">K760*R760</f>
        <v>118.44</v>
      </c>
      <c r="T760" s="8" t="n">
        <v>16.89</v>
      </c>
      <c r="U760" s="8" t="n">
        <v>38.4</v>
      </c>
      <c r="V760" s="12" t="n">
        <f aca="false">IF(U760-T760=0,"",(K760-T760)/(U760-T760))</f>
        <v>0.00139470013947007</v>
      </c>
      <c r="W760" s="13" t="n">
        <f aca="false">IF(U760=0,"",K760/U760-1)</f>
        <v>-0.559375</v>
      </c>
      <c r="X760" s="11" t="n">
        <v>4532</v>
      </c>
      <c r="Y760" s="5" t="s">
        <v>273</v>
      </c>
      <c r="Z760" s="5" t="s">
        <v>275</v>
      </c>
      <c r="AA760" s="5" t="s">
        <v>274</v>
      </c>
      <c r="AB760" s="5"/>
      <c r="AC760" s="5" t="s">
        <v>2413</v>
      </c>
      <c r="AD760" s="14" t="n">
        <v>46288.771875</v>
      </c>
    </row>
    <row r="761" customFormat="false" ht="15" hidden="false" customHeight="false" outlineLevel="0" collapsed="false">
      <c r="A761" s="5" t="s">
        <v>2414</v>
      </c>
      <c r="B761" s="5" t="s">
        <v>2415</v>
      </c>
      <c r="C761" s="5" t="s">
        <v>55</v>
      </c>
      <c r="D761" s="5" t="s">
        <v>56</v>
      </c>
      <c r="E761" s="5" t="s">
        <v>115</v>
      </c>
      <c r="F761" s="5" t="s">
        <v>116</v>
      </c>
      <c r="G761" s="5" t="s">
        <v>59</v>
      </c>
      <c r="H761" s="5"/>
      <c r="I761" s="6"/>
      <c r="J761" s="7" t="str">
        <f aca="false">IF(I761="","",1/I761)</f>
        <v/>
      </c>
      <c r="K761" s="8" t="n">
        <v>4.81</v>
      </c>
      <c r="L761" s="9" t="n">
        <v>-0.07</v>
      </c>
      <c r="M761" s="10" t="n">
        <v>-0.0143</v>
      </c>
      <c r="N761" s="8" t="n">
        <v>4.91</v>
      </c>
      <c r="O761" s="8" t="n">
        <v>4.81</v>
      </c>
      <c r="P761" s="8" t="n">
        <v>4.91</v>
      </c>
      <c r="Q761" s="8" t="n">
        <v>4.81</v>
      </c>
      <c r="R761" s="11" t="n">
        <v>1056</v>
      </c>
      <c r="S761" s="11" t="n">
        <f aca="false">K761*R761</f>
        <v>5079.36</v>
      </c>
      <c r="T761" s="8" t="n">
        <v>3.44</v>
      </c>
      <c r="U761" s="8" t="n">
        <v>8.11</v>
      </c>
      <c r="V761" s="12" t="n">
        <f aca="false">IF(U761-T761=0,"",(K761-T761)/(U761-T761))</f>
        <v>0.293361884368308</v>
      </c>
      <c r="W761" s="13" t="n">
        <f aca="false">IF(U761=0,"",K761/U761-1)</f>
        <v>-0.406905055487053</v>
      </c>
      <c r="X761" s="11" t="n">
        <v>48641</v>
      </c>
      <c r="Y761" s="5" t="s">
        <v>115</v>
      </c>
      <c r="Z761" s="5" t="s">
        <v>117</v>
      </c>
      <c r="AA761" s="5" t="s">
        <v>116</v>
      </c>
      <c r="AB761" s="5" t="s">
        <v>111</v>
      </c>
      <c r="AC761" s="5" t="s">
        <v>2416</v>
      </c>
      <c r="AD761" s="14" t="n">
        <v>46288.771875</v>
      </c>
    </row>
    <row r="762" customFormat="false" ht="15" hidden="false" customHeight="false" outlineLevel="0" collapsed="false">
      <c r="A762" s="5" t="s">
        <v>2417</v>
      </c>
      <c r="B762" s="5" t="s">
        <v>2418</v>
      </c>
      <c r="C762" s="5" t="s">
        <v>55</v>
      </c>
      <c r="D762" s="5" t="s">
        <v>56</v>
      </c>
      <c r="E762" s="5" t="s">
        <v>115</v>
      </c>
      <c r="F762" s="5" t="s">
        <v>116</v>
      </c>
      <c r="G762" s="5" t="s">
        <v>59</v>
      </c>
      <c r="H762" s="5" t="s">
        <v>60</v>
      </c>
      <c r="I762" s="6" t="n">
        <v>0.025</v>
      </c>
      <c r="J762" s="7" t="n">
        <f aca="false">IF(I762="","",1/I762)</f>
        <v>40</v>
      </c>
      <c r="K762" s="8" t="n">
        <v>43.21</v>
      </c>
      <c r="L762" s="9" t="n">
        <v>0.41</v>
      </c>
      <c r="M762" s="10" t="n">
        <v>0.0096</v>
      </c>
      <c r="N762" s="8" t="n">
        <v>44.2</v>
      </c>
      <c r="O762" s="8" t="n">
        <v>43.17</v>
      </c>
      <c r="P762" s="8" t="n">
        <v>44.2</v>
      </c>
      <c r="Q762" s="8" t="n">
        <v>43.21</v>
      </c>
      <c r="R762" s="11" t="n">
        <v>3890</v>
      </c>
      <c r="S762" s="11" t="n">
        <f aca="false">K762*R762</f>
        <v>168086.9</v>
      </c>
      <c r="T762" s="8" t="n">
        <v>14.88</v>
      </c>
      <c r="U762" s="8" t="n">
        <v>48.95</v>
      </c>
      <c r="V762" s="12" t="n">
        <f aca="false">IF(U762-T762=0,"",(K762-T762)/(U762-T762))</f>
        <v>0.831523334311711</v>
      </c>
      <c r="W762" s="13" t="n">
        <f aca="false">IF(U762=0,"",K762/U762-1)</f>
        <v>-0.117262512768131</v>
      </c>
      <c r="X762" s="11" t="n">
        <v>607722</v>
      </c>
      <c r="Y762" s="5" t="s">
        <v>115</v>
      </c>
      <c r="Z762" s="5" t="s">
        <v>117</v>
      </c>
      <c r="AA762" s="5" t="s">
        <v>116</v>
      </c>
      <c r="AB762" s="5"/>
      <c r="AC762" s="5" t="s">
        <v>2419</v>
      </c>
      <c r="AD762" s="14" t="n">
        <v>46288.771875</v>
      </c>
    </row>
    <row r="763" customFormat="false" ht="15" hidden="false" customHeight="false" outlineLevel="0" collapsed="false">
      <c r="A763" s="5" t="s">
        <v>2420</v>
      </c>
      <c r="B763" s="5" t="s">
        <v>2421</v>
      </c>
      <c r="C763" s="5" t="s">
        <v>55</v>
      </c>
      <c r="D763" s="5" t="s">
        <v>56</v>
      </c>
      <c r="E763" s="5" t="s">
        <v>127</v>
      </c>
      <c r="F763" s="5" t="s">
        <v>128</v>
      </c>
      <c r="G763" s="5" t="s">
        <v>59</v>
      </c>
      <c r="H763" s="5" t="s">
        <v>60</v>
      </c>
      <c r="I763" s="6" t="n">
        <v>0.05</v>
      </c>
      <c r="J763" s="7" t="n">
        <f aca="false">IF(I763="","",1/I763)</f>
        <v>20</v>
      </c>
      <c r="K763" s="8" t="n">
        <v>61</v>
      </c>
      <c r="L763" s="9" t="n">
        <v>-1.03</v>
      </c>
      <c r="M763" s="10" t="n">
        <v>-0.0166</v>
      </c>
      <c r="N763" s="8" t="n">
        <v>61</v>
      </c>
      <c r="O763" s="8" t="n">
        <v>61</v>
      </c>
      <c r="P763" s="8" t="n">
        <v>61</v>
      </c>
      <c r="Q763" s="8" t="n">
        <v>61</v>
      </c>
      <c r="R763" s="11" t="n">
        <v>1</v>
      </c>
      <c r="S763" s="11" t="n">
        <f aca="false">K763*R763</f>
        <v>61</v>
      </c>
      <c r="T763" s="8" t="n">
        <v>61</v>
      </c>
      <c r="U763" s="8" t="n">
        <v>101.3</v>
      </c>
      <c r="V763" s="12" t="n">
        <f aca="false">IF(U763-T763=0,"",(K763-T763)/(U763-T763))</f>
        <v>0</v>
      </c>
      <c r="W763" s="13" t="n">
        <f aca="false">IF(U763=0,"",K763/U763-1)</f>
        <v>-0.397828232971372</v>
      </c>
      <c r="X763" s="11" t="n">
        <v>37421</v>
      </c>
      <c r="Y763" s="5" t="s">
        <v>127</v>
      </c>
      <c r="Z763" s="5" t="s">
        <v>129</v>
      </c>
      <c r="AA763" s="5" t="s">
        <v>128</v>
      </c>
      <c r="AB763" s="5"/>
      <c r="AC763" s="5" t="s">
        <v>2422</v>
      </c>
      <c r="AD763" s="14" t="n">
        <v>46288.771875</v>
      </c>
    </row>
    <row r="764" customFormat="false" ht="15" hidden="false" customHeight="false" outlineLevel="0" collapsed="false">
      <c r="A764" s="5" t="s">
        <v>2423</v>
      </c>
      <c r="B764" s="5" t="s">
        <v>2424</v>
      </c>
      <c r="C764" s="5" t="s">
        <v>55</v>
      </c>
      <c r="D764" s="5" t="s">
        <v>56</v>
      </c>
      <c r="E764" s="5" t="s">
        <v>71</v>
      </c>
      <c r="F764" s="5" t="s">
        <v>72</v>
      </c>
      <c r="G764" s="5" t="s">
        <v>59</v>
      </c>
      <c r="H764" s="5"/>
      <c r="I764" s="6"/>
      <c r="J764" s="7" t="str">
        <f aca="false">IF(I764="","",1/I764)</f>
        <v/>
      </c>
      <c r="K764" s="8" t="n">
        <v>38.32</v>
      </c>
      <c r="L764" s="9" t="n">
        <v>-0.08</v>
      </c>
      <c r="M764" s="10" t="n">
        <v>-0.0021</v>
      </c>
      <c r="N764" s="8" t="n">
        <v>38.4</v>
      </c>
      <c r="O764" s="8" t="n">
        <v>38.08</v>
      </c>
      <c r="P764" s="8" t="n">
        <v>38.4</v>
      </c>
      <c r="Q764" s="8" t="n">
        <v>38.32</v>
      </c>
      <c r="R764" s="11" t="n">
        <v>53</v>
      </c>
      <c r="S764" s="11" t="n">
        <f aca="false">K764*R764</f>
        <v>2030.96</v>
      </c>
      <c r="T764" s="8" t="n">
        <v>36.67</v>
      </c>
      <c r="U764" s="8" t="n">
        <v>45.6</v>
      </c>
      <c r="V764" s="12" t="n">
        <f aca="false">IF(U764-T764=0,"",(K764-T764)/(U764-T764))</f>
        <v>0.184770436730123</v>
      </c>
      <c r="W764" s="13" t="n">
        <f aca="false">IF(U764=0,"",K764/U764-1)</f>
        <v>-0.159649122807018</v>
      </c>
      <c r="X764" s="11" t="n">
        <v>36825</v>
      </c>
      <c r="Y764" s="5" t="s">
        <v>71</v>
      </c>
      <c r="Z764" s="5" t="s">
        <v>73</v>
      </c>
      <c r="AA764" s="5" t="s">
        <v>72</v>
      </c>
      <c r="AB764" s="5" t="s">
        <v>111</v>
      </c>
      <c r="AC764" s="5" t="s">
        <v>2425</v>
      </c>
      <c r="AD764" s="14" t="n">
        <v>46288.771875</v>
      </c>
    </row>
    <row r="765" customFormat="false" ht="15" hidden="false" customHeight="false" outlineLevel="0" collapsed="false">
      <c r="A765" s="5" t="s">
        <v>2426</v>
      </c>
      <c r="B765" s="5" t="s">
        <v>2427</v>
      </c>
      <c r="C765" s="5" t="s">
        <v>55</v>
      </c>
      <c r="D765" s="5" t="s">
        <v>56</v>
      </c>
      <c r="E765" s="5" t="s">
        <v>71</v>
      </c>
      <c r="F765" s="5" t="s">
        <v>72</v>
      </c>
      <c r="G765" s="5" t="s">
        <v>59</v>
      </c>
      <c r="H765" s="5"/>
      <c r="I765" s="6"/>
      <c r="J765" s="7" t="str">
        <f aca="false">IF(I765="","",1/I765)</f>
        <v/>
      </c>
      <c r="K765" s="8" t="n">
        <v>25.41</v>
      </c>
      <c r="L765" s="9" t="n">
        <v>-0.51</v>
      </c>
      <c r="M765" s="10" t="n">
        <v>-0.0197</v>
      </c>
      <c r="N765" s="8" t="n">
        <v>25.5</v>
      </c>
      <c r="O765" s="8" t="n">
        <v>25.41</v>
      </c>
      <c r="P765" s="8" t="n">
        <v>25.65</v>
      </c>
      <c r="Q765" s="8" t="n">
        <v>25.41</v>
      </c>
      <c r="R765" s="11" t="n">
        <v>37</v>
      </c>
      <c r="S765" s="11" t="n">
        <f aca="false">K765*R765</f>
        <v>940.17</v>
      </c>
      <c r="T765" s="8" t="n">
        <v>25.41</v>
      </c>
      <c r="U765" s="8" t="n">
        <v>34.74</v>
      </c>
      <c r="V765" s="12" t="n">
        <f aca="false">IF(U765-T765=0,"",(K765-T765)/(U765-T765))</f>
        <v>0</v>
      </c>
      <c r="W765" s="13" t="n">
        <f aca="false">IF(U765=0,"",K765/U765-1)</f>
        <v>-0.268566493955095</v>
      </c>
      <c r="X765" s="11" t="n">
        <v>28606</v>
      </c>
      <c r="Y765" s="5" t="s">
        <v>71</v>
      </c>
      <c r="Z765" s="5" t="s">
        <v>73</v>
      </c>
      <c r="AA765" s="5" t="s">
        <v>72</v>
      </c>
      <c r="AB765" s="5" t="s">
        <v>111</v>
      </c>
      <c r="AC765" s="5" t="s">
        <v>2428</v>
      </c>
      <c r="AD765" s="14" t="n">
        <v>46288.771875</v>
      </c>
    </row>
    <row r="766" customFormat="false" ht="15" hidden="false" customHeight="false" outlineLevel="0" collapsed="false">
      <c r="A766" s="5" t="s">
        <v>2429</v>
      </c>
      <c r="B766" s="5" t="s">
        <v>2430</v>
      </c>
      <c r="C766" s="5" t="s">
        <v>55</v>
      </c>
      <c r="D766" s="5" t="s">
        <v>56</v>
      </c>
      <c r="E766" s="5" t="s">
        <v>71</v>
      </c>
      <c r="F766" s="5" t="s">
        <v>72</v>
      </c>
      <c r="G766" s="5" t="s">
        <v>59</v>
      </c>
      <c r="H766" s="5" t="s">
        <v>60</v>
      </c>
      <c r="I766" s="6" t="n">
        <v>0.05</v>
      </c>
      <c r="J766" s="7" t="n">
        <f aca="false">IF(I766="","",1/I766)</f>
        <v>20</v>
      </c>
      <c r="K766" s="8" t="n">
        <v>29.24</v>
      </c>
      <c r="L766" s="9" t="n">
        <v>0.24</v>
      </c>
      <c r="M766" s="10" t="n">
        <v>0.0083</v>
      </c>
      <c r="N766" s="8" t="n">
        <v>29.36</v>
      </c>
      <c r="O766" s="8" t="n">
        <v>29.24</v>
      </c>
      <c r="P766" s="8" t="n">
        <v>29.36</v>
      </c>
      <c r="Q766" s="8" t="n">
        <v>29.24</v>
      </c>
      <c r="R766" s="11" t="n">
        <v>17</v>
      </c>
      <c r="S766" s="11" t="n">
        <f aca="false">K766*R766</f>
        <v>497.08</v>
      </c>
      <c r="T766" s="8" t="n">
        <v>29</v>
      </c>
      <c r="U766" s="8" t="n">
        <v>36.47</v>
      </c>
      <c r="V766" s="12" t="n">
        <f aca="false">IF(U766-T766=0,"",(K766-T766)/(U766-T766))</f>
        <v>0.0321285140562247</v>
      </c>
      <c r="W766" s="13" t="n">
        <f aca="false">IF(U766=0,"",K766/U766-1)</f>
        <v>-0.198245132986016</v>
      </c>
      <c r="X766" s="11" t="n">
        <v>70918</v>
      </c>
      <c r="Y766" s="5" t="s">
        <v>71</v>
      </c>
      <c r="Z766" s="5" t="s">
        <v>73</v>
      </c>
      <c r="AA766" s="5" t="s">
        <v>72</v>
      </c>
      <c r="AB766" s="5"/>
      <c r="AC766" s="5" t="s">
        <v>2431</v>
      </c>
      <c r="AD766" s="14" t="n">
        <v>46288.771875</v>
      </c>
    </row>
    <row r="767" customFormat="false" ht="15" hidden="false" customHeight="false" outlineLevel="0" collapsed="false">
      <c r="A767" s="5" t="s">
        <v>2432</v>
      </c>
      <c r="B767" s="5" t="s">
        <v>2433</v>
      </c>
      <c r="C767" s="5" t="s">
        <v>55</v>
      </c>
      <c r="D767" s="5" t="s">
        <v>56</v>
      </c>
      <c r="E767" s="5" t="s">
        <v>77</v>
      </c>
      <c r="F767" s="5" t="s">
        <v>78</v>
      </c>
      <c r="G767" s="5" t="s">
        <v>59</v>
      </c>
      <c r="H767" s="5" t="s">
        <v>60</v>
      </c>
      <c r="I767" s="6" t="n">
        <v>0.0333333</v>
      </c>
      <c r="J767" s="7" t="n">
        <f aca="false">IF(I767="","",1/I767)</f>
        <v>30.00003000003</v>
      </c>
      <c r="K767" s="8" t="n">
        <v>17</v>
      </c>
      <c r="L767" s="9" t="n">
        <v>0</v>
      </c>
      <c r="M767" s="10" t="n">
        <v>0</v>
      </c>
      <c r="N767" s="8" t="n">
        <v>17</v>
      </c>
      <c r="O767" s="8" t="n">
        <v>17</v>
      </c>
      <c r="P767" s="8" t="n">
        <v>17</v>
      </c>
      <c r="Q767" s="8" t="n">
        <v>17</v>
      </c>
      <c r="R767" s="11" t="n">
        <v>100</v>
      </c>
      <c r="S767" s="11" t="n">
        <f aca="false">K767*R767</f>
        <v>1700</v>
      </c>
      <c r="T767" s="8" t="n">
        <v>10.67</v>
      </c>
      <c r="U767" s="8" t="n">
        <v>20.46</v>
      </c>
      <c r="V767" s="12" t="n">
        <f aca="false">IF(U767-T767=0,"",(K767-T767)/(U767-T767))</f>
        <v>0.646578140960163</v>
      </c>
      <c r="W767" s="13" t="n">
        <f aca="false">IF(U767=0,"",K767/U767-1)</f>
        <v>-0.16911045943304</v>
      </c>
      <c r="X767" s="11" t="n">
        <v>19834</v>
      </c>
      <c r="Y767" s="5" t="s">
        <v>77</v>
      </c>
      <c r="Z767" s="5" t="s">
        <v>79</v>
      </c>
      <c r="AA767" s="5" t="s">
        <v>78</v>
      </c>
      <c r="AB767" s="5"/>
      <c r="AC767" s="5" t="s">
        <v>2434</v>
      </c>
      <c r="AD767" s="14" t="n">
        <v>46288.771875</v>
      </c>
    </row>
    <row r="768" customFormat="false" ht="15" hidden="false" customHeight="false" outlineLevel="0" collapsed="false">
      <c r="A768" s="5" t="s">
        <v>2435</v>
      </c>
      <c r="B768" s="5" t="s">
        <v>2436</v>
      </c>
      <c r="C768" s="5" t="s">
        <v>55</v>
      </c>
      <c r="D768" s="5" t="s">
        <v>56</v>
      </c>
      <c r="E768" s="5" t="s">
        <v>115</v>
      </c>
      <c r="F768" s="5" t="s">
        <v>116</v>
      </c>
      <c r="G768" s="5" t="s">
        <v>59</v>
      </c>
      <c r="H768" s="5" t="s">
        <v>86</v>
      </c>
      <c r="I768" s="6" t="n">
        <v>0.071429</v>
      </c>
      <c r="J768" s="7" t="n">
        <f aca="false">IF(I768="","",1/I768)</f>
        <v>13.999916000504</v>
      </c>
      <c r="K768" s="8" t="n">
        <v>77.6</v>
      </c>
      <c r="L768" s="9" t="n">
        <v>0.32</v>
      </c>
      <c r="M768" s="10" t="n">
        <v>0.0041</v>
      </c>
      <c r="N768" s="8" t="n">
        <v>77.48</v>
      </c>
      <c r="O768" s="8" t="n">
        <v>77.48</v>
      </c>
      <c r="P768" s="8" t="n">
        <v>78.17</v>
      </c>
      <c r="Q768" s="8" t="n">
        <v>77.6</v>
      </c>
      <c r="R768" s="11" t="n">
        <v>45</v>
      </c>
      <c r="S768" s="11" t="n">
        <f aca="false">K768*R768</f>
        <v>3492</v>
      </c>
      <c r="T768" s="8" t="n">
        <v>52.84071323</v>
      </c>
      <c r="U768" s="8" t="n">
        <v>106.96071215</v>
      </c>
      <c r="V768" s="12" t="n">
        <f aca="false">IF(U768-T768=0,"",(K768-T768)/(U768-T768))</f>
        <v>0.457488678198222</v>
      </c>
      <c r="W768" s="13" t="n">
        <f aca="false">IF(U768=0,"",K768/U768-1)</f>
        <v>-0.274499968818691</v>
      </c>
      <c r="X768" s="11" t="n">
        <v>1247105</v>
      </c>
      <c r="Y768" s="5" t="s">
        <v>115</v>
      </c>
      <c r="Z768" s="5" t="s">
        <v>117</v>
      </c>
      <c r="AA768" s="5" t="s">
        <v>116</v>
      </c>
      <c r="AB768" s="5"/>
      <c r="AC768" s="5" t="s">
        <v>2437</v>
      </c>
      <c r="AD768" s="14" t="n">
        <v>46288.771875</v>
      </c>
    </row>
    <row r="769" customFormat="false" ht="15" hidden="false" customHeight="false" outlineLevel="0" collapsed="false">
      <c r="A769" s="5" t="s">
        <v>2438</v>
      </c>
      <c r="B769" s="5" t="s">
        <v>2439</v>
      </c>
      <c r="C769" s="5" t="s">
        <v>55</v>
      </c>
      <c r="D769" s="5" t="s">
        <v>56</v>
      </c>
      <c r="E769" s="5" t="s">
        <v>182</v>
      </c>
      <c r="F769" s="5" t="s">
        <v>183</v>
      </c>
      <c r="G769" s="5" t="s">
        <v>59</v>
      </c>
      <c r="H769" s="5" t="s">
        <v>60</v>
      </c>
      <c r="I769" s="6" t="n">
        <v>1</v>
      </c>
      <c r="J769" s="7" t="n">
        <f aca="false">IF(I769="","",1/I769)</f>
        <v>1</v>
      </c>
      <c r="K769" s="8" t="n">
        <v>486.72</v>
      </c>
      <c r="L769" s="9" t="n">
        <v>0.15</v>
      </c>
      <c r="M769" s="10" t="n">
        <v>0.0003</v>
      </c>
      <c r="N769" s="8" t="n">
        <v>488.04</v>
      </c>
      <c r="O769" s="8" t="n">
        <v>486.24</v>
      </c>
      <c r="P769" s="8" t="n">
        <v>488.04</v>
      </c>
      <c r="Q769" s="8" t="n">
        <v>486.72</v>
      </c>
      <c r="R769" s="11" t="n">
        <v>31</v>
      </c>
      <c r="S769" s="11" t="n">
        <f aca="false">K769*R769</f>
        <v>15088.32</v>
      </c>
      <c r="T769" s="8" t="n">
        <v>420.24</v>
      </c>
      <c r="U769" s="8" t="n">
        <v>570</v>
      </c>
      <c r="V769" s="12" t="n">
        <f aca="false">IF(U769-T769=0,"",(K769-T769)/(U769-T769))</f>
        <v>0.443910256410257</v>
      </c>
      <c r="W769" s="13" t="n">
        <f aca="false">IF(U769=0,"",K769/U769-1)</f>
        <v>-0.146105263157895</v>
      </c>
      <c r="X769" s="11" t="n">
        <v>554889</v>
      </c>
      <c r="Y769" s="5" t="s">
        <v>182</v>
      </c>
      <c r="Z769" s="5" t="s">
        <v>184</v>
      </c>
      <c r="AA769" s="5" t="s">
        <v>183</v>
      </c>
      <c r="AB769" s="5"/>
      <c r="AC769" s="5" t="s">
        <v>2440</v>
      </c>
      <c r="AD769" s="14" t="n">
        <v>46288.771875</v>
      </c>
    </row>
    <row r="770" customFormat="false" ht="15" hidden="false" customHeight="false" outlineLevel="0" collapsed="false">
      <c r="A770" s="5" t="s">
        <v>2441</v>
      </c>
      <c r="B770" s="5" t="s">
        <v>2442</v>
      </c>
      <c r="C770" s="5" t="s">
        <v>55</v>
      </c>
      <c r="D770" s="5" t="s">
        <v>56</v>
      </c>
      <c r="E770" s="5" t="s">
        <v>71</v>
      </c>
      <c r="F770" s="5" t="s">
        <v>72</v>
      </c>
      <c r="G770" s="5" t="s">
        <v>59</v>
      </c>
      <c r="H770" s="5" t="s">
        <v>60</v>
      </c>
      <c r="I770" s="6" t="n">
        <v>0.125</v>
      </c>
      <c r="J770" s="7" t="n">
        <f aca="false">IF(I770="","",1/I770)</f>
        <v>8</v>
      </c>
      <c r="K770" s="8" t="n">
        <v>64.43</v>
      </c>
      <c r="L770" s="9" t="n">
        <v>0.04</v>
      </c>
      <c r="M770" s="10" t="n">
        <v>0.0006</v>
      </c>
      <c r="N770" s="8" t="n">
        <v>64.62</v>
      </c>
      <c r="O770" s="8" t="n">
        <v>64.32</v>
      </c>
      <c r="P770" s="8" t="n">
        <v>64.86</v>
      </c>
      <c r="Q770" s="8" t="n">
        <v>64.43</v>
      </c>
      <c r="R770" s="11" t="n">
        <v>188</v>
      </c>
      <c r="S770" s="11" t="n">
        <f aca="false">K770*R770</f>
        <v>12112.84</v>
      </c>
      <c r="T770" s="8" t="n">
        <v>53.05</v>
      </c>
      <c r="U770" s="8" t="n">
        <v>73.01</v>
      </c>
      <c r="V770" s="12" t="n">
        <f aca="false">IF(U770-T770=0,"",(K770-T770)/(U770-T770))</f>
        <v>0.570140280561123</v>
      </c>
      <c r="W770" s="13" t="n">
        <f aca="false">IF(U770=0,"",K770/U770-1)</f>
        <v>-0.117518148198877</v>
      </c>
      <c r="X770" s="11" t="n">
        <v>888121</v>
      </c>
      <c r="Y770" s="5" t="s">
        <v>71</v>
      </c>
      <c r="Z770" s="5" t="s">
        <v>73</v>
      </c>
      <c r="AA770" s="5" t="s">
        <v>72</v>
      </c>
      <c r="AB770" s="5"/>
      <c r="AC770" s="5" t="s">
        <v>2443</v>
      </c>
      <c r="AD770" s="14" t="n">
        <v>46288.771875</v>
      </c>
    </row>
    <row r="771" customFormat="false" ht="15" hidden="false" customHeight="false" outlineLevel="0" collapsed="false">
      <c r="A771" s="5" t="s">
        <v>2444</v>
      </c>
      <c r="B771" s="5" t="s">
        <v>2445</v>
      </c>
      <c r="C771" s="5" t="s">
        <v>248</v>
      </c>
      <c r="D771" s="5" t="s">
        <v>249</v>
      </c>
      <c r="E771" s="5" t="s">
        <v>988</v>
      </c>
      <c r="F771" s="5" t="s">
        <v>989</v>
      </c>
      <c r="G771" s="5" t="s">
        <v>59</v>
      </c>
      <c r="H771" s="5" t="s">
        <v>60</v>
      </c>
      <c r="I771" s="6" t="n">
        <v>0.125</v>
      </c>
      <c r="J771" s="7" t="n">
        <f aca="false">IF(I771="","",1/I771)</f>
        <v>8</v>
      </c>
      <c r="K771" s="8" t="n">
        <v>40.52</v>
      </c>
      <c r="L771" s="9" t="n">
        <v>0.76</v>
      </c>
      <c r="M771" s="10" t="n">
        <v>0.0191</v>
      </c>
      <c r="N771" s="8" t="n">
        <v>40.52</v>
      </c>
      <c r="O771" s="8" t="n">
        <v>40.52</v>
      </c>
      <c r="P771" s="8" t="n">
        <v>40.52</v>
      </c>
      <c r="Q771" s="8" t="n">
        <v>40.52</v>
      </c>
      <c r="R771" s="11" t="n">
        <v>50</v>
      </c>
      <c r="S771" s="11" t="n">
        <f aca="false">K771*R771</f>
        <v>2026</v>
      </c>
      <c r="T771" s="8" t="n">
        <v>36.82</v>
      </c>
      <c r="U771" s="8" t="n">
        <v>46.99</v>
      </c>
      <c r="V771" s="12" t="n">
        <f aca="false">IF(U771-T771=0,"",(K771-T771)/(U771-T771))</f>
        <v>0.363815142576205</v>
      </c>
      <c r="W771" s="13" t="n">
        <f aca="false">IF(U771=0,"",K771/U771-1)</f>
        <v>-0.137688869972335</v>
      </c>
      <c r="X771" s="11"/>
      <c r="Y771" s="5" t="s">
        <v>253</v>
      </c>
      <c r="Z771" s="5" t="s">
        <v>254</v>
      </c>
      <c r="AA771" s="5" t="s">
        <v>988</v>
      </c>
      <c r="AB771" s="5"/>
      <c r="AC771" s="5" t="s">
        <v>2446</v>
      </c>
      <c r="AD771" s="14" t="n">
        <v>46288.771875</v>
      </c>
    </row>
    <row r="772" customFormat="false" ht="15" hidden="false" customHeight="false" outlineLevel="0" collapsed="false">
      <c r="A772" s="5" t="s">
        <v>2447</v>
      </c>
      <c r="B772" s="5" t="s">
        <v>2448</v>
      </c>
      <c r="C772" s="5" t="s">
        <v>55</v>
      </c>
      <c r="D772" s="5" t="s">
        <v>56</v>
      </c>
      <c r="E772" s="5" t="s">
        <v>71</v>
      </c>
      <c r="F772" s="5" t="s">
        <v>72</v>
      </c>
      <c r="G772" s="5" t="s">
        <v>59</v>
      </c>
      <c r="H772" s="5" t="s">
        <v>60</v>
      </c>
      <c r="I772" s="6" t="n">
        <v>0.0625</v>
      </c>
      <c r="J772" s="7" t="n">
        <f aca="false">IF(I772="","",1/I772)</f>
        <v>16</v>
      </c>
      <c r="K772" s="8" t="n">
        <v>65.81</v>
      </c>
      <c r="L772" s="9" t="n">
        <v>-0.04</v>
      </c>
      <c r="M772" s="10" t="n">
        <v>-0.0006</v>
      </c>
      <c r="N772" s="8" t="n">
        <v>65.81</v>
      </c>
      <c r="O772" s="8" t="n">
        <v>65.53</v>
      </c>
      <c r="P772" s="8" t="n">
        <v>66.2</v>
      </c>
      <c r="Q772" s="8" t="n">
        <v>65.81</v>
      </c>
      <c r="R772" s="11" t="n">
        <v>88</v>
      </c>
      <c r="S772" s="11" t="n">
        <f aca="false">K772*R772</f>
        <v>5791.28</v>
      </c>
      <c r="T772" s="8" t="n">
        <v>57.84</v>
      </c>
      <c r="U772" s="8" t="n">
        <v>79.9975</v>
      </c>
      <c r="V772" s="12" t="n">
        <f aca="false">IF(U772-T772=0,"",(K772-T772)/(U772-T772))</f>
        <v>0.359697619316259</v>
      </c>
      <c r="W772" s="13" t="n">
        <f aca="false">IF(U772=0,"",K772/U772-1)</f>
        <v>-0.17734929216538</v>
      </c>
      <c r="X772" s="11" t="n">
        <v>341021</v>
      </c>
      <c r="Y772" s="5" t="s">
        <v>71</v>
      </c>
      <c r="Z772" s="5" t="s">
        <v>73</v>
      </c>
      <c r="AA772" s="5" t="s">
        <v>72</v>
      </c>
      <c r="AB772" s="5"/>
      <c r="AC772" s="5" t="s">
        <v>2449</v>
      </c>
      <c r="AD772" s="14" t="n">
        <v>46288.771875</v>
      </c>
    </row>
    <row r="773" customFormat="false" ht="15" hidden="false" customHeight="false" outlineLevel="0" collapsed="false">
      <c r="A773" s="5" t="s">
        <v>2450</v>
      </c>
      <c r="B773" s="5" t="s">
        <v>2451</v>
      </c>
      <c r="C773" s="5" t="s">
        <v>248</v>
      </c>
      <c r="D773" s="5" t="s">
        <v>249</v>
      </c>
      <c r="E773" s="5" t="s">
        <v>250</v>
      </c>
      <c r="F773" s="5" t="s">
        <v>251</v>
      </c>
      <c r="G773" s="5" t="s">
        <v>59</v>
      </c>
      <c r="H773" s="5" t="s">
        <v>60</v>
      </c>
      <c r="I773" s="6" t="n">
        <v>0.333333</v>
      </c>
      <c r="J773" s="7" t="n">
        <f aca="false">IF(I773="","",1/I773)</f>
        <v>3.000003000003</v>
      </c>
      <c r="K773" s="8" t="n">
        <v>105.38</v>
      </c>
      <c r="L773" s="9" t="n">
        <v>-3.08</v>
      </c>
      <c r="M773" s="10" t="n">
        <v>-0.0284</v>
      </c>
      <c r="N773" s="8" t="n">
        <v>105.14</v>
      </c>
      <c r="O773" s="8" t="n">
        <v>105.02</v>
      </c>
      <c r="P773" s="8" t="n">
        <v>105.38</v>
      </c>
      <c r="Q773" s="8" t="n">
        <v>105.38</v>
      </c>
      <c r="R773" s="11" t="n">
        <v>223</v>
      </c>
      <c r="S773" s="11" t="n">
        <f aca="false">K773*R773</f>
        <v>23499.74</v>
      </c>
      <c r="T773" s="8" t="n">
        <v>75.72</v>
      </c>
      <c r="U773" s="8" t="n">
        <v>199.69</v>
      </c>
      <c r="V773" s="12" t="n">
        <f aca="false">IF(U773-T773=0,"",(K773-T773)/(U773-T773))</f>
        <v>0.239251431798016</v>
      </c>
      <c r="W773" s="13" t="n">
        <f aca="false">IF(U773=0,"",K773/U773-1)</f>
        <v>-0.472282037157594</v>
      </c>
      <c r="X773" s="11"/>
      <c r="Y773" s="5" t="s">
        <v>253</v>
      </c>
      <c r="Z773" s="5" t="s">
        <v>254</v>
      </c>
      <c r="AA773" s="5" t="s">
        <v>251</v>
      </c>
      <c r="AB773" s="5"/>
      <c r="AC773" s="5" t="s">
        <v>2452</v>
      </c>
      <c r="AD773" s="14" t="n">
        <v>46288.771875</v>
      </c>
    </row>
    <row r="774" customFormat="false" ht="15" hidden="false" customHeight="false" outlineLevel="0" collapsed="false">
      <c r="A774" s="5" t="s">
        <v>2453</v>
      </c>
      <c r="B774" s="5" t="s">
        <v>2454</v>
      </c>
      <c r="C774" s="5" t="s">
        <v>55</v>
      </c>
      <c r="D774" s="5" t="s">
        <v>56</v>
      </c>
      <c r="E774" s="5" t="s">
        <v>77</v>
      </c>
      <c r="F774" s="5" t="s">
        <v>78</v>
      </c>
      <c r="G774" s="5" t="s">
        <v>59</v>
      </c>
      <c r="H774" s="5"/>
      <c r="I774" s="6"/>
      <c r="J774" s="7" t="str">
        <f aca="false">IF(I774="","",1/I774)</f>
        <v/>
      </c>
      <c r="K774" s="8" t="n">
        <v>63</v>
      </c>
      <c r="L774" s="9" t="n">
        <v>-2.2</v>
      </c>
      <c r="M774" s="10" t="n">
        <v>-0.0337</v>
      </c>
      <c r="N774" s="8" t="n">
        <v>65.2</v>
      </c>
      <c r="O774" s="8" t="n">
        <v>60.3</v>
      </c>
      <c r="P774" s="8" t="n">
        <v>65.2</v>
      </c>
      <c r="Q774" s="8" t="n">
        <v>60.96</v>
      </c>
      <c r="R774" s="11" t="n">
        <v>17733</v>
      </c>
      <c r="S774" s="11" t="n">
        <f aca="false">K774*R774</f>
        <v>1117179</v>
      </c>
      <c r="T774" s="8" t="n">
        <v>43.7</v>
      </c>
      <c r="U774" s="8" t="n">
        <v>65.2</v>
      </c>
      <c r="V774" s="12" t="n">
        <f aca="false">IF(U774-T774=0,"",(K774-T774)/(U774-T774))</f>
        <v>0.897674418604651</v>
      </c>
      <c r="W774" s="13" t="n">
        <f aca="false">IF(U774=0,"",K774/U774-1)</f>
        <v>-0.0337423312883436</v>
      </c>
      <c r="X774" s="11" t="n">
        <v>5037751</v>
      </c>
      <c r="Y774" s="5" t="s">
        <v>77</v>
      </c>
      <c r="Z774" s="5" t="s">
        <v>79</v>
      </c>
      <c r="AA774" s="5" t="s">
        <v>78</v>
      </c>
      <c r="AB774" s="5" t="s">
        <v>111</v>
      </c>
      <c r="AC774" s="5" t="s">
        <v>2455</v>
      </c>
      <c r="AD774" s="14" t="n">
        <v>46288.771875</v>
      </c>
    </row>
    <row r="775" customFormat="false" ht="15" hidden="false" customHeight="false" outlineLevel="0" collapsed="false">
      <c r="A775" s="5" t="s">
        <v>2456</v>
      </c>
      <c r="B775" s="5" t="s">
        <v>2457</v>
      </c>
      <c r="C775" s="5" t="s">
        <v>55</v>
      </c>
      <c r="D775" s="5" t="s">
        <v>56</v>
      </c>
      <c r="E775" s="5" t="s">
        <v>370</v>
      </c>
      <c r="F775" s="5" t="s">
        <v>371</v>
      </c>
      <c r="G775" s="5" t="s">
        <v>59</v>
      </c>
      <c r="H775" s="5" t="s">
        <v>60</v>
      </c>
      <c r="I775" s="6" t="n">
        <v>0.5</v>
      </c>
      <c r="J775" s="7" t="n">
        <f aca="false">IF(I775="","",1/I775)</f>
        <v>2</v>
      </c>
      <c r="K775" s="8" t="n">
        <v>133.38</v>
      </c>
      <c r="L775" s="9" t="n">
        <v>3.16</v>
      </c>
      <c r="M775" s="10" t="n">
        <v>0.0243</v>
      </c>
      <c r="N775" s="8" t="n">
        <v>133.25</v>
      </c>
      <c r="O775" s="8" t="n">
        <v>133.25</v>
      </c>
      <c r="P775" s="8" t="n">
        <v>133.38</v>
      </c>
      <c r="Q775" s="8" t="n">
        <v>133.38</v>
      </c>
      <c r="R775" s="11" t="n">
        <v>2</v>
      </c>
      <c r="S775" s="11" t="n">
        <f aca="false">K775*R775</f>
        <v>266.76</v>
      </c>
      <c r="T775" s="8" t="n">
        <v>86.77</v>
      </c>
      <c r="U775" s="8" t="n">
        <v>156.66</v>
      </c>
      <c r="V775" s="12" t="n">
        <f aca="false">IF(U775-T775=0,"",(K775-T775)/(U775-T775))</f>
        <v>0.666905136643297</v>
      </c>
      <c r="W775" s="13" t="n">
        <f aca="false">IF(U775=0,"",K775/U775-1)</f>
        <v>-0.148602068173114</v>
      </c>
      <c r="X775" s="11" t="n">
        <v>395873</v>
      </c>
      <c r="Y775" s="5" t="s">
        <v>370</v>
      </c>
      <c r="Z775" s="5" t="s">
        <v>372</v>
      </c>
      <c r="AA775" s="5" t="s">
        <v>371</v>
      </c>
      <c r="AB775" s="5"/>
      <c r="AC775" s="5" t="s">
        <v>2458</v>
      </c>
      <c r="AD775" s="14" t="n">
        <v>46288.771875</v>
      </c>
    </row>
    <row r="776" customFormat="false" ht="15" hidden="false" customHeight="false" outlineLevel="0" collapsed="false">
      <c r="A776" s="5" t="s">
        <v>2459</v>
      </c>
      <c r="B776" s="5" t="s">
        <v>2460</v>
      </c>
      <c r="C776" s="5" t="s">
        <v>55</v>
      </c>
      <c r="D776" s="5" t="s">
        <v>56</v>
      </c>
      <c r="E776" s="5" t="s">
        <v>77</v>
      </c>
      <c r="F776" s="5" t="s">
        <v>78</v>
      </c>
      <c r="G776" s="5" t="s">
        <v>59</v>
      </c>
      <c r="H776" s="5" t="s">
        <v>86</v>
      </c>
      <c r="I776" s="6" t="n">
        <v>1</v>
      </c>
      <c r="J776" s="7" t="n">
        <f aca="false">IF(I776="","",1/I776)</f>
        <v>1</v>
      </c>
      <c r="K776" s="8" t="n">
        <v>119.79</v>
      </c>
      <c r="L776" s="9" t="n">
        <v>0.03</v>
      </c>
      <c r="M776" s="10" t="n">
        <v>0.0003</v>
      </c>
      <c r="N776" s="8" t="n">
        <v>120.83</v>
      </c>
      <c r="O776" s="8" t="n">
        <v>119.75</v>
      </c>
      <c r="P776" s="8" t="n">
        <v>120.83</v>
      </c>
      <c r="Q776" s="8" t="n">
        <v>119.79</v>
      </c>
      <c r="R776" s="11" t="n">
        <v>82</v>
      </c>
      <c r="S776" s="11" t="n">
        <f aca="false">K776*R776</f>
        <v>9822.78</v>
      </c>
      <c r="T776" s="8" t="n">
        <v>97.01</v>
      </c>
      <c r="U776" s="8" t="n">
        <v>162.4</v>
      </c>
      <c r="V776" s="12" t="n">
        <f aca="false">IF(U776-T776=0,"",(K776-T776)/(U776-T776))</f>
        <v>0.348371310597951</v>
      </c>
      <c r="W776" s="13" t="n">
        <f aca="false">IF(U776=0,"",K776/U776-1)</f>
        <v>-0.26237684729064</v>
      </c>
      <c r="X776" s="11" t="n">
        <v>712136</v>
      </c>
      <c r="Y776" s="5" t="s">
        <v>77</v>
      </c>
      <c r="Z776" s="5" t="s">
        <v>79</v>
      </c>
      <c r="AA776" s="5" t="s">
        <v>78</v>
      </c>
      <c r="AB776" s="5"/>
      <c r="AC776" s="5" t="s">
        <v>2461</v>
      </c>
      <c r="AD776" s="14" t="n">
        <v>46288.771875</v>
      </c>
    </row>
    <row r="777" customFormat="false" ht="15" hidden="false" customHeight="false" outlineLevel="0" collapsed="false">
      <c r="A777" s="5" t="s">
        <v>2462</v>
      </c>
      <c r="B777" s="5" t="s">
        <v>2463</v>
      </c>
      <c r="C777" s="5" t="s">
        <v>248</v>
      </c>
      <c r="D777" s="5" t="s">
        <v>249</v>
      </c>
      <c r="E777" s="5" t="s">
        <v>250</v>
      </c>
      <c r="F777" s="5" t="s">
        <v>251</v>
      </c>
      <c r="G777" s="5" t="s">
        <v>59</v>
      </c>
      <c r="H777" s="5" t="s">
        <v>252</v>
      </c>
      <c r="I777" s="6" t="n">
        <v>0.1</v>
      </c>
      <c r="J777" s="7" t="n">
        <f aca="false">IF(I777="","",1/I777)</f>
        <v>10</v>
      </c>
      <c r="K777" s="8" t="n">
        <v>39.95</v>
      </c>
      <c r="L777" s="9" t="n">
        <v>-0.28</v>
      </c>
      <c r="M777" s="10" t="n">
        <v>-0.007</v>
      </c>
      <c r="N777" s="8" t="n">
        <v>39.97</v>
      </c>
      <c r="O777" s="8" t="n">
        <v>39.95</v>
      </c>
      <c r="P777" s="8" t="n">
        <v>39.97</v>
      </c>
      <c r="Q777" s="8" t="n">
        <v>39.95</v>
      </c>
      <c r="R777" s="11" t="n">
        <v>701</v>
      </c>
      <c r="S777" s="11" t="n">
        <f aca="false">K777*R777</f>
        <v>28004.95</v>
      </c>
      <c r="T777" s="8" t="n">
        <v>21.94</v>
      </c>
      <c r="U777" s="8" t="n">
        <v>71.28</v>
      </c>
      <c r="V777" s="12" t="n">
        <f aca="false">IF(U777-T777=0,"",(K777-T777)/(U777-T777))</f>
        <v>0.365018240778273</v>
      </c>
      <c r="W777" s="13" t="n">
        <f aca="false">IF(U777=0,"",K777/U777-1)</f>
        <v>-0.439534231200898</v>
      </c>
      <c r="X777" s="11"/>
      <c r="Y777" s="5" t="s">
        <v>253</v>
      </c>
      <c r="Z777" s="5" t="s">
        <v>254</v>
      </c>
      <c r="AA777" s="5" t="s">
        <v>251</v>
      </c>
      <c r="AB777" s="5"/>
      <c r="AC777" s="5" t="s">
        <v>2464</v>
      </c>
      <c r="AD777" s="14" t="n">
        <v>46288.771875</v>
      </c>
    </row>
    <row r="778" customFormat="false" ht="15" hidden="false" customHeight="false" outlineLevel="0" collapsed="false">
      <c r="A778" s="5" t="s">
        <v>2465</v>
      </c>
      <c r="B778" s="5" t="s">
        <v>2466</v>
      </c>
      <c r="C778" s="5" t="s">
        <v>55</v>
      </c>
      <c r="D778" s="5" t="s">
        <v>56</v>
      </c>
      <c r="E778" s="5" t="s">
        <v>324</v>
      </c>
      <c r="F778" s="5" t="s">
        <v>325</v>
      </c>
      <c r="G778" s="5" t="s">
        <v>59</v>
      </c>
      <c r="H778" s="5" t="s">
        <v>60</v>
      </c>
      <c r="I778" s="6" t="n">
        <v>0.66667</v>
      </c>
      <c r="J778" s="7" t="n">
        <f aca="false">IF(I778="","",1/I778)</f>
        <v>1.4999925000375</v>
      </c>
      <c r="K778" s="8" t="n">
        <v>51</v>
      </c>
      <c r="L778" s="9" t="n">
        <v>-1.51</v>
      </c>
      <c r="M778" s="10" t="n">
        <v>-0.0288</v>
      </c>
      <c r="N778" s="8" t="n">
        <v>52.44</v>
      </c>
      <c r="O778" s="8" t="n">
        <v>50.96</v>
      </c>
      <c r="P778" s="8" t="n">
        <v>52.83</v>
      </c>
      <c r="Q778" s="8" t="n">
        <v>51.25</v>
      </c>
      <c r="R778" s="11" t="n">
        <v>1036095</v>
      </c>
      <c r="S778" s="11" t="n">
        <f aca="false">K778*R778</f>
        <v>52840845</v>
      </c>
      <c r="T778" s="8" t="n">
        <v>35.49</v>
      </c>
      <c r="U778" s="8" t="n">
        <v>75.51</v>
      </c>
      <c r="V778" s="12" t="n">
        <f aca="false">IF(U778-T778=0,"",(K778-T778)/(U778-T778))</f>
        <v>0.387556221889055</v>
      </c>
      <c r="W778" s="13" t="n">
        <f aca="false">IF(U778=0,"",K778/U778-1)</f>
        <v>-0.324592769169646</v>
      </c>
      <c r="X778" s="11" t="n">
        <v>10745731</v>
      </c>
      <c r="Y778" s="5" t="s">
        <v>324</v>
      </c>
      <c r="Z778" s="5" t="s">
        <v>326</v>
      </c>
      <c r="AA778" s="5" t="s">
        <v>325</v>
      </c>
      <c r="AB778" s="5"/>
      <c r="AC778" s="5" t="s">
        <v>2467</v>
      </c>
      <c r="AD778" s="14" t="n">
        <v>46288.771875</v>
      </c>
    </row>
    <row r="779" customFormat="false" ht="15" hidden="false" customHeight="false" outlineLevel="0" collapsed="false">
      <c r="A779" s="5" t="s">
        <v>2468</v>
      </c>
      <c r="B779" s="5" t="s">
        <v>2469</v>
      </c>
      <c r="C779" s="5" t="s">
        <v>55</v>
      </c>
      <c r="D779" s="5" t="s">
        <v>56</v>
      </c>
      <c r="E779" s="5" t="s">
        <v>1388</v>
      </c>
      <c r="F779" s="5" t="s">
        <v>1389</v>
      </c>
      <c r="G779" s="5" t="s">
        <v>59</v>
      </c>
      <c r="H779" s="5" t="s">
        <v>60</v>
      </c>
      <c r="I779" s="6" t="n">
        <v>0.0277778</v>
      </c>
      <c r="J779" s="7" t="n">
        <f aca="false">IF(I779="","",1/I779)</f>
        <v>35.999971200023</v>
      </c>
      <c r="K779" s="8" t="n">
        <v>58.53</v>
      </c>
      <c r="L779" s="9" t="n">
        <v>1.24</v>
      </c>
      <c r="M779" s="10" t="n">
        <v>0.0216</v>
      </c>
      <c r="N779" s="8" t="n">
        <v>57.96</v>
      </c>
      <c r="O779" s="8" t="n">
        <v>57.96</v>
      </c>
      <c r="P779" s="8" t="n">
        <v>58.53</v>
      </c>
      <c r="Q779" s="8" t="n">
        <v>58.53</v>
      </c>
      <c r="R779" s="11" t="n">
        <v>220</v>
      </c>
      <c r="S779" s="11" t="n">
        <f aca="false">K779*R779</f>
        <v>12876.6</v>
      </c>
      <c r="T779" s="8" t="n">
        <v>52.26</v>
      </c>
      <c r="U779" s="8" t="n">
        <v>82.6</v>
      </c>
      <c r="V779" s="12" t="n">
        <f aca="false">IF(U779-T779=0,"",(K779-T779)/(U779-T779))</f>
        <v>0.206657877389585</v>
      </c>
      <c r="W779" s="13" t="n">
        <f aca="false">IF(U779=0,"",K779/U779-1)</f>
        <v>-0.291404358353511</v>
      </c>
      <c r="X779" s="11" t="n">
        <v>607161</v>
      </c>
      <c r="Y779" s="5" t="s">
        <v>1388</v>
      </c>
      <c r="Z779" s="5" t="s">
        <v>1390</v>
      </c>
      <c r="AA779" s="5" t="s">
        <v>1389</v>
      </c>
      <c r="AB779" s="5"/>
      <c r="AC779" s="5" t="s">
        <v>2470</v>
      </c>
      <c r="AD779" s="14" t="n">
        <v>46288.771875</v>
      </c>
    </row>
    <row r="780" customFormat="false" ht="15" hidden="false" customHeight="false" outlineLevel="0" collapsed="false">
      <c r="A780" s="5" t="s">
        <v>2471</v>
      </c>
      <c r="B780" s="5" t="s">
        <v>2472</v>
      </c>
      <c r="C780" s="5" t="s">
        <v>55</v>
      </c>
      <c r="D780" s="5" t="s">
        <v>56</v>
      </c>
      <c r="E780" s="5" t="s">
        <v>115</v>
      </c>
      <c r="F780" s="5" t="s">
        <v>116</v>
      </c>
      <c r="G780" s="5" t="s">
        <v>59</v>
      </c>
      <c r="H780" s="5" t="s">
        <v>60</v>
      </c>
      <c r="I780" s="6" t="n">
        <v>0.04545</v>
      </c>
      <c r="J780" s="7" t="n">
        <f aca="false">IF(I780="","",1/I780)</f>
        <v>22.002200220022</v>
      </c>
      <c r="K780" s="8" t="n">
        <v>55.93</v>
      </c>
      <c r="L780" s="9" t="n">
        <v>1.93</v>
      </c>
      <c r="M780" s="10" t="n">
        <v>0.0357</v>
      </c>
      <c r="N780" s="8" t="n">
        <v>54.64</v>
      </c>
      <c r="O780" s="8" t="n">
        <v>54.35</v>
      </c>
      <c r="P780" s="8" t="n">
        <v>56.56</v>
      </c>
      <c r="Q780" s="8" t="n">
        <v>55.93</v>
      </c>
      <c r="R780" s="11" t="n">
        <v>26777</v>
      </c>
      <c r="S780" s="11" t="n">
        <f aca="false">K780*R780</f>
        <v>1497637.61</v>
      </c>
      <c r="T780" s="8" t="n">
        <v>34.5</v>
      </c>
      <c r="U780" s="8" t="n">
        <v>68</v>
      </c>
      <c r="V780" s="12" t="n">
        <f aca="false">IF(U780-T780=0,"",(K780-T780)/(U780-T780))</f>
        <v>0.639701492537314</v>
      </c>
      <c r="W780" s="13" t="n">
        <f aca="false">IF(U780=0,"",K780/U780-1)</f>
        <v>-0.1775</v>
      </c>
      <c r="X780" s="11" t="n">
        <v>982546</v>
      </c>
      <c r="Y780" s="5" t="s">
        <v>115</v>
      </c>
      <c r="Z780" s="5" t="s">
        <v>117</v>
      </c>
      <c r="AA780" s="5" t="s">
        <v>116</v>
      </c>
      <c r="AB780" s="5"/>
      <c r="AC780" s="5" t="s">
        <v>2473</v>
      </c>
      <c r="AD780" s="14" t="n">
        <v>46288.771875</v>
      </c>
    </row>
    <row r="781" customFormat="false" ht="15" hidden="false" customHeight="false" outlineLevel="0" collapsed="false">
      <c r="A781" s="5" t="s">
        <v>2474</v>
      </c>
      <c r="B781" s="5" t="s">
        <v>2475</v>
      </c>
      <c r="C781" s="5" t="s">
        <v>55</v>
      </c>
      <c r="D781" s="5" t="s">
        <v>56</v>
      </c>
      <c r="E781" s="5" t="s">
        <v>77</v>
      </c>
      <c r="F781" s="5" t="s">
        <v>78</v>
      </c>
      <c r="G781" s="5" t="s">
        <v>59</v>
      </c>
      <c r="H781" s="5" t="s">
        <v>86</v>
      </c>
      <c r="I781" s="6" t="n">
        <v>1</v>
      </c>
      <c r="J781" s="7" t="n">
        <f aca="false">IF(I781="","",1/I781)</f>
        <v>1</v>
      </c>
      <c r="K781" s="8" t="n">
        <v>267.03</v>
      </c>
      <c r="L781" s="9" t="n">
        <v>-7.49</v>
      </c>
      <c r="M781" s="10" t="n">
        <v>-0.0273</v>
      </c>
      <c r="N781" s="8" t="n">
        <v>269.65</v>
      </c>
      <c r="O781" s="8" t="n">
        <v>267.03</v>
      </c>
      <c r="P781" s="8" t="n">
        <v>269.65</v>
      </c>
      <c r="Q781" s="8" t="n">
        <v>267.03</v>
      </c>
      <c r="R781" s="11" t="n">
        <v>9</v>
      </c>
      <c r="S781" s="11" t="n">
        <f aca="false">K781*R781</f>
        <v>2403.27</v>
      </c>
      <c r="T781" s="8" t="n">
        <v>119.96</v>
      </c>
      <c r="U781" s="8" t="n">
        <v>443.92</v>
      </c>
      <c r="V781" s="12" t="n">
        <f aca="false">IF(U781-T781=0,"",(K781-T781)/(U781-T781))</f>
        <v>0.453975799481417</v>
      </c>
      <c r="W781" s="13" t="n">
        <f aca="false">IF(U781=0,"",K781/U781-1)</f>
        <v>-0.398472697783384</v>
      </c>
      <c r="X781" s="11" t="n">
        <v>243665</v>
      </c>
      <c r="Y781" s="5" t="s">
        <v>77</v>
      </c>
      <c r="Z781" s="5" t="s">
        <v>79</v>
      </c>
      <c r="AA781" s="5" t="s">
        <v>78</v>
      </c>
      <c r="AB781" s="5"/>
      <c r="AC781" s="5" t="s">
        <v>2476</v>
      </c>
      <c r="AD781" s="14" t="n">
        <v>46288.771875</v>
      </c>
    </row>
    <row r="782" customFormat="false" ht="15" hidden="false" customHeight="false" outlineLevel="0" collapsed="false">
      <c r="A782" s="5" t="s">
        <v>2477</v>
      </c>
      <c r="B782" s="5" t="s">
        <v>2478</v>
      </c>
      <c r="C782" s="5" t="s">
        <v>55</v>
      </c>
      <c r="D782" s="5" t="s">
        <v>56</v>
      </c>
      <c r="E782" s="5" t="s">
        <v>1388</v>
      </c>
      <c r="F782" s="5" t="s">
        <v>1389</v>
      </c>
      <c r="G782" s="5" t="s">
        <v>59</v>
      </c>
      <c r="H782" s="5" t="s">
        <v>60</v>
      </c>
      <c r="I782" s="6" t="n">
        <v>1</v>
      </c>
      <c r="J782" s="7" t="n">
        <f aca="false">IF(I782="","",1/I782)</f>
        <v>1</v>
      </c>
      <c r="K782" s="8" t="n">
        <v>49.5</v>
      </c>
      <c r="L782" s="9" t="n">
        <v>-0.8</v>
      </c>
      <c r="M782" s="10" t="n">
        <v>-0.0159</v>
      </c>
      <c r="N782" s="8" t="n">
        <v>50.36</v>
      </c>
      <c r="O782" s="8" t="n">
        <v>48.9</v>
      </c>
      <c r="P782" s="8" t="n">
        <v>51.36</v>
      </c>
      <c r="Q782" s="8" t="n">
        <v>48.96</v>
      </c>
      <c r="R782" s="11" t="n">
        <v>247826</v>
      </c>
      <c r="S782" s="11" t="n">
        <f aca="false">K782*R782</f>
        <v>12267387</v>
      </c>
      <c r="T782" s="8" t="n">
        <v>47.27</v>
      </c>
      <c r="U782" s="8" t="n">
        <v>105.95</v>
      </c>
      <c r="V782" s="12" t="n">
        <f aca="false">IF(U782-T782=0,"",(K782-T782)/(U782-T782))</f>
        <v>0.0380027266530334</v>
      </c>
      <c r="W782" s="13" t="n">
        <f aca="false">IF(U782=0,"",K782/U782-1)</f>
        <v>-0.532798489853705</v>
      </c>
      <c r="X782" s="11" t="n">
        <v>12273</v>
      </c>
      <c r="Y782" s="5" t="s">
        <v>1388</v>
      </c>
      <c r="Z782" s="5" t="s">
        <v>1390</v>
      </c>
      <c r="AA782" s="5" t="s">
        <v>1389</v>
      </c>
      <c r="AB782" s="5"/>
      <c r="AC782" s="5" t="s">
        <v>2479</v>
      </c>
      <c r="AD782" s="14" t="n">
        <v>46288.771875</v>
      </c>
    </row>
    <row r="783" customFormat="false" ht="15" hidden="false" customHeight="false" outlineLevel="0" collapsed="false">
      <c r="A783" s="5" t="s">
        <v>2480</v>
      </c>
      <c r="B783" s="5" t="s">
        <v>2481</v>
      </c>
      <c r="C783" s="5" t="s">
        <v>55</v>
      </c>
      <c r="D783" s="5" t="s">
        <v>56</v>
      </c>
      <c r="E783" s="5" t="s">
        <v>273</v>
      </c>
      <c r="F783" s="5" t="s">
        <v>274</v>
      </c>
      <c r="G783" s="5" t="s">
        <v>59</v>
      </c>
      <c r="H783" s="5" t="s">
        <v>60</v>
      </c>
      <c r="I783" s="6" t="n">
        <v>0.083333</v>
      </c>
      <c r="J783" s="7" t="n">
        <f aca="false">IF(I783="","",1/I783)</f>
        <v>12.000048000192</v>
      </c>
      <c r="K783" s="8" t="n">
        <v>50.01</v>
      </c>
      <c r="L783" s="9" t="n">
        <v>0.45</v>
      </c>
      <c r="M783" s="10" t="n">
        <v>0.0091</v>
      </c>
      <c r="N783" s="8" t="n">
        <v>49.81</v>
      </c>
      <c r="O783" s="8" t="n">
        <v>49.66</v>
      </c>
      <c r="P783" s="8" t="n">
        <v>50.15</v>
      </c>
      <c r="Q783" s="8" t="n">
        <v>50.01</v>
      </c>
      <c r="R783" s="11" t="n">
        <v>4470</v>
      </c>
      <c r="S783" s="11" t="n">
        <f aca="false">K783*R783</f>
        <v>223544.7</v>
      </c>
      <c r="T783" s="8" t="n">
        <v>49.56</v>
      </c>
      <c r="U783" s="8" t="n">
        <v>79.9999992</v>
      </c>
      <c r="V783" s="12" t="n">
        <f aca="false">IF(U783-T783=0,"",(K783-T783)/(U783-T783))</f>
        <v>0.0147831804148009</v>
      </c>
      <c r="W783" s="13" t="n">
        <f aca="false">IF(U783=0,"",K783/U783-1)</f>
        <v>-0.37487499374875</v>
      </c>
      <c r="X783" s="11" t="n">
        <v>102771</v>
      </c>
      <c r="Y783" s="5" t="s">
        <v>273</v>
      </c>
      <c r="Z783" s="5" t="s">
        <v>275</v>
      </c>
      <c r="AA783" s="5" t="s">
        <v>274</v>
      </c>
      <c r="AB783" s="5"/>
      <c r="AC783" s="5" t="s">
        <v>2482</v>
      </c>
      <c r="AD783" s="14" t="n">
        <v>46288.771875</v>
      </c>
    </row>
    <row r="784" customFormat="false" ht="15" hidden="false" customHeight="false" outlineLevel="0" collapsed="false">
      <c r="A784" s="5" t="s">
        <v>2483</v>
      </c>
      <c r="B784" s="5" t="s">
        <v>2484</v>
      </c>
      <c r="C784" s="5" t="s">
        <v>55</v>
      </c>
      <c r="D784" s="5" t="s">
        <v>56</v>
      </c>
      <c r="E784" s="5" t="s">
        <v>1388</v>
      </c>
      <c r="F784" s="5" t="s">
        <v>1389</v>
      </c>
      <c r="G784" s="5" t="s">
        <v>59</v>
      </c>
      <c r="H784" s="5"/>
      <c r="I784" s="6"/>
      <c r="J784" s="7" t="str">
        <f aca="false">IF(I784="","",1/I784)</f>
        <v/>
      </c>
      <c r="K784" s="8" t="n">
        <v>6.23</v>
      </c>
      <c r="L784" s="9" t="n">
        <v>0.13</v>
      </c>
      <c r="M784" s="10" t="n">
        <v>0.0213</v>
      </c>
      <c r="N784" s="8" t="n">
        <v>6.17</v>
      </c>
      <c r="O784" s="8" t="n">
        <v>6.11</v>
      </c>
      <c r="P784" s="8" t="n">
        <v>6.23</v>
      </c>
      <c r="Q784" s="8" t="n">
        <v>6.23</v>
      </c>
      <c r="R784" s="11" t="n">
        <v>218</v>
      </c>
      <c r="S784" s="11" t="n">
        <f aca="false">K784*R784</f>
        <v>1358.14</v>
      </c>
      <c r="T784" s="8" t="n">
        <v>4.61</v>
      </c>
      <c r="U784" s="8" t="n">
        <v>7.2</v>
      </c>
      <c r="V784" s="12" t="n">
        <f aca="false">IF(U784-T784=0,"",(K784-T784)/(U784-T784))</f>
        <v>0.625482625482626</v>
      </c>
      <c r="W784" s="13" t="n">
        <f aca="false">IF(U784=0,"",K784/U784-1)</f>
        <v>-0.134722222222222</v>
      </c>
      <c r="X784" s="11" t="n">
        <v>29253</v>
      </c>
      <c r="Y784" s="5" t="s">
        <v>1388</v>
      </c>
      <c r="Z784" s="5" t="s">
        <v>1390</v>
      </c>
      <c r="AA784" s="5" t="s">
        <v>1389</v>
      </c>
      <c r="AB784" s="5" t="s">
        <v>111</v>
      </c>
      <c r="AC784" s="5" t="s">
        <v>2485</v>
      </c>
      <c r="AD784" s="14" t="n">
        <v>46288.771875</v>
      </c>
    </row>
    <row r="785" customFormat="false" ht="15" hidden="false" customHeight="false" outlineLevel="0" collapsed="false">
      <c r="A785" s="5" t="s">
        <v>2486</v>
      </c>
      <c r="B785" s="5" t="s">
        <v>2487</v>
      </c>
      <c r="C785" s="5" t="s">
        <v>55</v>
      </c>
      <c r="D785" s="5" t="s">
        <v>56</v>
      </c>
      <c r="E785" s="5" t="s">
        <v>115</v>
      </c>
      <c r="F785" s="5" t="s">
        <v>116</v>
      </c>
      <c r="G785" s="5" t="s">
        <v>59</v>
      </c>
      <c r="H785" s="5" t="s">
        <v>60</v>
      </c>
      <c r="I785" s="6" t="n">
        <v>0.05</v>
      </c>
      <c r="J785" s="7" t="n">
        <f aca="false">IF(I785="","",1/I785)</f>
        <v>20</v>
      </c>
      <c r="K785" s="8" t="n">
        <v>50.28</v>
      </c>
      <c r="L785" s="9" t="n">
        <v>2.28</v>
      </c>
      <c r="M785" s="10" t="n">
        <v>0.0475</v>
      </c>
      <c r="N785" s="8" t="n">
        <v>49.41</v>
      </c>
      <c r="O785" s="8" t="n">
        <v>49.41</v>
      </c>
      <c r="P785" s="8" t="n">
        <v>50.55</v>
      </c>
      <c r="Q785" s="8" t="n">
        <v>50.28</v>
      </c>
      <c r="R785" s="11" t="n">
        <v>6249</v>
      </c>
      <c r="S785" s="11" t="n">
        <f aca="false">K785*R785</f>
        <v>314199.72</v>
      </c>
      <c r="T785" s="8" t="n">
        <v>14.26</v>
      </c>
      <c r="U785" s="8" t="n">
        <v>50.84</v>
      </c>
      <c r="V785" s="12" t="n">
        <f aca="false">IF(U785-T785=0,"",(K785-T785)/(U785-T785))</f>
        <v>0.984691088026244</v>
      </c>
      <c r="W785" s="13" t="n">
        <f aca="false">IF(U785=0,"",K785/U785-1)</f>
        <v>-0.0110149488591661</v>
      </c>
      <c r="X785" s="11" t="n">
        <v>244394</v>
      </c>
      <c r="Y785" s="5" t="s">
        <v>115</v>
      </c>
      <c r="Z785" s="5" t="s">
        <v>117</v>
      </c>
      <c r="AA785" s="5" t="s">
        <v>116</v>
      </c>
      <c r="AB785" s="5"/>
      <c r="AC785" s="5" t="s">
        <v>2488</v>
      </c>
      <c r="AD785" s="14" t="n">
        <v>46288.771875</v>
      </c>
    </row>
    <row r="786" customFormat="false" ht="15" hidden="false" customHeight="false" outlineLevel="0" collapsed="false">
      <c r="A786" s="5" t="s">
        <v>2489</v>
      </c>
      <c r="B786" s="5" t="s">
        <v>2490</v>
      </c>
      <c r="C786" s="5" t="s">
        <v>55</v>
      </c>
      <c r="D786" s="5" t="s">
        <v>56</v>
      </c>
      <c r="E786" s="5" t="s">
        <v>99</v>
      </c>
      <c r="F786" s="5" t="s">
        <v>100</v>
      </c>
      <c r="G786" s="5" t="s">
        <v>59</v>
      </c>
      <c r="H786" s="5" t="s">
        <v>60</v>
      </c>
      <c r="I786" s="6" t="n">
        <v>0.033333333</v>
      </c>
      <c r="J786" s="7" t="n">
        <f aca="false">IF(I786="","",1/I786)</f>
        <v>30.0000003</v>
      </c>
      <c r="K786" s="8" t="n">
        <v>12.48</v>
      </c>
      <c r="L786" s="9" t="n">
        <v>0.02</v>
      </c>
      <c r="M786" s="10" t="n">
        <v>0.0016</v>
      </c>
      <c r="N786" s="8" t="n">
        <v>12.48</v>
      </c>
      <c r="O786" s="8" t="n">
        <v>12.48</v>
      </c>
      <c r="P786" s="8" t="n">
        <v>12.48</v>
      </c>
      <c r="Q786" s="8" t="n">
        <v>12.48</v>
      </c>
      <c r="R786" s="11" t="n">
        <v>200</v>
      </c>
      <c r="S786" s="11" t="n">
        <f aca="false">K786*R786</f>
        <v>2496</v>
      </c>
      <c r="T786" s="8" t="n">
        <v>7.34</v>
      </c>
      <c r="U786" s="8" t="n">
        <v>12.6</v>
      </c>
      <c r="V786" s="12" t="n">
        <f aca="false">IF(U786-T786=0,"",(K786-T786)/(U786-T786))</f>
        <v>0.977186311787072</v>
      </c>
      <c r="W786" s="13" t="n">
        <f aca="false">IF(U786=0,"",K786/U786-1)</f>
        <v>-0.00952380952380949</v>
      </c>
      <c r="X786" s="11" t="n">
        <v>58225</v>
      </c>
      <c r="Y786" s="5" t="s">
        <v>99</v>
      </c>
      <c r="Z786" s="5" t="s">
        <v>101</v>
      </c>
      <c r="AA786" s="5" t="s">
        <v>100</v>
      </c>
      <c r="AB786" s="5"/>
      <c r="AC786" s="5" t="s">
        <v>2491</v>
      </c>
      <c r="AD786" s="14" t="n">
        <v>46288.771875</v>
      </c>
    </row>
    <row r="787" customFormat="false" ht="15" hidden="false" customHeight="false" outlineLevel="0" collapsed="false">
      <c r="A787" s="5" t="s">
        <v>2492</v>
      </c>
      <c r="B787" s="5" t="s">
        <v>2493</v>
      </c>
      <c r="C787" s="5" t="s">
        <v>55</v>
      </c>
      <c r="D787" s="5" t="s">
        <v>56</v>
      </c>
      <c r="E787" s="5" t="s">
        <v>77</v>
      </c>
      <c r="F787" s="5" t="s">
        <v>78</v>
      </c>
      <c r="G787" s="5" t="s">
        <v>59</v>
      </c>
      <c r="H787" s="5" t="s">
        <v>60</v>
      </c>
      <c r="I787" s="6" t="n">
        <v>0.02</v>
      </c>
      <c r="J787" s="7" t="n">
        <f aca="false">IF(I787="","",1/I787)</f>
        <v>50</v>
      </c>
      <c r="K787" s="8" t="n">
        <v>114.61</v>
      </c>
      <c r="L787" s="9" t="n">
        <v>1.47</v>
      </c>
      <c r="M787" s="10" t="n">
        <v>0.013</v>
      </c>
      <c r="N787" s="8" t="n">
        <v>114.72</v>
      </c>
      <c r="O787" s="8" t="n">
        <v>114.28</v>
      </c>
      <c r="P787" s="8" t="n">
        <v>116.26</v>
      </c>
      <c r="Q787" s="8" t="n">
        <v>114.61</v>
      </c>
      <c r="R787" s="11" t="n">
        <v>177</v>
      </c>
      <c r="S787" s="11" t="n">
        <f aca="false">K787*R787</f>
        <v>20285.97</v>
      </c>
      <c r="T787" s="8" t="n">
        <v>110.67</v>
      </c>
      <c r="U787" s="8" t="n">
        <v>157</v>
      </c>
      <c r="V787" s="12" t="n">
        <f aca="false">IF(U787-T787=0,"",(K787-T787)/(U787-T787))</f>
        <v>0.0850420893589466</v>
      </c>
      <c r="W787" s="13" t="n">
        <f aca="false">IF(U787=0,"",K787/U787-1)</f>
        <v>-0.27</v>
      </c>
      <c r="X787" s="11" t="n">
        <v>314691</v>
      </c>
      <c r="Y787" s="5" t="s">
        <v>77</v>
      </c>
      <c r="Z787" s="5" t="s">
        <v>79</v>
      </c>
      <c r="AA787" s="5" t="s">
        <v>78</v>
      </c>
      <c r="AB787" s="5"/>
      <c r="AC787" s="5" t="s">
        <v>2494</v>
      </c>
      <c r="AD787" s="14" t="n">
        <v>46288.771875</v>
      </c>
    </row>
    <row r="788" customFormat="false" ht="15" hidden="false" customHeight="false" outlineLevel="0" collapsed="false">
      <c r="A788" s="5" t="s">
        <v>2495</v>
      </c>
      <c r="B788" s="5" t="s">
        <v>2496</v>
      </c>
      <c r="C788" s="5" t="s">
        <v>55</v>
      </c>
      <c r="D788" s="5" t="s">
        <v>56</v>
      </c>
      <c r="E788" s="5" t="s">
        <v>370</v>
      </c>
      <c r="F788" s="5" t="s">
        <v>371</v>
      </c>
      <c r="G788" s="5" t="s">
        <v>59</v>
      </c>
      <c r="H788" s="5" t="s">
        <v>60</v>
      </c>
      <c r="I788" s="6" t="n">
        <v>1</v>
      </c>
      <c r="J788" s="7" t="n">
        <f aca="false">IF(I788="","",1/I788)</f>
        <v>1</v>
      </c>
      <c r="K788" s="8" t="n">
        <v>381.08</v>
      </c>
      <c r="L788" s="9" t="n">
        <v>-2.92</v>
      </c>
      <c r="M788" s="10" t="n">
        <v>-0.0076</v>
      </c>
      <c r="N788" s="8" t="n">
        <v>381.08</v>
      </c>
      <c r="O788" s="8" t="n">
        <v>381.08</v>
      </c>
      <c r="P788" s="8" t="n">
        <v>381.08</v>
      </c>
      <c r="Q788" s="8" t="n">
        <v>381.08</v>
      </c>
      <c r="R788" s="11" t="n">
        <v>3</v>
      </c>
      <c r="S788" s="11" t="n">
        <f aca="false">K788*R788</f>
        <v>1143.24</v>
      </c>
      <c r="T788" s="8" t="n">
        <v>225.4</v>
      </c>
      <c r="U788" s="8" t="n">
        <v>410.86</v>
      </c>
      <c r="V788" s="12" t="n">
        <f aca="false">IF(U788-T788=0,"",(K788-T788)/(U788-T788))</f>
        <v>0.839426291383587</v>
      </c>
      <c r="W788" s="13" t="n">
        <f aca="false">IF(U788=0,"",K788/U788-1)</f>
        <v>-0.0724821106946406</v>
      </c>
      <c r="X788" s="11" t="n">
        <v>142134</v>
      </c>
      <c r="Y788" s="5" t="s">
        <v>370</v>
      </c>
      <c r="Z788" s="5" t="s">
        <v>372</v>
      </c>
      <c r="AA788" s="5" t="s">
        <v>371</v>
      </c>
      <c r="AB788" s="5"/>
      <c r="AC788" s="5" t="s">
        <v>2497</v>
      </c>
      <c r="AD788" s="14" t="n">
        <v>46288.771875</v>
      </c>
    </row>
    <row r="789" customFormat="false" ht="15" hidden="false" customHeight="false" outlineLevel="0" collapsed="false">
      <c r="A789" s="5" t="s">
        <v>2498</v>
      </c>
      <c r="B789" s="5" t="s">
        <v>2499</v>
      </c>
      <c r="C789" s="5" t="s">
        <v>55</v>
      </c>
      <c r="D789" s="5" t="s">
        <v>56</v>
      </c>
      <c r="E789" s="5" t="s">
        <v>77</v>
      </c>
      <c r="F789" s="5" t="s">
        <v>78</v>
      </c>
      <c r="G789" s="5" t="s">
        <v>59</v>
      </c>
      <c r="H789" s="5" t="s">
        <v>60</v>
      </c>
      <c r="I789" s="6" t="n">
        <v>0.0625</v>
      </c>
      <c r="J789" s="7" t="n">
        <f aca="false">IF(I789="","",1/I789)</f>
        <v>16</v>
      </c>
      <c r="K789" s="8" t="n">
        <v>69.65</v>
      </c>
      <c r="L789" s="9" t="n">
        <v>2.03</v>
      </c>
      <c r="M789" s="10" t="n">
        <v>0.03</v>
      </c>
      <c r="N789" s="8" t="n">
        <v>69.02</v>
      </c>
      <c r="O789" s="8" t="n">
        <v>67.9</v>
      </c>
      <c r="P789" s="8" t="n">
        <v>69.79</v>
      </c>
      <c r="Q789" s="8" t="n">
        <v>69.65</v>
      </c>
      <c r="R789" s="11" t="n">
        <v>91</v>
      </c>
      <c r="S789" s="11" t="n">
        <f aca="false">K789*R789</f>
        <v>6338.15</v>
      </c>
      <c r="T789" s="8" t="n">
        <v>57.625</v>
      </c>
      <c r="U789" s="8" t="n">
        <v>82.875</v>
      </c>
      <c r="V789" s="12" t="n">
        <f aca="false">IF(U789-T789=0,"",(K789-T789)/(U789-T789))</f>
        <v>0.476237623762376</v>
      </c>
      <c r="W789" s="13" t="n">
        <f aca="false">IF(U789=0,"",K789/U789-1)</f>
        <v>-0.159577677224736</v>
      </c>
      <c r="X789" s="11" t="n">
        <v>316301</v>
      </c>
      <c r="Y789" s="5" t="s">
        <v>77</v>
      </c>
      <c r="Z789" s="5" t="s">
        <v>79</v>
      </c>
      <c r="AA789" s="5" t="s">
        <v>78</v>
      </c>
      <c r="AB789" s="5"/>
      <c r="AC789" s="5" t="s">
        <v>2500</v>
      </c>
      <c r="AD789" s="14" t="n">
        <v>46288.771875</v>
      </c>
    </row>
    <row r="790" customFormat="false" ht="15" hidden="false" customHeight="false" outlineLevel="0" collapsed="false">
      <c r="A790" s="5" t="s">
        <v>2501</v>
      </c>
      <c r="B790" s="5" t="s">
        <v>2502</v>
      </c>
      <c r="C790" s="5" t="s">
        <v>55</v>
      </c>
      <c r="D790" s="5" t="s">
        <v>56</v>
      </c>
      <c r="E790" s="5" t="s">
        <v>99</v>
      </c>
      <c r="F790" s="5" t="s">
        <v>100</v>
      </c>
      <c r="G790" s="5" t="s">
        <v>59</v>
      </c>
      <c r="H790" s="5" t="s">
        <v>86</v>
      </c>
      <c r="I790" s="6" t="n">
        <v>0.5</v>
      </c>
      <c r="J790" s="7" t="n">
        <f aca="false">IF(I790="","",1/I790)</f>
        <v>2</v>
      </c>
      <c r="K790" s="8" t="n">
        <v>100.6</v>
      </c>
      <c r="L790" s="9" t="n">
        <v>1.96</v>
      </c>
      <c r="M790" s="10" t="n">
        <v>0.0199</v>
      </c>
      <c r="N790" s="8" t="n">
        <v>101.2</v>
      </c>
      <c r="O790" s="8" t="n">
        <v>100.2</v>
      </c>
      <c r="P790" s="8" t="n">
        <v>101.2</v>
      </c>
      <c r="Q790" s="8" t="n">
        <v>100.6</v>
      </c>
      <c r="R790" s="11" t="n">
        <v>13</v>
      </c>
      <c r="S790" s="11" t="n">
        <f aca="false">K790*R790</f>
        <v>1307.8</v>
      </c>
      <c r="T790" s="8" t="n">
        <v>49.55</v>
      </c>
      <c r="U790" s="8" t="n">
        <v>101.2</v>
      </c>
      <c r="V790" s="12" t="n">
        <f aca="false">IF(U790-T790=0,"",(K790-T790)/(U790-T790))</f>
        <v>0.98838334946757</v>
      </c>
      <c r="W790" s="13" t="n">
        <f aca="false">IF(U790=0,"",K790/U790-1)</f>
        <v>-0.00592885375494079</v>
      </c>
      <c r="X790" s="11" t="n">
        <v>238520</v>
      </c>
      <c r="Y790" s="5" t="s">
        <v>99</v>
      </c>
      <c r="Z790" s="5" t="s">
        <v>101</v>
      </c>
      <c r="AA790" s="5" t="s">
        <v>100</v>
      </c>
      <c r="AB790" s="5"/>
      <c r="AC790" s="5" t="s">
        <v>2503</v>
      </c>
      <c r="AD790" s="14" t="n">
        <v>46288.771875</v>
      </c>
    </row>
    <row r="791" customFormat="false" ht="15" hidden="false" customHeight="false" outlineLevel="0" collapsed="false">
      <c r="A791" s="5" t="s">
        <v>2504</v>
      </c>
      <c r="B791" s="5" t="s">
        <v>2505</v>
      </c>
      <c r="C791" s="5" t="s">
        <v>55</v>
      </c>
      <c r="D791" s="5" t="s">
        <v>56</v>
      </c>
      <c r="E791" s="5" t="s">
        <v>324</v>
      </c>
      <c r="F791" s="5" t="s">
        <v>325</v>
      </c>
      <c r="G791" s="5" t="s">
        <v>59</v>
      </c>
      <c r="H791" s="5" t="s">
        <v>86</v>
      </c>
      <c r="I791" s="6" t="n">
        <v>0.5</v>
      </c>
      <c r="J791" s="7" t="n">
        <f aca="false">IF(I791="","",1/I791)</f>
        <v>2</v>
      </c>
      <c r="K791" s="8" t="n">
        <v>34.95</v>
      </c>
      <c r="L791" s="9" t="n">
        <v>-4.21</v>
      </c>
      <c r="M791" s="10" t="n">
        <v>-0.1075</v>
      </c>
      <c r="N791" s="8" t="n">
        <v>35</v>
      </c>
      <c r="O791" s="8" t="n">
        <v>34.92</v>
      </c>
      <c r="P791" s="8" t="n">
        <v>35.07</v>
      </c>
      <c r="Q791" s="8" t="n">
        <v>34.95</v>
      </c>
      <c r="R791" s="11" t="n">
        <v>40</v>
      </c>
      <c r="S791" s="11" t="n">
        <f aca="false">K791*R791</f>
        <v>1398</v>
      </c>
      <c r="T791" s="8" t="n">
        <v>34.4</v>
      </c>
      <c r="U791" s="8" t="n">
        <v>59.45</v>
      </c>
      <c r="V791" s="12" t="n">
        <f aca="false">IF(U791-T791=0,"",(K791-T791)/(U791-T791))</f>
        <v>0.0219560878243515</v>
      </c>
      <c r="W791" s="13" t="n">
        <f aca="false">IF(U791=0,"",K791/U791-1)</f>
        <v>-0.412111017661901</v>
      </c>
      <c r="X791" s="11" t="n">
        <v>70124</v>
      </c>
      <c r="Y791" s="5" t="s">
        <v>324</v>
      </c>
      <c r="Z791" s="5" t="s">
        <v>326</v>
      </c>
      <c r="AA791" s="5" t="s">
        <v>325</v>
      </c>
      <c r="AB791" s="5"/>
      <c r="AC791" s="5" t="s">
        <v>2506</v>
      </c>
      <c r="AD791" s="14" t="n">
        <v>46288.771875</v>
      </c>
    </row>
    <row r="792" customFormat="false" ht="15" hidden="false" customHeight="false" outlineLevel="0" collapsed="false">
      <c r="A792" s="5" t="s">
        <v>2507</v>
      </c>
      <c r="B792" s="5" t="s">
        <v>2508</v>
      </c>
      <c r="C792" s="5" t="s">
        <v>55</v>
      </c>
      <c r="D792" s="5" t="s">
        <v>56</v>
      </c>
      <c r="E792" s="5" t="s">
        <v>324</v>
      </c>
      <c r="F792" s="5" t="s">
        <v>325</v>
      </c>
      <c r="G792" s="5" t="s">
        <v>59</v>
      </c>
      <c r="H792" s="5" t="s">
        <v>60</v>
      </c>
      <c r="I792" s="6" t="n">
        <v>0.071429</v>
      </c>
      <c r="J792" s="7" t="n">
        <f aca="false">IF(I792="","",1/I792)</f>
        <v>13.999916000504</v>
      </c>
      <c r="K792" s="8" t="n">
        <v>61.12</v>
      </c>
      <c r="L792" s="9" t="n">
        <v>1.85</v>
      </c>
      <c r="M792" s="10" t="n">
        <v>0.0312</v>
      </c>
      <c r="N792" s="8" t="n">
        <v>59.4</v>
      </c>
      <c r="O792" s="8" t="n">
        <v>59.4</v>
      </c>
      <c r="P792" s="8" t="n">
        <v>61.2</v>
      </c>
      <c r="Q792" s="8" t="n">
        <v>61.12</v>
      </c>
      <c r="R792" s="11" t="n">
        <v>303</v>
      </c>
      <c r="S792" s="11" t="n">
        <f aca="false">K792*R792</f>
        <v>18519.36</v>
      </c>
      <c r="T792" s="8" t="n">
        <v>59.13</v>
      </c>
      <c r="U792" s="8" t="n">
        <v>91.15428389</v>
      </c>
      <c r="V792" s="12" t="n">
        <f aca="false">IF(U792-T792=0,"",(K792-T792)/(U792-T792))</f>
        <v>0.0621403434604637</v>
      </c>
      <c r="W792" s="13" t="n">
        <f aca="false">IF(U792=0,"",K792/U792-1)</f>
        <v>-0.329488451977131</v>
      </c>
      <c r="X792" s="11" t="n">
        <v>891569</v>
      </c>
      <c r="Y792" s="5" t="s">
        <v>324</v>
      </c>
      <c r="Z792" s="5" t="s">
        <v>326</v>
      </c>
      <c r="AA792" s="5" t="s">
        <v>325</v>
      </c>
      <c r="AB792" s="5"/>
      <c r="AC792" s="5" t="s">
        <v>2509</v>
      </c>
      <c r="AD792" s="14" t="n">
        <v>46288.771875</v>
      </c>
    </row>
    <row r="793" customFormat="false" ht="15" hidden="false" customHeight="false" outlineLevel="0" collapsed="false">
      <c r="A793" s="5" t="s">
        <v>2510</v>
      </c>
      <c r="B793" s="5" t="s">
        <v>2511</v>
      </c>
      <c r="C793" s="5" t="s">
        <v>55</v>
      </c>
      <c r="D793" s="5" t="s">
        <v>56</v>
      </c>
      <c r="E793" s="5" t="s">
        <v>71</v>
      </c>
      <c r="F793" s="5" t="s">
        <v>72</v>
      </c>
      <c r="G793" s="5" t="s">
        <v>59</v>
      </c>
      <c r="H793" s="5" t="s">
        <v>60</v>
      </c>
      <c r="I793" s="6" t="n">
        <v>0.0416667</v>
      </c>
      <c r="J793" s="7" t="n">
        <f aca="false">IF(I793="","",1/I793)</f>
        <v>23.9999808000154</v>
      </c>
      <c r="K793" s="8" t="n">
        <v>36.65</v>
      </c>
      <c r="L793" s="9" t="n">
        <v>-0.72</v>
      </c>
      <c r="M793" s="10" t="n">
        <v>-0.0193</v>
      </c>
      <c r="N793" s="8" t="n">
        <v>37.06</v>
      </c>
      <c r="O793" s="8" t="n">
        <v>36.65</v>
      </c>
      <c r="P793" s="8" t="n">
        <v>37.06</v>
      </c>
      <c r="Q793" s="8" t="n">
        <v>36.65</v>
      </c>
      <c r="R793" s="11" t="n">
        <v>127</v>
      </c>
      <c r="S793" s="11" t="n">
        <f aca="false">K793*R793</f>
        <v>4654.55</v>
      </c>
      <c r="T793" s="8" t="n">
        <v>34.25</v>
      </c>
      <c r="U793" s="8" t="n">
        <v>45.01</v>
      </c>
      <c r="V793" s="12" t="n">
        <f aca="false">IF(U793-T793=0,"",(K793-T793)/(U793-T793))</f>
        <v>0.223048327137546</v>
      </c>
      <c r="W793" s="13" t="n">
        <f aca="false">IF(U793=0,"",K793/U793-1)</f>
        <v>-0.185736502999334</v>
      </c>
      <c r="X793" s="11" t="n">
        <v>417909</v>
      </c>
      <c r="Y793" s="5" t="s">
        <v>71</v>
      </c>
      <c r="Z793" s="5" t="s">
        <v>73</v>
      </c>
      <c r="AA793" s="5" t="s">
        <v>72</v>
      </c>
      <c r="AB793" s="5"/>
      <c r="AC793" s="5" t="s">
        <v>2512</v>
      </c>
      <c r="AD793" s="14" t="n">
        <v>46288.771875</v>
      </c>
    </row>
    <row r="794" customFormat="false" ht="15" hidden="false" customHeight="false" outlineLevel="0" collapsed="false">
      <c r="A794" s="5" t="s">
        <v>2513</v>
      </c>
      <c r="B794" s="5" t="s">
        <v>2514</v>
      </c>
      <c r="C794" s="5" t="s">
        <v>55</v>
      </c>
      <c r="D794" s="5" t="s">
        <v>56</v>
      </c>
      <c r="E794" s="5" t="s">
        <v>182</v>
      </c>
      <c r="F794" s="5" t="s">
        <v>183</v>
      </c>
      <c r="G794" s="5" t="s">
        <v>59</v>
      </c>
      <c r="H794" s="5" t="s">
        <v>60</v>
      </c>
      <c r="I794" s="6" t="n">
        <v>1</v>
      </c>
      <c r="J794" s="7" t="n">
        <f aca="false">IF(I794="","",1/I794)</f>
        <v>1</v>
      </c>
      <c r="K794" s="8" t="n">
        <v>41.84</v>
      </c>
      <c r="L794" s="9" t="n">
        <v>-2.91</v>
      </c>
      <c r="M794" s="10" t="n">
        <v>-0.065</v>
      </c>
      <c r="N794" s="8" t="n">
        <v>42.39</v>
      </c>
      <c r="O794" s="8" t="n">
        <v>41.84</v>
      </c>
      <c r="P794" s="8" t="n">
        <v>42.39</v>
      </c>
      <c r="Q794" s="8" t="n">
        <v>41.84</v>
      </c>
      <c r="R794" s="11" t="n">
        <v>78</v>
      </c>
      <c r="S794" s="11" t="n">
        <f aca="false">K794*R794</f>
        <v>3263.52</v>
      </c>
      <c r="T794" s="8" t="n">
        <v>41.84</v>
      </c>
      <c r="U794" s="8" t="n">
        <v>102.3</v>
      </c>
      <c r="V794" s="12" t="n">
        <f aca="false">IF(U794-T794=0,"",(K794-T794)/(U794-T794))</f>
        <v>0</v>
      </c>
      <c r="W794" s="13" t="n">
        <f aca="false">IF(U794=0,"",K794/U794-1)</f>
        <v>-0.591006842619746</v>
      </c>
      <c r="X794" s="11" t="n">
        <v>5128</v>
      </c>
      <c r="Y794" s="5" t="s">
        <v>182</v>
      </c>
      <c r="Z794" s="5" t="s">
        <v>184</v>
      </c>
      <c r="AA794" s="5" t="s">
        <v>183</v>
      </c>
      <c r="AB794" s="5"/>
      <c r="AC794" s="5" t="s">
        <v>2515</v>
      </c>
      <c r="AD794" s="14" t="n">
        <v>46288.771875</v>
      </c>
    </row>
    <row r="795" customFormat="false" ht="15" hidden="false" customHeight="false" outlineLevel="0" collapsed="false">
      <c r="A795" s="5" t="s">
        <v>2516</v>
      </c>
      <c r="B795" s="5" t="s">
        <v>2517</v>
      </c>
      <c r="C795" s="5" t="s">
        <v>55</v>
      </c>
      <c r="D795" s="5" t="s">
        <v>56</v>
      </c>
      <c r="E795" s="5" t="s">
        <v>71</v>
      </c>
      <c r="F795" s="5" t="s">
        <v>72</v>
      </c>
      <c r="G795" s="5" t="s">
        <v>59</v>
      </c>
      <c r="H795" s="5" t="s">
        <v>60</v>
      </c>
      <c r="I795" s="6" t="n">
        <v>0.5</v>
      </c>
      <c r="J795" s="7" t="n">
        <f aca="false">IF(I795="","",1/I795)</f>
        <v>2</v>
      </c>
      <c r="K795" s="8" t="n">
        <v>272.16</v>
      </c>
      <c r="L795" s="9" t="n">
        <v>4.62</v>
      </c>
      <c r="M795" s="10" t="n">
        <v>0.0173</v>
      </c>
      <c r="N795" s="8" t="n">
        <v>272.16</v>
      </c>
      <c r="O795" s="8" t="n">
        <v>272.16</v>
      </c>
      <c r="P795" s="8" t="n">
        <v>272.16</v>
      </c>
      <c r="Q795" s="8" t="n">
        <v>272.16</v>
      </c>
      <c r="R795" s="11" t="n">
        <v>1</v>
      </c>
      <c r="S795" s="11" t="n">
        <f aca="false">K795*R795</f>
        <v>272.16</v>
      </c>
      <c r="T795" s="8" t="n">
        <v>229.3</v>
      </c>
      <c r="U795" s="8" t="n">
        <v>311.41</v>
      </c>
      <c r="V795" s="12" t="n">
        <f aca="false">IF(U795-T795=0,"",(K795-T795)/(U795-T795))</f>
        <v>0.521982706125929</v>
      </c>
      <c r="W795" s="13" t="n">
        <f aca="false">IF(U795=0,"",K795/U795-1)</f>
        <v>-0.126039626216242</v>
      </c>
      <c r="X795" s="11" t="n">
        <v>113721</v>
      </c>
      <c r="Y795" s="5" t="s">
        <v>71</v>
      </c>
      <c r="Z795" s="5" t="s">
        <v>73</v>
      </c>
      <c r="AA795" s="5" t="s">
        <v>72</v>
      </c>
      <c r="AB795" s="5"/>
      <c r="AC795" s="5" t="s">
        <v>2518</v>
      </c>
      <c r="AD795" s="14" t="n">
        <v>46288.771875</v>
      </c>
    </row>
    <row r="796" customFormat="false" ht="15" hidden="false" customHeight="false" outlineLevel="0" collapsed="false">
      <c r="A796" s="5" t="s">
        <v>2519</v>
      </c>
      <c r="B796" s="5" t="s">
        <v>2520</v>
      </c>
      <c r="C796" s="5" t="s">
        <v>55</v>
      </c>
      <c r="D796" s="5" t="s">
        <v>56</v>
      </c>
      <c r="E796" s="5" t="s">
        <v>57</v>
      </c>
      <c r="F796" s="5" t="s">
        <v>58</v>
      </c>
      <c r="G796" s="5" t="s">
        <v>59</v>
      </c>
      <c r="H796" s="5" t="s">
        <v>60</v>
      </c>
      <c r="I796" s="6" t="n">
        <v>0.055555</v>
      </c>
      <c r="J796" s="7" t="n">
        <f aca="false">IF(I796="","",1/I796)</f>
        <v>18.0001800018</v>
      </c>
      <c r="K796" s="8" t="n">
        <v>9.37</v>
      </c>
      <c r="L796" s="9" t="n">
        <v>0.16</v>
      </c>
      <c r="M796" s="10" t="n">
        <v>0.0174</v>
      </c>
      <c r="N796" s="8" t="n">
        <v>9.36</v>
      </c>
      <c r="O796" s="8" t="n">
        <v>9.36</v>
      </c>
      <c r="P796" s="8" t="n">
        <v>9.37</v>
      </c>
      <c r="Q796" s="8" t="n">
        <v>9.37</v>
      </c>
      <c r="R796" s="11" t="n">
        <v>2</v>
      </c>
      <c r="S796" s="11" t="n">
        <f aca="false">K796*R796</f>
        <v>18.74</v>
      </c>
      <c r="T796" s="8" t="n">
        <v>8</v>
      </c>
      <c r="U796" s="8" t="n">
        <v>17.18</v>
      </c>
      <c r="V796" s="12" t="n">
        <f aca="false">IF(U796-T796=0,"",(K796-T796)/(U796-T796))</f>
        <v>0.149237472766884</v>
      </c>
      <c r="W796" s="13" t="n">
        <f aca="false">IF(U796=0,"",K796/U796-1)</f>
        <v>-0.454598370197905</v>
      </c>
      <c r="X796" s="11" t="n">
        <v>87569</v>
      </c>
      <c r="Y796" s="5" t="s">
        <v>57</v>
      </c>
      <c r="Z796" s="5" t="s">
        <v>61</v>
      </c>
      <c r="AA796" s="5" t="s">
        <v>58</v>
      </c>
      <c r="AB796" s="5"/>
      <c r="AC796" s="5" t="s">
        <v>2521</v>
      </c>
      <c r="AD796" s="14" t="n">
        <v>46288.771875</v>
      </c>
    </row>
    <row r="797" customFormat="false" ht="15" hidden="false" customHeight="false" outlineLevel="0" collapsed="false">
      <c r="A797" s="5" t="s">
        <v>2522</v>
      </c>
      <c r="B797" s="5" t="s">
        <v>2523</v>
      </c>
      <c r="C797" s="5" t="s">
        <v>55</v>
      </c>
      <c r="D797" s="5" t="s">
        <v>56</v>
      </c>
      <c r="E797" s="5" t="s">
        <v>90</v>
      </c>
      <c r="F797" s="5" t="s">
        <v>91</v>
      </c>
      <c r="G797" s="5" t="s">
        <v>59</v>
      </c>
      <c r="H797" s="5" t="s">
        <v>60</v>
      </c>
      <c r="I797" s="6" t="n">
        <v>0.125</v>
      </c>
      <c r="J797" s="7" t="n">
        <f aca="false">IF(I797="","",1/I797)</f>
        <v>8</v>
      </c>
      <c r="K797" s="8" t="n">
        <v>53.78</v>
      </c>
      <c r="L797" s="9" t="n">
        <v>-0.82</v>
      </c>
      <c r="M797" s="10" t="n">
        <v>-0.015</v>
      </c>
      <c r="N797" s="8" t="n">
        <v>55.15</v>
      </c>
      <c r="O797" s="8" t="n">
        <v>53.78</v>
      </c>
      <c r="P797" s="8" t="n">
        <v>55.15</v>
      </c>
      <c r="Q797" s="8" t="n">
        <v>53.78</v>
      </c>
      <c r="R797" s="11" t="n">
        <v>60</v>
      </c>
      <c r="S797" s="11" t="n">
        <f aca="false">K797*R797</f>
        <v>3226.8</v>
      </c>
      <c r="T797" s="8" t="n">
        <v>53.78</v>
      </c>
      <c r="U797" s="8" t="n">
        <v>67.46375</v>
      </c>
      <c r="V797" s="12" t="n">
        <f aca="false">IF(U797-T797=0,"",(K797-T797)/(U797-T797))</f>
        <v>0</v>
      </c>
      <c r="W797" s="13" t="n">
        <f aca="false">IF(U797=0,"",K797/U797-1)</f>
        <v>-0.20283115006207</v>
      </c>
      <c r="X797" s="11" t="n">
        <v>501297</v>
      </c>
      <c r="Y797" s="5" t="s">
        <v>90</v>
      </c>
      <c r="Z797" s="5" t="s">
        <v>92</v>
      </c>
      <c r="AA797" s="5" t="s">
        <v>91</v>
      </c>
      <c r="AB797" s="5"/>
      <c r="AC797" s="5" t="s">
        <v>2524</v>
      </c>
      <c r="AD797" s="14" t="n">
        <v>46288.771875</v>
      </c>
    </row>
    <row r="798" customFormat="false" ht="15" hidden="false" customHeight="false" outlineLevel="0" collapsed="false">
      <c r="A798" s="5" t="s">
        <v>2525</v>
      </c>
      <c r="B798" s="5" t="s">
        <v>2526</v>
      </c>
      <c r="C798" s="5" t="s">
        <v>55</v>
      </c>
      <c r="D798" s="5" t="s">
        <v>56</v>
      </c>
      <c r="E798" s="5" t="s">
        <v>312</v>
      </c>
      <c r="F798" s="5" t="s">
        <v>313</v>
      </c>
      <c r="G798" s="5" t="s">
        <v>59</v>
      </c>
      <c r="H798" s="5" t="s">
        <v>86</v>
      </c>
      <c r="I798" s="6" t="n">
        <v>0.5</v>
      </c>
      <c r="J798" s="7" t="n">
        <f aca="false">IF(I798="","",1/I798)</f>
        <v>2</v>
      </c>
      <c r="K798" s="8" t="n">
        <v>144.62</v>
      </c>
      <c r="L798" s="9" t="n">
        <v>-0.13</v>
      </c>
      <c r="M798" s="10" t="n">
        <v>-0.0009</v>
      </c>
      <c r="N798" s="8" t="n">
        <v>144.62</v>
      </c>
      <c r="O798" s="8" t="n">
        <v>144.62</v>
      </c>
      <c r="P798" s="8" t="n">
        <v>144.62</v>
      </c>
      <c r="Q798" s="8" t="n">
        <v>144.62</v>
      </c>
      <c r="R798" s="11" t="n">
        <v>1</v>
      </c>
      <c r="S798" s="11" t="n">
        <f aca="false">K798*R798</f>
        <v>144.62</v>
      </c>
      <c r="T798" s="8" t="n">
        <v>92.43</v>
      </c>
      <c r="U798" s="8" t="n">
        <v>163</v>
      </c>
      <c r="V798" s="12" t="n">
        <f aca="false">IF(U798-T798=0,"",(K798-T798)/(U798-T798))</f>
        <v>0.739549383590761</v>
      </c>
      <c r="W798" s="13" t="n">
        <f aca="false">IF(U798=0,"",K798/U798-1)</f>
        <v>-0.112760736196319</v>
      </c>
      <c r="X798" s="11" t="n">
        <v>154182</v>
      </c>
      <c r="Y798" s="5" t="s">
        <v>312</v>
      </c>
      <c r="Z798" s="5" t="s">
        <v>314</v>
      </c>
      <c r="AA798" s="5" t="s">
        <v>313</v>
      </c>
      <c r="AB798" s="5"/>
      <c r="AC798" s="5" t="s">
        <v>2527</v>
      </c>
      <c r="AD798" s="14" t="n">
        <v>46288.771875</v>
      </c>
    </row>
    <row r="799" customFormat="false" ht="15" hidden="false" customHeight="false" outlineLevel="0" collapsed="false">
      <c r="A799" s="5" t="s">
        <v>2528</v>
      </c>
      <c r="B799" s="5" t="s">
        <v>2529</v>
      </c>
      <c r="C799" s="5" t="s">
        <v>55</v>
      </c>
      <c r="D799" s="5" t="s">
        <v>56</v>
      </c>
      <c r="E799" s="5" t="s">
        <v>115</v>
      </c>
      <c r="F799" s="5" t="s">
        <v>116</v>
      </c>
      <c r="G799" s="5" t="s">
        <v>59</v>
      </c>
      <c r="H799" s="5" t="s">
        <v>60</v>
      </c>
      <c r="I799" s="6" t="n">
        <v>0.25</v>
      </c>
      <c r="J799" s="7" t="n">
        <f aca="false">IF(I799="","",1/I799)</f>
        <v>4</v>
      </c>
      <c r="K799" s="8" t="n">
        <v>266.5</v>
      </c>
      <c r="L799" s="9" t="n">
        <v>4.02</v>
      </c>
      <c r="M799" s="10" t="n">
        <v>0.0153</v>
      </c>
      <c r="N799" s="8" t="n">
        <v>265.12</v>
      </c>
      <c r="O799" s="8" t="n">
        <v>261.41</v>
      </c>
      <c r="P799" s="8" t="n">
        <v>270.24</v>
      </c>
      <c r="Q799" s="8" t="n">
        <v>267.31</v>
      </c>
      <c r="R799" s="11" t="n">
        <v>1206</v>
      </c>
      <c r="S799" s="11" t="n">
        <f aca="false">K799*R799</f>
        <v>321399</v>
      </c>
      <c r="T799" s="8" t="n">
        <v>244.64</v>
      </c>
      <c r="U799" s="8" t="n">
        <v>361.55</v>
      </c>
      <c r="V799" s="12" t="n">
        <f aca="false">IF(U799-T799=0,"",(K799-T799)/(U799-T799))</f>
        <v>0.18698143871354</v>
      </c>
      <c r="W799" s="13" t="n">
        <f aca="false">IF(U799=0,"",K799/U799-1)</f>
        <v>-0.262895865025584</v>
      </c>
      <c r="X799" s="11" t="n">
        <v>196674</v>
      </c>
      <c r="Y799" s="5" t="s">
        <v>115</v>
      </c>
      <c r="Z799" s="5" t="s">
        <v>117</v>
      </c>
      <c r="AA799" s="5" t="s">
        <v>116</v>
      </c>
      <c r="AB799" s="5"/>
      <c r="AC799" s="5" t="s">
        <v>2530</v>
      </c>
      <c r="AD799" s="14" t="n">
        <v>46288.771875</v>
      </c>
    </row>
    <row r="800" customFormat="false" ht="15" hidden="false" customHeight="false" outlineLevel="0" collapsed="false">
      <c r="A800" s="5" t="s">
        <v>2531</v>
      </c>
      <c r="B800" s="5" t="s">
        <v>2532</v>
      </c>
      <c r="C800" s="5" t="s">
        <v>55</v>
      </c>
      <c r="D800" s="5" t="s">
        <v>56</v>
      </c>
      <c r="E800" s="5" t="s">
        <v>115</v>
      </c>
      <c r="F800" s="5" t="s">
        <v>116</v>
      </c>
      <c r="G800" s="5" t="s">
        <v>59</v>
      </c>
      <c r="H800" s="5" t="s">
        <v>60</v>
      </c>
      <c r="I800" s="6" t="n">
        <v>0.04</v>
      </c>
      <c r="J800" s="7" t="n">
        <f aca="false">IF(I800="","",1/I800)</f>
        <v>25</v>
      </c>
      <c r="K800" s="8" t="n">
        <v>60.3</v>
      </c>
      <c r="L800" s="9" t="n">
        <v>2.75</v>
      </c>
      <c r="M800" s="10" t="n">
        <v>0.0478</v>
      </c>
      <c r="N800" s="8" t="n">
        <v>58.2</v>
      </c>
      <c r="O800" s="8" t="n">
        <v>58.2</v>
      </c>
      <c r="P800" s="8" t="n">
        <v>60.53</v>
      </c>
      <c r="Q800" s="8" t="n">
        <v>60.3</v>
      </c>
      <c r="R800" s="11" t="n">
        <v>228</v>
      </c>
      <c r="S800" s="11" t="n">
        <f aca="false">K800*R800</f>
        <v>13748.4</v>
      </c>
      <c r="T800" s="8" t="n">
        <v>21</v>
      </c>
      <c r="U800" s="8" t="n">
        <v>60.53</v>
      </c>
      <c r="V800" s="12" t="n">
        <f aca="false">IF(U800-T800=0,"",(K800-T800)/(U800-T800))</f>
        <v>0.994181634201872</v>
      </c>
      <c r="W800" s="13" t="n">
        <f aca="false">IF(U800=0,"",K800/U800-1)</f>
        <v>-0.00379976870973076</v>
      </c>
      <c r="X800" s="11" t="n">
        <v>223627</v>
      </c>
      <c r="Y800" s="5" t="s">
        <v>115</v>
      </c>
      <c r="Z800" s="5" t="s">
        <v>117</v>
      </c>
      <c r="AA800" s="5" t="s">
        <v>116</v>
      </c>
      <c r="AB800" s="5"/>
      <c r="AC800" s="5" t="s">
        <v>2533</v>
      </c>
      <c r="AD800" s="14" t="n">
        <v>46288.771875</v>
      </c>
    </row>
    <row r="801" customFormat="false" ht="15" hidden="false" customHeight="false" outlineLevel="0" collapsed="false">
      <c r="A801" s="5" t="s">
        <v>2534</v>
      </c>
      <c r="B801" s="5" t="s">
        <v>2535</v>
      </c>
      <c r="C801" s="5" t="s">
        <v>55</v>
      </c>
      <c r="D801" s="5" t="s">
        <v>56</v>
      </c>
      <c r="E801" s="5" t="s">
        <v>242</v>
      </c>
      <c r="F801" s="5" t="s">
        <v>243</v>
      </c>
      <c r="G801" s="5" t="s">
        <v>59</v>
      </c>
      <c r="H801" s="5" t="s">
        <v>60</v>
      </c>
      <c r="I801" s="6" t="n">
        <v>1</v>
      </c>
      <c r="J801" s="7" t="n">
        <f aca="false">IF(I801="","",1/I801)</f>
        <v>1</v>
      </c>
      <c r="K801" s="8" t="n">
        <v>32.26</v>
      </c>
      <c r="L801" s="9" t="n">
        <v>-0.95</v>
      </c>
      <c r="M801" s="10" t="n">
        <v>-0.0286</v>
      </c>
      <c r="N801" s="8" t="n">
        <v>32.04</v>
      </c>
      <c r="O801" s="8" t="n">
        <v>32.04</v>
      </c>
      <c r="P801" s="8" t="n">
        <v>32.26</v>
      </c>
      <c r="Q801" s="8" t="n">
        <v>32.26</v>
      </c>
      <c r="R801" s="11" t="n">
        <v>32</v>
      </c>
      <c r="S801" s="11" t="n">
        <f aca="false">K801*R801</f>
        <v>1032.32</v>
      </c>
      <c r="T801" s="8" t="n">
        <v>23.1</v>
      </c>
      <c r="U801" s="8" t="n">
        <v>52.5</v>
      </c>
      <c r="V801" s="12" t="n">
        <f aca="false">IF(U801-T801=0,"",(K801-T801)/(U801-T801))</f>
        <v>0.31156462585034</v>
      </c>
      <c r="W801" s="13" t="n">
        <f aca="false">IF(U801=0,"",K801/U801-1)</f>
        <v>-0.38552380952381</v>
      </c>
      <c r="X801" s="11" t="n">
        <v>5904</v>
      </c>
      <c r="Y801" s="5" t="s">
        <v>242</v>
      </c>
      <c r="Z801" s="5" t="s">
        <v>244</v>
      </c>
      <c r="AA801" s="5" t="s">
        <v>243</v>
      </c>
      <c r="AB801" s="5"/>
      <c r="AC801" s="5" t="s">
        <v>2536</v>
      </c>
      <c r="AD801" s="14" t="n">
        <v>46288.771875</v>
      </c>
    </row>
    <row r="802" customFormat="false" ht="15" hidden="false" customHeight="false" outlineLevel="0" collapsed="false">
      <c r="A802" s="5" t="s">
        <v>2537</v>
      </c>
      <c r="B802" s="5" t="s">
        <v>2538</v>
      </c>
      <c r="C802" s="5" t="s">
        <v>55</v>
      </c>
      <c r="D802" s="5" t="s">
        <v>56</v>
      </c>
      <c r="E802" s="5" t="s">
        <v>77</v>
      </c>
      <c r="F802" s="5" t="s">
        <v>78</v>
      </c>
      <c r="G802" s="5" t="s">
        <v>59</v>
      </c>
      <c r="H802" s="5"/>
      <c r="I802" s="6"/>
      <c r="J802" s="7" t="str">
        <f aca="false">IF(I802="","",1/I802)</f>
        <v/>
      </c>
      <c r="K802" s="8" t="n">
        <v>111.42</v>
      </c>
      <c r="L802" s="9" t="n">
        <v>-1.1</v>
      </c>
      <c r="M802" s="10" t="n">
        <v>-0.0098</v>
      </c>
      <c r="N802" s="8" t="n">
        <v>112.52</v>
      </c>
      <c r="O802" s="8" t="n">
        <v>108.77</v>
      </c>
      <c r="P802" s="8" t="n">
        <v>112.52</v>
      </c>
      <c r="Q802" s="8" t="n">
        <v>111.42</v>
      </c>
      <c r="R802" s="11" t="n">
        <v>355</v>
      </c>
      <c r="S802" s="11" t="n">
        <f aca="false">K802*R802</f>
        <v>39554.1</v>
      </c>
      <c r="T802" s="8" t="n">
        <v>39.12</v>
      </c>
      <c r="U802" s="8" t="n">
        <v>139.5</v>
      </c>
      <c r="V802" s="12" t="n">
        <f aca="false">IF(U802-T802=0,"",(K802-T802)/(U802-T802))</f>
        <v>0.720263000597729</v>
      </c>
      <c r="W802" s="13" t="n">
        <f aca="false">IF(U802=0,"",K802/U802-1)</f>
        <v>-0.201290322580645</v>
      </c>
      <c r="X802" s="11" t="n">
        <v>318994</v>
      </c>
      <c r="Y802" s="5" t="s">
        <v>77</v>
      </c>
      <c r="Z802" s="5" t="s">
        <v>79</v>
      </c>
      <c r="AA802" s="5" t="s">
        <v>78</v>
      </c>
      <c r="AB802" s="5" t="s">
        <v>111</v>
      </c>
      <c r="AC802" s="5" t="s">
        <v>2539</v>
      </c>
      <c r="AD802" s="14" t="n">
        <v>46288.771875</v>
      </c>
    </row>
    <row r="803" customFormat="false" ht="15" hidden="false" customHeight="false" outlineLevel="0" collapsed="false">
      <c r="A803" s="5" t="s">
        <v>2540</v>
      </c>
      <c r="B803" s="5" t="s">
        <v>2541</v>
      </c>
      <c r="C803" s="5" t="s">
        <v>55</v>
      </c>
      <c r="D803" s="5" t="s">
        <v>56</v>
      </c>
      <c r="E803" s="5" t="s">
        <v>99</v>
      </c>
      <c r="F803" s="5" t="s">
        <v>100</v>
      </c>
      <c r="G803" s="5" t="s">
        <v>59</v>
      </c>
      <c r="H803" s="5" t="s">
        <v>60</v>
      </c>
      <c r="I803" s="6" t="n">
        <v>0.066666</v>
      </c>
      <c r="J803" s="7" t="n">
        <f aca="false">IF(I803="","",1/I803)</f>
        <v>15.0001500015</v>
      </c>
      <c r="K803" s="8" t="n">
        <v>5.6</v>
      </c>
      <c r="L803" s="9" t="n">
        <v>-0.28</v>
      </c>
      <c r="M803" s="10" t="n">
        <v>-0.0476</v>
      </c>
      <c r="N803" s="8" t="n">
        <v>5.6</v>
      </c>
      <c r="O803" s="8" t="n">
        <v>5.6</v>
      </c>
      <c r="P803" s="8" t="n">
        <v>5.6</v>
      </c>
      <c r="Q803" s="8" t="n">
        <v>5.6</v>
      </c>
      <c r="R803" s="11" t="n">
        <v>25</v>
      </c>
      <c r="S803" s="11" t="n">
        <f aca="false">K803*R803</f>
        <v>140</v>
      </c>
      <c r="T803" s="8" t="n">
        <v>4.33</v>
      </c>
      <c r="U803" s="8" t="n">
        <v>9.93</v>
      </c>
      <c r="V803" s="12" t="n">
        <f aca="false">IF(U803-T803=0,"",(K803-T803)/(U803-T803))</f>
        <v>0.226785714285714</v>
      </c>
      <c r="W803" s="13" t="n">
        <f aca="false">IF(U803=0,"",K803/U803-1)</f>
        <v>-0.436052366565962</v>
      </c>
      <c r="X803" s="11" t="n">
        <v>6231</v>
      </c>
      <c r="Y803" s="5" t="s">
        <v>99</v>
      </c>
      <c r="Z803" s="5" t="s">
        <v>101</v>
      </c>
      <c r="AA803" s="5" t="s">
        <v>100</v>
      </c>
      <c r="AB803" s="5"/>
      <c r="AC803" s="5" t="s">
        <v>2542</v>
      </c>
      <c r="AD803" s="14" t="n">
        <v>46288.771875</v>
      </c>
    </row>
    <row r="804" customFormat="false" ht="15" hidden="false" customHeight="false" outlineLevel="0" collapsed="false">
      <c r="A804" s="5" t="s">
        <v>2543</v>
      </c>
      <c r="B804" s="5" t="s">
        <v>2544</v>
      </c>
      <c r="C804" s="5" t="s">
        <v>55</v>
      </c>
      <c r="D804" s="5" t="s">
        <v>56</v>
      </c>
      <c r="E804" s="5" t="s">
        <v>115</v>
      </c>
      <c r="F804" s="5" t="s">
        <v>116</v>
      </c>
      <c r="G804" s="5" t="s">
        <v>59</v>
      </c>
      <c r="H804" s="5" t="s">
        <v>60</v>
      </c>
      <c r="I804" s="6" t="n">
        <v>1</v>
      </c>
      <c r="J804" s="7" t="n">
        <f aca="false">IF(I804="","",1/I804)</f>
        <v>1</v>
      </c>
      <c r="K804" s="8" t="n">
        <v>66.08</v>
      </c>
      <c r="L804" s="9" t="n">
        <v>-1.14</v>
      </c>
      <c r="M804" s="10" t="n">
        <v>-0.017</v>
      </c>
      <c r="N804" s="8" t="n">
        <v>67.22</v>
      </c>
      <c r="O804" s="8" t="n">
        <v>65.17</v>
      </c>
      <c r="P804" s="8" t="n">
        <v>67.34</v>
      </c>
      <c r="Q804" s="8" t="n">
        <v>66.08</v>
      </c>
      <c r="R804" s="11" t="n">
        <v>213</v>
      </c>
      <c r="S804" s="11" t="n">
        <f aca="false">K804*R804</f>
        <v>14075.04</v>
      </c>
      <c r="T804" s="8" t="n">
        <v>64</v>
      </c>
      <c r="U804" s="8" t="n">
        <v>300</v>
      </c>
      <c r="V804" s="12" t="n">
        <f aca="false">IF(U804-T804=0,"",(K804-T804)/(U804-T804))</f>
        <v>0.00881355932203389</v>
      </c>
      <c r="W804" s="13" t="n">
        <f aca="false">IF(U804=0,"",K804/U804-1)</f>
        <v>-0.779733333333333</v>
      </c>
      <c r="X804" s="11" t="n">
        <v>31694</v>
      </c>
      <c r="Y804" s="5" t="s">
        <v>115</v>
      </c>
      <c r="Z804" s="5" t="s">
        <v>117</v>
      </c>
      <c r="AA804" s="5" t="s">
        <v>116</v>
      </c>
      <c r="AB804" s="5"/>
      <c r="AC804" s="5" t="s">
        <v>2545</v>
      </c>
      <c r="AD804" s="14" t="n">
        <v>46288.771875</v>
      </c>
    </row>
    <row r="805" customFormat="false" ht="15" hidden="false" customHeight="false" outlineLevel="0" collapsed="false">
      <c r="A805" s="5" t="s">
        <v>2546</v>
      </c>
      <c r="B805" s="5" t="s">
        <v>2547</v>
      </c>
      <c r="C805" s="5" t="s">
        <v>55</v>
      </c>
      <c r="D805" s="5" t="s">
        <v>56</v>
      </c>
      <c r="E805" s="5" t="s">
        <v>115</v>
      </c>
      <c r="F805" s="5" t="s">
        <v>116</v>
      </c>
      <c r="G805" s="5" t="s">
        <v>59</v>
      </c>
      <c r="H805" s="5" t="s">
        <v>60</v>
      </c>
      <c r="I805" s="6" t="n">
        <v>0.016666</v>
      </c>
      <c r="J805" s="7" t="n">
        <f aca="false">IF(I805="","",1/I805)</f>
        <v>60.0024000960038</v>
      </c>
      <c r="K805" s="8" t="n">
        <v>29.25</v>
      </c>
      <c r="L805" s="9" t="n">
        <v>-0.75</v>
      </c>
      <c r="M805" s="10" t="n">
        <v>-0.025</v>
      </c>
      <c r="N805" s="8" t="n">
        <v>29.49</v>
      </c>
      <c r="O805" s="8" t="n">
        <v>29.25</v>
      </c>
      <c r="P805" s="8" t="n">
        <v>29.49</v>
      </c>
      <c r="Q805" s="8" t="n">
        <v>29.25</v>
      </c>
      <c r="R805" s="11" t="n">
        <v>2</v>
      </c>
      <c r="S805" s="11" t="n">
        <f aca="false">K805*R805</f>
        <v>58.5</v>
      </c>
      <c r="T805" s="8" t="n">
        <v>23.52</v>
      </c>
      <c r="U805" s="8" t="n">
        <v>41.8</v>
      </c>
      <c r="V805" s="12" t="n">
        <f aca="false">IF(U805-T805=0,"",(K805-T805)/(U805-T805))</f>
        <v>0.313457330415755</v>
      </c>
      <c r="W805" s="13" t="n">
        <f aca="false">IF(U805=0,"",K805/U805-1)</f>
        <v>-0.300239234449761</v>
      </c>
      <c r="X805" s="11" t="n">
        <v>69382</v>
      </c>
      <c r="Y805" s="5" t="s">
        <v>115</v>
      </c>
      <c r="Z805" s="5" t="s">
        <v>117</v>
      </c>
      <c r="AA805" s="5" t="s">
        <v>116</v>
      </c>
      <c r="AB805" s="5"/>
      <c r="AC805" s="5" t="s">
        <v>2548</v>
      </c>
      <c r="AD805" s="14" t="n">
        <v>46288.771875</v>
      </c>
    </row>
    <row r="806" customFormat="false" ht="15" hidden="false" customHeight="false" outlineLevel="0" collapsed="false">
      <c r="A806" s="5" t="s">
        <v>2549</v>
      </c>
      <c r="B806" s="5" t="s">
        <v>2550</v>
      </c>
      <c r="C806" s="5" t="s">
        <v>55</v>
      </c>
      <c r="D806" s="5" t="s">
        <v>56</v>
      </c>
      <c r="E806" s="5" t="s">
        <v>99</v>
      </c>
      <c r="F806" s="5" t="s">
        <v>100</v>
      </c>
      <c r="G806" s="5" t="s">
        <v>59</v>
      </c>
      <c r="H806" s="5" t="s">
        <v>86</v>
      </c>
      <c r="I806" s="6" t="n">
        <v>1</v>
      </c>
      <c r="J806" s="7" t="n">
        <f aca="false">IF(I806="","",1/I806)</f>
        <v>1</v>
      </c>
      <c r="K806" s="8" t="n">
        <v>97.9</v>
      </c>
      <c r="L806" s="9" t="n">
        <v>1.01</v>
      </c>
      <c r="M806" s="10" t="n">
        <v>0.0104</v>
      </c>
      <c r="N806" s="8" t="n">
        <v>97.9</v>
      </c>
      <c r="O806" s="8" t="n">
        <v>97.9</v>
      </c>
      <c r="P806" s="8" t="n">
        <v>97.9</v>
      </c>
      <c r="Q806" s="8" t="n">
        <v>97.9</v>
      </c>
      <c r="R806" s="11" t="n">
        <v>1</v>
      </c>
      <c r="S806" s="11" t="n">
        <f aca="false">K806*R806</f>
        <v>97.9</v>
      </c>
      <c r="T806" s="8" t="n">
        <v>70.8</v>
      </c>
      <c r="U806" s="8" t="n">
        <v>98.7</v>
      </c>
      <c r="V806" s="12" t="n">
        <f aca="false">IF(U806-T806=0,"",(K806-T806)/(U806-T806))</f>
        <v>0.971326164874552</v>
      </c>
      <c r="W806" s="13" t="n">
        <f aca="false">IF(U806=0,"",K806/U806-1)</f>
        <v>-0.00810536980749743</v>
      </c>
      <c r="X806" s="11" t="n">
        <v>309659</v>
      </c>
      <c r="Y806" s="5" t="s">
        <v>99</v>
      </c>
      <c r="Z806" s="5" t="s">
        <v>101</v>
      </c>
      <c r="AA806" s="5" t="s">
        <v>100</v>
      </c>
      <c r="AB806" s="5"/>
      <c r="AC806" s="5" t="s">
        <v>2551</v>
      </c>
      <c r="AD806" s="14" t="n">
        <v>46288.771875</v>
      </c>
    </row>
    <row r="807" customFormat="false" ht="15" hidden="false" customHeight="false" outlineLevel="0" collapsed="false">
      <c r="A807" s="5" t="s">
        <v>2552</v>
      </c>
      <c r="B807" s="5" t="s">
        <v>2553</v>
      </c>
      <c r="C807" s="5" t="s">
        <v>248</v>
      </c>
      <c r="D807" s="5" t="s">
        <v>249</v>
      </c>
      <c r="E807" s="5" t="s">
        <v>250</v>
      </c>
      <c r="F807" s="5" t="s">
        <v>251</v>
      </c>
      <c r="G807" s="5" t="s">
        <v>59</v>
      </c>
      <c r="H807" s="5" t="s">
        <v>60</v>
      </c>
      <c r="I807" s="6" t="n">
        <v>0.1</v>
      </c>
      <c r="J807" s="7" t="n">
        <f aca="false">IF(I807="","",1/I807)</f>
        <v>10</v>
      </c>
      <c r="K807" s="8" t="n">
        <v>51.85</v>
      </c>
      <c r="L807" s="9" t="n">
        <v>0.65</v>
      </c>
      <c r="M807" s="10" t="n">
        <v>0.0127</v>
      </c>
      <c r="N807" s="8" t="n">
        <v>51.4</v>
      </c>
      <c r="O807" s="8" t="n">
        <v>51.4</v>
      </c>
      <c r="P807" s="8" t="n">
        <v>51.9</v>
      </c>
      <c r="Q807" s="8" t="n">
        <v>51.85</v>
      </c>
      <c r="R807" s="11" t="n">
        <v>2323</v>
      </c>
      <c r="S807" s="11" t="n">
        <f aca="false">K807*R807</f>
        <v>120447.55</v>
      </c>
      <c r="T807" s="8" t="n">
        <v>47.91</v>
      </c>
      <c r="U807" s="8" t="n">
        <v>59.97</v>
      </c>
      <c r="V807" s="12" t="n">
        <f aca="false">IF(U807-T807=0,"",(K807-T807)/(U807-T807))</f>
        <v>0.326699834162521</v>
      </c>
      <c r="W807" s="13" t="n">
        <f aca="false">IF(U807=0,"",K807/U807-1)</f>
        <v>-0.135401033850258</v>
      </c>
      <c r="X807" s="11"/>
      <c r="Y807" s="5" t="s">
        <v>253</v>
      </c>
      <c r="Z807" s="5" t="s">
        <v>254</v>
      </c>
      <c r="AA807" s="5" t="s">
        <v>251</v>
      </c>
      <c r="AB807" s="5"/>
      <c r="AC807" s="5" t="s">
        <v>2554</v>
      </c>
      <c r="AD807" s="14" t="n">
        <v>46288.771875</v>
      </c>
    </row>
    <row r="808" customFormat="false" ht="15" hidden="false" customHeight="false" outlineLevel="0" collapsed="false">
      <c r="A808" s="5" t="s">
        <v>2555</v>
      </c>
      <c r="B808" s="5" t="s">
        <v>2556</v>
      </c>
      <c r="C808" s="5" t="s">
        <v>55</v>
      </c>
      <c r="D808" s="5" t="s">
        <v>56</v>
      </c>
      <c r="E808" s="5" t="s">
        <v>77</v>
      </c>
      <c r="F808" s="5" t="s">
        <v>78</v>
      </c>
      <c r="G808" s="5" t="s">
        <v>59</v>
      </c>
      <c r="H808" s="5" t="s">
        <v>60</v>
      </c>
      <c r="I808" s="6" t="n">
        <v>0.0666667</v>
      </c>
      <c r="J808" s="7" t="n">
        <f aca="false">IF(I808="","",1/I808)</f>
        <v>14.9999925000038</v>
      </c>
      <c r="K808" s="8" t="n">
        <v>93.84</v>
      </c>
      <c r="L808" s="9" t="n">
        <v>1.74</v>
      </c>
      <c r="M808" s="10" t="n">
        <v>0.0189</v>
      </c>
      <c r="N808" s="8" t="n">
        <v>92.81</v>
      </c>
      <c r="O808" s="8" t="n">
        <v>92.81</v>
      </c>
      <c r="P808" s="8" t="n">
        <v>94.03</v>
      </c>
      <c r="Q808" s="8" t="n">
        <v>93.84</v>
      </c>
      <c r="R808" s="11" t="n">
        <v>153</v>
      </c>
      <c r="S808" s="11" t="n">
        <f aca="false">K808*R808</f>
        <v>14357.52</v>
      </c>
      <c r="T808" s="8" t="n">
        <v>53.44</v>
      </c>
      <c r="U808" s="8" t="n">
        <v>114.29</v>
      </c>
      <c r="V808" s="12" t="n">
        <f aca="false">IF(U808-T808=0,"",(K808-T808)/(U808-T808))</f>
        <v>0.66392769104355</v>
      </c>
      <c r="W808" s="13" t="n">
        <f aca="false">IF(U808=0,"",K808/U808-1)</f>
        <v>-0.178930790095371</v>
      </c>
      <c r="X808" s="11" t="n">
        <v>1268498</v>
      </c>
      <c r="Y808" s="5" t="s">
        <v>77</v>
      </c>
      <c r="Z808" s="5" t="s">
        <v>79</v>
      </c>
      <c r="AA808" s="5" t="s">
        <v>78</v>
      </c>
      <c r="AB808" s="5"/>
      <c r="AC808" s="5" t="s">
        <v>2557</v>
      </c>
      <c r="AD808" s="14" t="n">
        <v>46288.771875</v>
      </c>
    </row>
    <row r="809" customFormat="false" ht="15" hidden="false" customHeight="false" outlineLevel="0" collapsed="false">
      <c r="A809" s="5" t="s">
        <v>2558</v>
      </c>
      <c r="B809" s="5" t="s">
        <v>2559</v>
      </c>
      <c r="C809" s="5" t="s">
        <v>55</v>
      </c>
      <c r="D809" s="5" t="s">
        <v>56</v>
      </c>
      <c r="E809" s="5" t="s">
        <v>57</v>
      </c>
      <c r="F809" s="5" t="s">
        <v>58</v>
      </c>
      <c r="G809" s="5" t="s">
        <v>59</v>
      </c>
      <c r="H809" s="5" t="s">
        <v>60</v>
      </c>
      <c r="I809" s="6" t="n">
        <v>1</v>
      </c>
      <c r="J809" s="7" t="n">
        <f aca="false">IF(I809="","",1/I809)</f>
        <v>1</v>
      </c>
      <c r="K809" s="8" t="n">
        <v>808.38</v>
      </c>
      <c r="L809" s="9" t="n">
        <v>-3.42</v>
      </c>
      <c r="M809" s="10" t="n">
        <v>-0.0042</v>
      </c>
      <c r="N809" s="8" t="n">
        <v>811.82</v>
      </c>
      <c r="O809" s="8" t="n">
        <v>808.38</v>
      </c>
      <c r="P809" s="8" t="n">
        <v>813.18</v>
      </c>
      <c r="Q809" s="8" t="n">
        <v>808.38</v>
      </c>
      <c r="R809" s="11" t="n">
        <v>13</v>
      </c>
      <c r="S809" s="11" t="n">
        <f aca="false">K809*R809</f>
        <v>10508.94</v>
      </c>
      <c r="T809" s="8" t="n">
        <v>452.91</v>
      </c>
      <c r="U809" s="8" t="n">
        <v>875.1</v>
      </c>
      <c r="V809" s="12" t="n">
        <f aca="false">IF(U809-T809=0,"",(K809-T809)/(U809-T809))</f>
        <v>0.841966886946635</v>
      </c>
      <c r="W809" s="13" t="n">
        <f aca="false">IF(U809=0,"",K809/U809-1)</f>
        <v>-0.0762427151182722</v>
      </c>
      <c r="X809" s="11" t="n">
        <v>369715</v>
      </c>
      <c r="Y809" s="5" t="s">
        <v>57</v>
      </c>
      <c r="Z809" s="5" t="s">
        <v>61</v>
      </c>
      <c r="AA809" s="5" t="s">
        <v>58</v>
      </c>
      <c r="AB809" s="5"/>
      <c r="AC809" s="5" t="s">
        <v>2560</v>
      </c>
      <c r="AD809" s="14" t="n">
        <v>46288.771875</v>
      </c>
    </row>
    <row r="810" customFormat="false" ht="15" hidden="false" customHeight="false" outlineLevel="0" collapsed="false">
      <c r="A810" s="5" t="s">
        <v>2561</v>
      </c>
      <c r="B810" s="5" t="s">
        <v>2562</v>
      </c>
      <c r="C810" s="5" t="s">
        <v>55</v>
      </c>
      <c r="D810" s="5" t="s">
        <v>56</v>
      </c>
      <c r="E810" s="5" t="s">
        <v>57</v>
      </c>
      <c r="F810" s="5" t="s">
        <v>58</v>
      </c>
      <c r="G810" s="5" t="s">
        <v>59</v>
      </c>
      <c r="H810" s="5" t="s">
        <v>60</v>
      </c>
      <c r="I810" s="6" t="n">
        <v>0.066667</v>
      </c>
      <c r="J810" s="7" t="n">
        <f aca="false">IF(I810="","",1/I810)</f>
        <v>14.999925000375</v>
      </c>
      <c r="K810" s="8" t="n">
        <v>44.6</v>
      </c>
      <c r="L810" s="9" t="n">
        <v>1.24</v>
      </c>
      <c r="M810" s="10" t="n">
        <v>0.0286</v>
      </c>
      <c r="N810" s="8" t="n">
        <v>43.84</v>
      </c>
      <c r="O810" s="8" t="n">
        <v>43.84</v>
      </c>
      <c r="P810" s="8" t="n">
        <v>44.6</v>
      </c>
      <c r="Q810" s="8" t="n">
        <v>44.6</v>
      </c>
      <c r="R810" s="11" t="n">
        <v>105</v>
      </c>
      <c r="S810" s="11" t="n">
        <f aca="false">K810*R810</f>
        <v>4683</v>
      </c>
      <c r="T810" s="8" t="n">
        <v>42.52</v>
      </c>
      <c r="U810" s="8" t="n">
        <v>58.33333625</v>
      </c>
      <c r="V810" s="12" t="n">
        <f aca="false">IF(U810-T810=0,"",(K810-T810)/(U810-T810))</f>
        <v>0.131534545722444</v>
      </c>
      <c r="W810" s="13" t="n">
        <f aca="false">IF(U810=0,"",K810/U810-1)</f>
        <v>-0.235428609657141</v>
      </c>
      <c r="X810" s="11" t="n">
        <v>736262</v>
      </c>
      <c r="Y810" s="5" t="s">
        <v>57</v>
      </c>
      <c r="Z810" s="5" t="s">
        <v>61</v>
      </c>
      <c r="AA810" s="5" t="s">
        <v>58</v>
      </c>
      <c r="AB810" s="5"/>
      <c r="AC810" s="5" t="s">
        <v>2563</v>
      </c>
      <c r="AD810" s="14" t="n">
        <v>46288.771875</v>
      </c>
    </row>
    <row r="811" customFormat="false" ht="15" hidden="false" customHeight="false" outlineLevel="0" collapsed="false">
      <c r="A811" s="5" t="s">
        <v>2564</v>
      </c>
      <c r="B811" s="5" t="s">
        <v>2565</v>
      </c>
      <c r="C811" s="5" t="s">
        <v>55</v>
      </c>
      <c r="D811" s="5" t="s">
        <v>56</v>
      </c>
      <c r="E811" s="5" t="s">
        <v>105</v>
      </c>
      <c r="F811" s="5" t="s">
        <v>106</v>
      </c>
      <c r="G811" s="5" t="s">
        <v>59</v>
      </c>
      <c r="H811" s="5" t="s">
        <v>86</v>
      </c>
      <c r="I811" s="6" t="n">
        <v>0.0625</v>
      </c>
      <c r="J811" s="7" t="n">
        <f aca="false">IF(I811="","",1/I811)</f>
        <v>16</v>
      </c>
      <c r="K811" s="8" t="n">
        <v>61.49</v>
      </c>
      <c r="L811" s="9" t="n">
        <v>0.02</v>
      </c>
      <c r="M811" s="10" t="n">
        <v>0.0003</v>
      </c>
      <c r="N811" s="8" t="n">
        <v>61.51</v>
      </c>
      <c r="O811" s="8" t="n">
        <v>61.47</v>
      </c>
      <c r="P811" s="8" t="n">
        <v>61.91</v>
      </c>
      <c r="Q811" s="8" t="n">
        <v>61.49</v>
      </c>
      <c r="R811" s="11" t="n">
        <v>343</v>
      </c>
      <c r="S811" s="11" t="n">
        <f aca="false">K811*R811</f>
        <v>21091.07</v>
      </c>
      <c r="T811" s="8" t="n">
        <v>53.8</v>
      </c>
      <c r="U811" s="8" t="n">
        <v>81.28</v>
      </c>
      <c r="V811" s="12" t="n">
        <f aca="false">IF(U811-T811=0,"",(K811-T811)/(U811-T811))</f>
        <v>0.279839883551674</v>
      </c>
      <c r="W811" s="13" t="n">
        <f aca="false">IF(U811=0,"",K811/U811-1)</f>
        <v>-0.243479330708661</v>
      </c>
      <c r="X811" s="11" t="n">
        <v>1164475</v>
      </c>
      <c r="Y811" s="5" t="s">
        <v>105</v>
      </c>
      <c r="Z811" s="5" t="s">
        <v>107</v>
      </c>
      <c r="AA811" s="5" t="s">
        <v>106</v>
      </c>
      <c r="AB811" s="5"/>
      <c r="AC811" s="5" t="s">
        <v>2566</v>
      </c>
      <c r="AD811" s="14" t="n">
        <v>46288.771875</v>
      </c>
    </row>
    <row r="812" customFormat="false" ht="15" hidden="false" customHeight="false" outlineLevel="0" collapsed="false">
      <c r="A812" s="5" t="s">
        <v>2567</v>
      </c>
      <c r="B812" s="5" t="s">
        <v>2568</v>
      </c>
      <c r="C812" s="5" t="s">
        <v>55</v>
      </c>
      <c r="D812" s="5" t="s">
        <v>56</v>
      </c>
      <c r="E812" s="5" t="s">
        <v>99</v>
      </c>
      <c r="F812" s="5" t="s">
        <v>100</v>
      </c>
      <c r="G812" s="5" t="s">
        <v>59</v>
      </c>
      <c r="H812" s="5" t="s">
        <v>60</v>
      </c>
      <c r="I812" s="6" t="n">
        <v>0.02083</v>
      </c>
      <c r="J812" s="7" t="n">
        <f aca="false">IF(I812="","",1/I812)</f>
        <v>48.0076812289966</v>
      </c>
      <c r="K812" s="8" t="n">
        <v>71.17</v>
      </c>
      <c r="L812" s="9" t="n">
        <v>1.24</v>
      </c>
      <c r="M812" s="10" t="n">
        <v>0.0177</v>
      </c>
      <c r="N812" s="8" t="n">
        <v>70.84</v>
      </c>
      <c r="O812" s="8" t="n">
        <v>70.84</v>
      </c>
      <c r="P812" s="8" t="n">
        <v>71.17</v>
      </c>
      <c r="Q812" s="8" t="n">
        <v>71.17</v>
      </c>
      <c r="R812" s="11" t="n">
        <v>262</v>
      </c>
      <c r="S812" s="11" t="n">
        <f aca="false">K812*R812</f>
        <v>18646.54</v>
      </c>
      <c r="T812" s="8" t="n">
        <v>45.67</v>
      </c>
      <c r="U812" s="8" t="n">
        <v>71.99</v>
      </c>
      <c r="V812" s="12" t="n">
        <f aca="false">IF(U812-T812=0,"",(K812-T812)/(U812-T812))</f>
        <v>0.968844984802432</v>
      </c>
      <c r="W812" s="13" t="n">
        <f aca="false">IF(U812=0,"",K812/U812-1)</f>
        <v>-0.0113904708987358</v>
      </c>
      <c r="X812" s="11" t="n">
        <v>1246090</v>
      </c>
      <c r="Y812" s="5" t="s">
        <v>99</v>
      </c>
      <c r="Z812" s="5" t="s">
        <v>101</v>
      </c>
      <c r="AA812" s="5" t="s">
        <v>100</v>
      </c>
      <c r="AB812" s="5"/>
      <c r="AC812" s="5" t="s">
        <v>2569</v>
      </c>
      <c r="AD812" s="14" t="n">
        <v>46288.771875</v>
      </c>
    </row>
    <row r="813" customFormat="false" ht="15" hidden="false" customHeight="false" outlineLevel="0" collapsed="false">
      <c r="A813" s="5" t="s">
        <v>2570</v>
      </c>
      <c r="B813" s="5" t="s">
        <v>2571</v>
      </c>
      <c r="C813" s="5" t="s">
        <v>248</v>
      </c>
      <c r="D813" s="5" t="s">
        <v>249</v>
      </c>
      <c r="E813" s="5" t="s">
        <v>250</v>
      </c>
      <c r="F813" s="5" t="s">
        <v>251</v>
      </c>
      <c r="G813" s="5" t="s">
        <v>59</v>
      </c>
      <c r="H813" s="5" t="s">
        <v>60</v>
      </c>
      <c r="I813" s="6" t="n">
        <v>0.33333333</v>
      </c>
      <c r="J813" s="7" t="n">
        <f aca="false">IF(I813="","",1/I813)</f>
        <v>3.00000003</v>
      </c>
      <c r="K813" s="8" t="n">
        <v>57</v>
      </c>
      <c r="L813" s="9" t="n">
        <v>-1.08</v>
      </c>
      <c r="M813" s="10" t="n">
        <v>-0.0186</v>
      </c>
      <c r="N813" s="8" t="n">
        <v>57</v>
      </c>
      <c r="O813" s="8" t="n">
        <v>57</v>
      </c>
      <c r="P813" s="8" t="n">
        <v>57</v>
      </c>
      <c r="Q813" s="8" t="n">
        <v>57</v>
      </c>
      <c r="R813" s="11" t="n">
        <v>1</v>
      </c>
      <c r="S813" s="11" t="n">
        <f aca="false">K813*R813</f>
        <v>57</v>
      </c>
      <c r="T813" s="8" t="n">
        <v>50.76</v>
      </c>
      <c r="U813" s="8" t="n">
        <v>59.95</v>
      </c>
      <c r="V813" s="12" t="n">
        <f aca="false">IF(U813-T813=0,"",(K813-T813)/(U813-T813))</f>
        <v>0.678998911860718</v>
      </c>
      <c r="W813" s="13" t="n">
        <f aca="false">IF(U813=0,"",K813/U813-1)</f>
        <v>-0.0492076730608841</v>
      </c>
      <c r="X813" s="11"/>
      <c r="Y813" s="5" t="s">
        <v>253</v>
      </c>
      <c r="Z813" s="5" t="s">
        <v>254</v>
      </c>
      <c r="AA813" s="5" t="s">
        <v>251</v>
      </c>
      <c r="AB813" s="5"/>
      <c r="AC813" s="5" t="s">
        <v>2572</v>
      </c>
      <c r="AD813" s="14" t="n">
        <v>46288.771875</v>
      </c>
    </row>
    <row r="814" customFormat="false" ht="15" hidden="false" customHeight="false" outlineLevel="0" collapsed="false">
      <c r="A814" s="5" t="s">
        <v>2573</v>
      </c>
      <c r="B814" s="5" t="s">
        <v>2574</v>
      </c>
      <c r="C814" s="5" t="s">
        <v>55</v>
      </c>
      <c r="D814" s="5" t="s">
        <v>56</v>
      </c>
      <c r="E814" s="5" t="s">
        <v>115</v>
      </c>
      <c r="F814" s="5" t="s">
        <v>116</v>
      </c>
      <c r="G814" s="5" t="s">
        <v>59</v>
      </c>
      <c r="H814" s="5" t="s">
        <v>60</v>
      </c>
      <c r="I814" s="6" t="n">
        <v>0.25</v>
      </c>
      <c r="J814" s="7" t="n">
        <f aca="false">IF(I814="","",1/I814)</f>
        <v>4</v>
      </c>
      <c r="K814" s="8" t="n">
        <v>40.73</v>
      </c>
      <c r="L814" s="9" t="n">
        <v>-2.91</v>
      </c>
      <c r="M814" s="10" t="n">
        <v>-0.0667</v>
      </c>
      <c r="N814" s="8" t="n">
        <v>40.84</v>
      </c>
      <c r="O814" s="8" t="n">
        <v>40.73</v>
      </c>
      <c r="P814" s="8" t="n">
        <v>40.84</v>
      </c>
      <c r="Q814" s="8" t="n">
        <v>40.73</v>
      </c>
      <c r="R814" s="11" t="n">
        <v>2000</v>
      </c>
      <c r="S814" s="11" t="n">
        <f aca="false">K814*R814</f>
        <v>81460</v>
      </c>
      <c r="T814" s="8" t="n">
        <v>40.73</v>
      </c>
      <c r="U814" s="8" t="n">
        <v>50.9</v>
      </c>
      <c r="V814" s="12" t="n">
        <f aca="false">IF(U814-T814=0,"",(K814-T814)/(U814-T814))</f>
        <v>0</v>
      </c>
      <c r="W814" s="13" t="n">
        <f aca="false">IF(U814=0,"",K814/U814-1)</f>
        <v>-0.199803536345776</v>
      </c>
      <c r="X814" s="11" t="n">
        <v>88161</v>
      </c>
      <c r="Y814" s="5" t="s">
        <v>115</v>
      </c>
      <c r="Z814" s="5" t="s">
        <v>117</v>
      </c>
      <c r="AA814" s="5" t="s">
        <v>116</v>
      </c>
      <c r="AB814" s="5"/>
      <c r="AC814" s="5" t="s">
        <v>2575</v>
      </c>
      <c r="AD814" s="14" t="n">
        <v>46288.771875</v>
      </c>
    </row>
    <row r="815" customFormat="false" ht="15" hidden="false" customHeight="false" outlineLevel="0" collapsed="false">
      <c r="A815" s="5" t="s">
        <v>2576</v>
      </c>
      <c r="B815" s="5" t="s">
        <v>2577</v>
      </c>
      <c r="C815" s="5" t="s">
        <v>55</v>
      </c>
      <c r="D815" s="5" t="s">
        <v>56</v>
      </c>
      <c r="E815" s="5" t="s">
        <v>57</v>
      </c>
      <c r="F815" s="5" t="s">
        <v>58</v>
      </c>
      <c r="G815" s="5" t="s">
        <v>59</v>
      </c>
      <c r="H815" s="5" t="s">
        <v>60</v>
      </c>
      <c r="I815" s="6" t="n">
        <v>0.1</v>
      </c>
      <c r="J815" s="7" t="n">
        <f aca="false">IF(I815="","",1/I815)</f>
        <v>10</v>
      </c>
      <c r="K815" s="8" t="n">
        <v>57.24</v>
      </c>
      <c r="L815" s="9" t="n">
        <v>-0.46</v>
      </c>
      <c r="M815" s="10" t="n">
        <v>-0.008</v>
      </c>
      <c r="N815" s="8" t="n">
        <v>58.97</v>
      </c>
      <c r="O815" s="8" t="n">
        <v>56.6</v>
      </c>
      <c r="P815" s="8" t="n">
        <v>58.97</v>
      </c>
      <c r="Q815" s="8" t="n">
        <v>57.24</v>
      </c>
      <c r="R815" s="11" t="n">
        <v>16</v>
      </c>
      <c r="S815" s="11" t="n">
        <f aca="false">K815*R815</f>
        <v>915.84</v>
      </c>
      <c r="T815" s="8" t="n">
        <v>52.642</v>
      </c>
      <c r="U815" s="8" t="n">
        <v>81.624</v>
      </c>
      <c r="V815" s="12" t="n">
        <f aca="false">IF(U815-T815=0,"",(K815-T815)/(U815-T815))</f>
        <v>0.158650196673798</v>
      </c>
      <c r="W815" s="13" t="n">
        <f aca="false">IF(U815=0,"",K815/U815-1)</f>
        <v>-0.298735665980594</v>
      </c>
      <c r="X815" s="11" t="n">
        <v>114890</v>
      </c>
      <c r="Y815" s="5" t="s">
        <v>57</v>
      </c>
      <c r="Z815" s="5" t="s">
        <v>61</v>
      </c>
      <c r="AA815" s="5" t="s">
        <v>58</v>
      </c>
      <c r="AB815" s="5"/>
      <c r="AC815" s="5" t="s">
        <v>2578</v>
      </c>
      <c r="AD815" s="14" t="n">
        <v>46288.771875</v>
      </c>
    </row>
    <row r="816" customFormat="false" ht="15" hidden="false" customHeight="false" outlineLevel="0" collapsed="false">
      <c r="A816" s="5" t="s">
        <v>2579</v>
      </c>
      <c r="B816" s="5" t="s">
        <v>2580</v>
      </c>
      <c r="C816" s="5" t="s">
        <v>55</v>
      </c>
      <c r="D816" s="5" t="s">
        <v>56</v>
      </c>
      <c r="E816" s="5" t="s">
        <v>71</v>
      </c>
      <c r="F816" s="5" t="s">
        <v>72</v>
      </c>
      <c r="G816" s="5" t="s">
        <v>59</v>
      </c>
      <c r="H816" s="5" t="s">
        <v>60</v>
      </c>
      <c r="I816" s="6" t="n">
        <v>0.03125</v>
      </c>
      <c r="J816" s="7" t="n">
        <f aca="false">IF(I816="","",1/I816)</f>
        <v>32</v>
      </c>
      <c r="K816" s="8" t="n">
        <v>59.46</v>
      </c>
      <c r="L816" s="9" t="n">
        <v>0.26</v>
      </c>
      <c r="M816" s="10" t="n">
        <v>0.0044</v>
      </c>
      <c r="N816" s="8" t="n">
        <v>59.46</v>
      </c>
      <c r="O816" s="8" t="n">
        <v>59.46</v>
      </c>
      <c r="P816" s="8" t="n">
        <v>59.46</v>
      </c>
      <c r="Q816" s="8" t="n">
        <v>59.46</v>
      </c>
      <c r="R816" s="11" t="n">
        <v>1</v>
      </c>
      <c r="S816" s="11" t="n">
        <f aca="false">K816*R816</f>
        <v>59.46</v>
      </c>
      <c r="T816" s="8" t="n">
        <v>44.49</v>
      </c>
      <c r="U816" s="8" t="n">
        <v>62</v>
      </c>
      <c r="V816" s="12" t="n">
        <f aca="false">IF(U816-T816=0,"",(K816-T816)/(U816-T816))</f>
        <v>0.854940034266134</v>
      </c>
      <c r="W816" s="13" t="n">
        <f aca="false">IF(U816=0,"",K816/U816-1)</f>
        <v>-0.0409677419354838</v>
      </c>
      <c r="X816" s="11" t="n">
        <v>386419</v>
      </c>
      <c r="Y816" s="5" t="s">
        <v>71</v>
      </c>
      <c r="Z816" s="5" t="s">
        <v>73</v>
      </c>
      <c r="AA816" s="5" t="s">
        <v>72</v>
      </c>
      <c r="AB816" s="5"/>
      <c r="AC816" s="5" t="s">
        <v>2581</v>
      </c>
      <c r="AD816" s="14" t="n">
        <v>46288.771875</v>
      </c>
    </row>
    <row r="817" customFormat="false" ht="15" hidden="false" customHeight="false" outlineLevel="0" collapsed="false">
      <c r="A817" s="5" t="s">
        <v>2582</v>
      </c>
      <c r="B817" s="5" t="s">
        <v>2583</v>
      </c>
      <c r="C817" s="5" t="s">
        <v>55</v>
      </c>
      <c r="D817" s="5" t="s">
        <v>56</v>
      </c>
      <c r="E817" s="5" t="s">
        <v>105</v>
      </c>
      <c r="F817" s="5" t="s">
        <v>106</v>
      </c>
      <c r="G817" s="5" t="s">
        <v>59</v>
      </c>
      <c r="H817" s="5" t="s">
        <v>60</v>
      </c>
      <c r="I817" s="6" t="n">
        <v>0.03125</v>
      </c>
      <c r="J817" s="7" t="n">
        <f aca="false">IF(I817="","",1/I817)</f>
        <v>32</v>
      </c>
      <c r="K817" s="8" t="n">
        <v>61.68</v>
      </c>
      <c r="L817" s="9" t="n">
        <v>1.16</v>
      </c>
      <c r="M817" s="10" t="n">
        <v>0.0192</v>
      </c>
      <c r="N817" s="8" t="n">
        <v>60.55</v>
      </c>
      <c r="O817" s="8" t="n">
        <v>60.55</v>
      </c>
      <c r="P817" s="8" t="n">
        <v>62.08</v>
      </c>
      <c r="Q817" s="8" t="n">
        <v>61.4</v>
      </c>
      <c r="R817" s="11" t="n">
        <v>1153612</v>
      </c>
      <c r="S817" s="11" t="n">
        <f aca="false">K817*R817</f>
        <v>71154788.16</v>
      </c>
      <c r="T817" s="8" t="n">
        <v>47.33</v>
      </c>
      <c r="U817" s="8" t="n">
        <v>86.6</v>
      </c>
      <c r="V817" s="12" t="n">
        <f aca="false">IF(U817-T817=0,"",(K817-T817)/(U817-T817))</f>
        <v>0.36541889483066</v>
      </c>
      <c r="W817" s="13" t="n">
        <f aca="false">IF(U817=0,"",K817/U817-1)</f>
        <v>-0.287759815242494</v>
      </c>
      <c r="X817" s="11" t="n">
        <v>7658565</v>
      </c>
      <c r="Y817" s="5" t="s">
        <v>105</v>
      </c>
      <c r="Z817" s="5" t="s">
        <v>107</v>
      </c>
      <c r="AA817" s="5" t="s">
        <v>106</v>
      </c>
      <c r="AB817" s="5"/>
      <c r="AC817" s="5" t="s">
        <v>2584</v>
      </c>
      <c r="AD817" s="14" t="n">
        <v>46288.771875</v>
      </c>
    </row>
    <row r="818" customFormat="false" ht="15" hidden="false" customHeight="false" outlineLevel="0" collapsed="false">
      <c r="A818" s="5" t="s">
        <v>2585</v>
      </c>
      <c r="B818" s="5" t="s">
        <v>2586</v>
      </c>
      <c r="C818" s="5" t="s">
        <v>55</v>
      </c>
      <c r="D818" s="5" t="s">
        <v>56</v>
      </c>
      <c r="E818" s="5" t="s">
        <v>77</v>
      </c>
      <c r="F818" s="5" t="s">
        <v>78</v>
      </c>
      <c r="G818" s="5" t="s">
        <v>59</v>
      </c>
      <c r="H818" s="5" t="s">
        <v>86</v>
      </c>
      <c r="I818" s="6" t="n">
        <v>0.125</v>
      </c>
      <c r="J818" s="7" t="n">
        <f aca="false">IF(I818="","",1/I818)</f>
        <v>8</v>
      </c>
      <c r="K818" s="8" t="n">
        <v>288.7</v>
      </c>
      <c r="L818" s="9" t="n">
        <v>0.37</v>
      </c>
      <c r="M818" s="10" t="n">
        <v>0.0013</v>
      </c>
      <c r="N818" s="8" t="n">
        <v>287.85</v>
      </c>
      <c r="O818" s="8" t="n">
        <v>285.05</v>
      </c>
      <c r="P818" s="8" t="n">
        <v>289.7</v>
      </c>
      <c r="Q818" s="8" t="n">
        <v>288.5</v>
      </c>
      <c r="R818" s="11" t="n">
        <v>68610</v>
      </c>
      <c r="S818" s="11" t="n">
        <f aca="false">K818*R818</f>
        <v>19807707</v>
      </c>
      <c r="T818" s="8" t="n">
        <v>180.41</v>
      </c>
      <c r="U818" s="8" t="n">
        <v>308.03</v>
      </c>
      <c r="V818" s="12" t="n">
        <f aca="false">IF(U818-T818=0,"",(K818-T818)/(U818-T818))</f>
        <v>0.848534712427519</v>
      </c>
      <c r="W818" s="13" t="n">
        <f aca="false">IF(U818=0,"",K818/U818-1)</f>
        <v>-0.062753627893387</v>
      </c>
      <c r="X818" s="11" t="n">
        <v>10293170</v>
      </c>
      <c r="Y818" s="5" t="s">
        <v>77</v>
      </c>
      <c r="Z818" s="5" t="s">
        <v>79</v>
      </c>
      <c r="AA818" s="5" t="s">
        <v>78</v>
      </c>
      <c r="AB818" s="5"/>
      <c r="AC818" s="5" t="s">
        <v>2587</v>
      </c>
      <c r="AD818" s="14" t="n">
        <v>46288.771875</v>
      </c>
    </row>
    <row r="819" customFormat="false" ht="15" hidden="false" customHeight="false" outlineLevel="0" collapsed="false">
      <c r="A819" s="5" t="s">
        <v>2588</v>
      </c>
      <c r="B819" s="5" t="s">
        <v>2589</v>
      </c>
      <c r="C819" s="5" t="s">
        <v>55</v>
      </c>
      <c r="D819" s="5" t="s">
        <v>56</v>
      </c>
      <c r="E819" s="5" t="s">
        <v>273</v>
      </c>
      <c r="F819" s="5" t="s">
        <v>274</v>
      </c>
      <c r="G819" s="5" t="s">
        <v>59</v>
      </c>
      <c r="H819" s="5" t="s">
        <v>60</v>
      </c>
      <c r="I819" s="6" t="n">
        <v>0.2</v>
      </c>
      <c r="J819" s="7" t="n">
        <f aca="false">IF(I819="","",1/I819)</f>
        <v>5</v>
      </c>
      <c r="K819" s="8" t="n">
        <v>53.5</v>
      </c>
      <c r="L819" s="9" t="n">
        <v>-0.9</v>
      </c>
      <c r="M819" s="10" t="n">
        <v>-0.0165</v>
      </c>
      <c r="N819" s="8" t="n">
        <v>53.6</v>
      </c>
      <c r="O819" s="8" t="n">
        <v>53.5</v>
      </c>
      <c r="P819" s="8" t="n">
        <v>53.6</v>
      </c>
      <c r="Q819" s="8" t="n">
        <v>53.5</v>
      </c>
      <c r="R819" s="11" t="n">
        <v>1000</v>
      </c>
      <c r="S819" s="11" t="n">
        <f aca="false">K819*R819</f>
        <v>53500</v>
      </c>
      <c r="T819" s="8" t="n">
        <v>52.34</v>
      </c>
      <c r="U819" s="8" t="n">
        <v>69.768</v>
      </c>
      <c r="V819" s="12" t="n">
        <f aca="false">IF(U819-T819=0,"",(K819-T819)/(U819-T819))</f>
        <v>0.0665595593298139</v>
      </c>
      <c r="W819" s="13" t="n">
        <f aca="false">IF(U819=0,"",K819/U819-1)</f>
        <v>-0.233172801284256</v>
      </c>
      <c r="X819" s="11" t="n">
        <v>91441</v>
      </c>
      <c r="Y819" s="5" t="s">
        <v>273</v>
      </c>
      <c r="Z819" s="5" t="s">
        <v>275</v>
      </c>
      <c r="AA819" s="5" t="s">
        <v>274</v>
      </c>
      <c r="AB819" s="5"/>
      <c r="AC819" s="5" t="s">
        <v>2590</v>
      </c>
      <c r="AD819" s="14" t="n">
        <v>46288.771875</v>
      </c>
    </row>
    <row r="820" customFormat="false" ht="15" hidden="false" customHeight="false" outlineLevel="0" collapsed="false">
      <c r="A820" s="5" t="s">
        <v>2591</v>
      </c>
      <c r="B820" s="5" t="s">
        <v>2592</v>
      </c>
      <c r="C820" s="5" t="s">
        <v>248</v>
      </c>
      <c r="D820" s="5" t="s">
        <v>249</v>
      </c>
      <c r="E820" s="5" t="s">
        <v>250</v>
      </c>
      <c r="F820" s="5" t="s">
        <v>251</v>
      </c>
      <c r="G820" s="5" t="s">
        <v>59</v>
      </c>
      <c r="H820" s="5" t="s">
        <v>60</v>
      </c>
      <c r="I820" s="6" t="n">
        <v>0.25</v>
      </c>
      <c r="J820" s="7" t="n">
        <f aca="false">IF(I820="","",1/I820)</f>
        <v>4</v>
      </c>
      <c r="K820" s="8" t="n">
        <v>50</v>
      </c>
      <c r="L820" s="9" t="n">
        <v>-0.5</v>
      </c>
      <c r="M820" s="10" t="n">
        <v>-0.0099</v>
      </c>
      <c r="N820" s="8" t="n">
        <v>50</v>
      </c>
      <c r="O820" s="8" t="n">
        <v>50</v>
      </c>
      <c r="P820" s="8" t="n">
        <v>50</v>
      </c>
      <c r="Q820" s="8" t="n">
        <v>50</v>
      </c>
      <c r="R820" s="11" t="n">
        <v>3</v>
      </c>
      <c r="S820" s="11" t="n">
        <f aca="false">K820*R820</f>
        <v>150</v>
      </c>
      <c r="T820" s="8" t="n">
        <v>48.49</v>
      </c>
      <c r="U820" s="8" t="n">
        <v>54</v>
      </c>
      <c r="V820" s="12" t="n">
        <f aca="false">IF(U820-T820=0,"",(K820-T820)/(U820-T820))</f>
        <v>0.274047186932849</v>
      </c>
      <c r="W820" s="13" t="n">
        <f aca="false">IF(U820=0,"",K820/U820-1)</f>
        <v>-0.0740740740740741</v>
      </c>
      <c r="X820" s="11"/>
      <c r="Y820" s="5" t="s">
        <v>253</v>
      </c>
      <c r="Z820" s="5" t="s">
        <v>254</v>
      </c>
      <c r="AA820" s="5" t="s">
        <v>251</v>
      </c>
      <c r="AB820" s="5"/>
      <c r="AC820" s="5" t="s">
        <v>2593</v>
      </c>
      <c r="AD820" s="14" t="n">
        <v>46288.771875</v>
      </c>
    </row>
    <row r="821" customFormat="false" ht="15" hidden="false" customHeight="false" outlineLevel="0" collapsed="false">
      <c r="A821" s="5" t="s">
        <v>2594</v>
      </c>
      <c r="B821" s="5" t="s">
        <v>2595</v>
      </c>
      <c r="C821" s="5" t="s">
        <v>55</v>
      </c>
      <c r="D821" s="5" t="s">
        <v>56</v>
      </c>
      <c r="E821" s="5" t="s">
        <v>312</v>
      </c>
      <c r="F821" s="5" t="s">
        <v>313</v>
      </c>
      <c r="G821" s="5" t="s">
        <v>59</v>
      </c>
      <c r="H821" s="5" t="s">
        <v>86</v>
      </c>
      <c r="I821" s="6" t="n">
        <v>1</v>
      </c>
      <c r="J821" s="7" t="n">
        <f aca="false">IF(I821="","",1/I821)</f>
        <v>1</v>
      </c>
      <c r="K821" s="8" t="n">
        <v>288.44</v>
      </c>
      <c r="L821" s="9" t="n">
        <v>0.18</v>
      </c>
      <c r="M821" s="10" t="n">
        <v>0.0006</v>
      </c>
      <c r="N821" s="8" t="n">
        <v>289.42</v>
      </c>
      <c r="O821" s="8" t="n">
        <v>288.44</v>
      </c>
      <c r="P821" s="8" t="n">
        <v>290</v>
      </c>
      <c r="Q821" s="8" t="n">
        <v>288.44</v>
      </c>
      <c r="R821" s="11" t="n">
        <v>2227</v>
      </c>
      <c r="S821" s="11" t="n">
        <f aca="false">K821*R821</f>
        <v>642355.88</v>
      </c>
      <c r="T821" s="8" t="n">
        <v>180.6</v>
      </c>
      <c r="U821" s="8" t="n">
        <v>300.96</v>
      </c>
      <c r="V821" s="12" t="n">
        <f aca="false">IF(U821-T821=0,"",(K821-T821)/(U821-T821))</f>
        <v>0.895978730475241</v>
      </c>
      <c r="W821" s="13" t="n">
        <f aca="false">IF(U821=0,"",K821/U821-1)</f>
        <v>-0.0416002126528442</v>
      </c>
      <c r="X821" s="11" t="n">
        <v>56692</v>
      </c>
      <c r="Y821" s="5" t="s">
        <v>312</v>
      </c>
      <c r="Z821" s="5" t="s">
        <v>314</v>
      </c>
      <c r="AA821" s="5" t="s">
        <v>313</v>
      </c>
      <c r="AB821" s="5"/>
      <c r="AC821" s="5" t="s">
        <v>2596</v>
      </c>
      <c r="AD821" s="14" t="n">
        <v>46288.771875</v>
      </c>
    </row>
    <row r="822" customFormat="false" ht="15" hidden="false" customHeight="false" outlineLevel="0" collapsed="false">
      <c r="A822" s="5" t="s">
        <v>2597</v>
      </c>
      <c r="B822" s="5" t="s">
        <v>2598</v>
      </c>
      <c r="C822" s="5" t="s">
        <v>55</v>
      </c>
      <c r="D822" s="5" t="s">
        <v>56</v>
      </c>
      <c r="E822" s="5" t="s">
        <v>273</v>
      </c>
      <c r="F822" s="5" t="s">
        <v>274</v>
      </c>
      <c r="G822" s="5" t="s">
        <v>59</v>
      </c>
      <c r="H822" s="5" t="s">
        <v>60</v>
      </c>
      <c r="I822" s="6" t="n">
        <v>1</v>
      </c>
      <c r="J822" s="7" t="n">
        <f aca="false">IF(I822="","",1/I822)</f>
        <v>1</v>
      </c>
      <c r="K822" s="8" t="n">
        <v>23.8</v>
      </c>
      <c r="L822" s="9" t="n">
        <v>-1.19</v>
      </c>
      <c r="M822" s="10" t="n">
        <v>-0.0476</v>
      </c>
      <c r="N822" s="8" t="n">
        <v>23.97</v>
      </c>
      <c r="O822" s="8" t="n">
        <v>23.75</v>
      </c>
      <c r="P822" s="8" t="n">
        <v>23.97</v>
      </c>
      <c r="Q822" s="8" t="n">
        <v>23.8</v>
      </c>
      <c r="R822" s="11" t="n">
        <v>675</v>
      </c>
      <c r="S822" s="11" t="n">
        <f aca="false">K822*R822</f>
        <v>16065</v>
      </c>
      <c r="T822" s="8" t="n">
        <v>21.6</v>
      </c>
      <c r="U822" s="8" t="n">
        <v>40.12</v>
      </c>
      <c r="V822" s="12" t="n">
        <f aca="false">IF(U822-T822=0,"",(K822-T822)/(U822-T822))</f>
        <v>0.118790496760259</v>
      </c>
      <c r="W822" s="13" t="n">
        <f aca="false">IF(U822=0,"",K822/U822-1)</f>
        <v>-0.406779661016949</v>
      </c>
      <c r="X822" s="11" t="n">
        <v>10304</v>
      </c>
      <c r="Y822" s="5" t="s">
        <v>273</v>
      </c>
      <c r="Z822" s="5" t="s">
        <v>275</v>
      </c>
      <c r="AA822" s="5" t="s">
        <v>274</v>
      </c>
      <c r="AB822" s="5"/>
      <c r="AC822" s="5" t="s">
        <v>2599</v>
      </c>
      <c r="AD822" s="14" t="n">
        <v>46288.771875</v>
      </c>
    </row>
    <row r="823" customFormat="false" ht="15" hidden="false" customHeight="false" outlineLevel="0" collapsed="false">
      <c r="A823" s="5" t="s">
        <v>2600</v>
      </c>
      <c r="B823" s="5" t="s">
        <v>2601</v>
      </c>
      <c r="C823" s="5" t="s">
        <v>55</v>
      </c>
      <c r="D823" s="5" t="s">
        <v>56</v>
      </c>
      <c r="E823" s="5" t="s">
        <v>127</v>
      </c>
      <c r="F823" s="5" t="s">
        <v>128</v>
      </c>
      <c r="G823" s="5" t="s">
        <v>59</v>
      </c>
      <c r="H823" s="5"/>
      <c r="I823" s="6"/>
      <c r="J823" s="7" t="str">
        <f aca="false">IF(I823="","",1/I823)</f>
        <v/>
      </c>
      <c r="K823" s="8" t="n">
        <v>290.58</v>
      </c>
      <c r="L823" s="9" t="n">
        <v>-4.85</v>
      </c>
      <c r="M823" s="10" t="n">
        <v>-0.0164</v>
      </c>
      <c r="N823" s="8" t="n">
        <v>291.35</v>
      </c>
      <c r="O823" s="8" t="n">
        <v>290.25</v>
      </c>
      <c r="P823" s="8" t="n">
        <v>291.74</v>
      </c>
      <c r="Q823" s="8" t="n">
        <v>290.58</v>
      </c>
      <c r="R823" s="11" t="n">
        <v>3413</v>
      </c>
      <c r="S823" s="11" t="n">
        <f aca="false">K823*R823</f>
        <v>991749.54</v>
      </c>
      <c r="T823" s="8" t="n">
        <v>222.32</v>
      </c>
      <c r="U823" s="8" t="n">
        <v>357.91</v>
      </c>
      <c r="V823" s="12" t="n">
        <f aca="false">IF(U823-T823=0,"",(K823-T823)/(U823-T823))</f>
        <v>0.503429456449591</v>
      </c>
      <c r="W823" s="13" t="n">
        <f aca="false">IF(U823=0,"",K823/U823-1)</f>
        <v>-0.188119918415244</v>
      </c>
      <c r="X823" s="11" t="n">
        <v>191378</v>
      </c>
      <c r="Y823" s="5" t="s">
        <v>127</v>
      </c>
      <c r="Z823" s="5" t="s">
        <v>129</v>
      </c>
      <c r="AA823" s="5" t="s">
        <v>128</v>
      </c>
      <c r="AB823" s="5" t="s">
        <v>111</v>
      </c>
      <c r="AC823" s="5" t="s">
        <v>2602</v>
      </c>
      <c r="AD823" s="14" t="n">
        <v>46288.771875</v>
      </c>
    </row>
    <row r="824" customFormat="false" ht="15" hidden="false" customHeight="false" outlineLevel="0" collapsed="false">
      <c r="A824" s="5" t="s">
        <v>2603</v>
      </c>
      <c r="B824" s="5" t="s">
        <v>2604</v>
      </c>
      <c r="C824" s="5" t="s">
        <v>55</v>
      </c>
      <c r="D824" s="5" t="s">
        <v>56</v>
      </c>
      <c r="E824" s="5" t="s">
        <v>127</v>
      </c>
      <c r="F824" s="5" t="s">
        <v>128</v>
      </c>
      <c r="G824" s="5" t="s">
        <v>59</v>
      </c>
      <c r="H824" s="5" t="s">
        <v>60</v>
      </c>
      <c r="I824" s="6" t="n">
        <v>0.25</v>
      </c>
      <c r="J824" s="7" t="n">
        <f aca="false">IF(I824="","",1/I824)</f>
        <v>4</v>
      </c>
      <c r="K824" s="8" t="n">
        <v>89.81</v>
      </c>
      <c r="L824" s="9" t="n">
        <v>0.05</v>
      </c>
      <c r="M824" s="10" t="n">
        <v>0.0006</v>
      </c>
      <c r="N824" s="8" t="n">
        <v>90.05</v>
      </c>
      <c r="O824" s="8" t="n">
        <v>88.24</v>
      </c>
      <c r="P824" s="8" t="n">
        <v>90.3</v>
      </c>
      <c r="Q824" s="8" t="n">
        <v>89.81</v>
      </c>
      <c r="R824" s="11" t="n">
        <v>42274</v>
      </c>
      <c r="S824" s="11" t="n">
        <f aca="false">K824*R824</f>
        <v>3796627.94</v>
      </c>
      <c r="T824" s="8" t="n">
        <v>83.34</v>
      </c>
      <c r="U824" s="8" t="n">
        <v>134.58</v>
      </c>
      <c r="V824" s="12" t="n">
        <f aca="false">IF(U824-T824=0,"",(K824-T824)/(U824-T824))</f>
        <v>0.126268540202966</v>
      </c>
      <c r="W824" s="13" t="n">
        <f aca="false">IF(U824=0,"",K824/U824-1)</f>
        <v>-0.33266458611978</v>
      </c>
      <c r="X824" s="11" t="n">
        <v>730576</v>
      </c>
      <c r="Y824" s="5" t="s">
        <v>127</v>
      </c>
      <c r="Z824" s="5" t="s">
        <v>129</v>
      </c>
      <c r="AA824" s="5" t="s">
        <v>128</v>
      </c>
      <c r="AB824" s="5"/>
      <c r="AC824" s="5" t="s">
        <v>2605</v>
      </c>
      <c r="AD824" s="14" t="n">
        <v>46288.771875</v>
      </c>
    </row>
    <row r="825" customFormat="false" ht="15" hidden="false" customHeight="false" outlineLevel="0" collapsed="false">
      <c r="A825" s="5" t="s">
        <v>2606</v>
      </c>
      <c r="B825" s="5" t="s">
        <v>2607</v>
      </c>
      <c r="C825" s="5" t="s">
        <v>55</v>
      </c>
      <c r="D825" s="5" t="s">
        <v>56</v>
      </c>
      <c r="E825" s="5" t="s">
        <v>71</v>
      </c>
      <c r="F825" s="5" t="s">
        <v>72</v>
      </c>
      <c r="G825" s="5" t="s">
        <v>59</v>
      </c>
      <c r="H825" s="5" t="s">
        <v>60</v>
      </c>
      <c r="I825" s="6" t="n">
        <v>1</v>
      </c>
      <c r="J825" s="7" t="n">
        <f aca="false">IF(I825="","",1/I825)</f>
        <v>1</v>
      </c>
      <c r="K825" s="8" t="n">
        <v>181.46</v>
      </c>
      <c r="L825" s="9" t="n">
        <v>-9.64</v>
      </c>
      <c r="M825" s="10" t="n">
        <v>-0.0504</v>
      </c>
      <c r="N825" s="8" t="n">
        <v>181.46</v>
      </c>
      <c r="O825" s="8" t="n">
        <v>181.46</v>
      </c>
      <c r="P825" s="8" t="n">
        <v>181.46</v>
      </c>
      <c r="Q825" s="8" t="n">
        <v>181.46</v>
      </c>
      <c r="R825" s="11" t="n">
        <v>1</v>
      </c>
      <c r="S825" s="11" t="n">
        <f aca="false">K825*R825</f>
        <v>181.46</v>
      </c>
      <c r="T825" s="8" t="n">
        <v>169</v>
      </c>
      <c r="U825" s="8" t="n">
        <v>200.72</v>
      </c>
      <c r="V825" s="12" t="n">
        <f aca="false">IF(U825-T825=0,"",(K825-T825)/(U825-T825))</f>
        <v>0.39281210592686</v>
      </c>
      <c r="W825" s="13" t="n">
        <f aca="false">IF(U825=0,"",K825/U825-1)</f>
        <v>-0.0959545635711439</v>
      </c>
      <c r="X825" s="11" t="n">
        <v>56065</v>
      </c>
      <c r="Y825" s="5" t="s">
        <v>71</v>
      </c>
      <c r="Z825" s="5" t="s">
        <v>73</v>
      </c>
      <c r="AA825" s="5" t="s">
        <v>72</v>
      </c>
      <c r="AB825" s="5"/>
      <c r="AC825" s="5" t="s">
        <v>2608</v>
      </c>
      <c r="AD825" s="14" t="n">
        <v>46288.771875</v>
      </c>
    </row>
    <row r="826" customFormat="false" ht="15" hidden="false" customHeight="false" outlineLevel="0" collapsed="false">
      <c r="A826" s="5" t="s">
        <v>2609</v>
      </c>
      <c r="B826" s="5" t="s">
        <v>2610</v>
      </c>
      <c r="C826" s="5" t="s">
        <v>55</v>
      </c>
      <c r="D826" s="5" t="s">
        <v>56</v>
      </c>
      <c r="E826" s="5" t="s">
        <v>242</v>
      </c>
      <c r="F826" s="5" t="s">
        <v>243</v>
      </c>
      <c r="G826" s="5" t="s">
        <v>59</v>
      </c>
      <c r="H826" s="5" t="s">
        <v>60</v>
      </c>
      <c r="I826" s="6" t="n">
        <v>0.25</v>
      </c>
      <c r="J826" s="7" t="n">
        <f aca="false">IF(I826="","",1/I826)</f>
        <v>4</v>
      </c>
      <c r="K826" s="8" t="n">
        <v>231.57</v>
      </c>
      <c r="L826" s="9" t="n">
        <v>-1.42</v>
      </c>
      <c r="M826" s="10" t="n">
        <v>-0.0061</v>
      </c>
      <c r="N826" s="8" t="n">
        <v>231.57</v>
      </c>
      <c r="O826" s="8" t="n">
        <v>231.57</v>
      </c>
      <c r="P826" s="8" t="n">
        <v>231.57</v>
      </c>
      <c r="Q826" s="8" t="n">
        <v>231.57</v>
      </c>
      <c r="R826" s="11" t="n">
        <v>1</v>
      </c>
      <c r="S826" s="11" t="n">
        <f aca="false">K826*R826</f>
        <v>231.57</v>
      </c>
      <c r="T826" s="8" t="n">
        <v>177.89</v>
      </c>
      <c r="U826" s="8" t="n">
        <v>331.75</v>
      </c>
      <c r="V826" s="12" t="n">
        <f aca="false">IF(U826-T826=0,"",(K826-T826)/(U826-T826))</f>
        <v>0.348888600025998</v>
      </c>
      <c r="W826" s="13" t="n">
        <f aca="false">IF(U826=0,"",K826/U826-1)</f>
        <v>-0.30197437829691</v>
      </c>
      <c r="X826" s="11" t="n">
        <v>54066</v>
      </c>
      <c r="Y826" s="5" t="s">
        <v>242</v>
      </c>
      <c r="Z826" s="5" t="s">
        <v>244</v>
      </c>
      <c r="AA826" s="5" t="s">
        <v>243</v>
      </c>
      <c r="AB826" s="5"/>
      <c r="AC826" s="5" t="s">
        <v>2611</v>
      </c>
      <c r="AD826" s="14" t="n">
        <v>46288.771875</v>
      </c>
    </row>
    <row r="827" customFormat="false" ht="15" hidden="false" customHeight="false" outlineLevel="0" collapsed="false">
      <c r="A827" s="5" t="s">
        <v>2612</v>
      </c>
      <c r="B827" s="5" t="s">
        <v>2613</v>
      </c>
      <c r="C827" s="5" t="s">
        <v>55</v>
      </c>
      <c r="D827" s="5" t="s">
        <v>56</v>
      </c>
      <c r="E827" s="5" t="s">
        <v>57</v>
      </c>
      <c r="F827" s="5" t="s">
        <v>58</v>
      </c>
      <c r="G827" s="5" t="s">
        <v>59</v>
      </c>
      <c r="H827" s="5" t="s">
        <v>60</v>
      </c>
      <c r="I827" s="6" t="n">
        <v>0.05</v>
      </c>
      <c r="J827" s="7" t="n">
        <f aca="false">IF(I827="","",1/I827)</f>
        <v>20</v>
      </c>
      <c r="K827" s="8" t="n">
        <v>142.8</v>
      </c>
      <c r="L827" s="9" t="n">
        <v>1.54</v>
      </c>
      <c r="M827" s="10" t="n">
        <v>0.0109</v>
      </c>
      <c r="N827" s="8" t="n">
        <v>140.42</v>
      </c>
      <c r="O827" s="8" t="n">
        <v>140.42</v>
      </c>
      <c r="P827" s="8" t="n">
        <v>142.8</v>
      </c>
      <c r="Q827" s="8" t="n">
        <v>142.8</v>
      </c>
      <c r="R827" s="11" t="n">
        <v>6</v>
      </c>
      <c r="S827" s="11" t="n">
        <f aca="false">K827*R827</f>
        <v>856.8</v>
      </c>
      <c r="T827" s="8" t="n">
        <v>115.17</v>
      </c>
      <c r="U827" s="8" t="n">
        <v>182.23</v>
      </c>
      <c r="V827" s="12" t="n">
        <f aca="false">IF(U827-T827=0,"",(K827-T827)/(U827-T827))</f>
        <v>0.412019087384432</v>
      </c>
      <c r="W827" s="13" t="n">
        <f aca="false">IF(U827=0,"",K827/U827-1)</f>
        <v>-0.216374910826977</v>
      </c>
      <c r="X827" s="11" t="n">
        <v>121196</v>
      </c>
      <c r="Y827" s="5" t="s">
        <v>57</v>
      </c>
      <c r="Z827" s="5" t="s">
        <v>61</v>
      </c>
      <c r="AA827" s="5" t="s">
        <v>58</v>
      </c>
      <c r="AB827" s="5"/>
      <c r="AC827" s="5" t="s">
        <v>2614</v>
      </c>
      <c r="AD827" s="14" t="n">
        <v>46288.771875</v>
      </c>
    </row>
    <row r="828" customFormat="false" ht="15" hidden="false" customHeight="false" outlineLevel="0" collapsed="false">
      <c r="A828" s="5" t="s">
        <v>2615</v>
      </c>
      <c r="B828" s="5" t="s">
        <v>2616</v>
      </c>
      <c r="C828" s="5" t="s">
        <v>55</v>
      </c>
      <c r="D828" s="5" t="s">
        <v>56</v>
      </c>
      <c r="E828" s="5" t="s">
        <v>71</v>
      </c>
      <c r="F828" s="5" t="s">
        <v>72</v>
      </c>
      <c r="G828" s="5" t="s">
        <v>59</v>
      </c>
      <c r="H828" s="5"/>
      <c r="I828" s="6"/>
      <c r="J828" s="7" t="str">
        <f aca="false">IF(I828="","",1/I828)</f>
        <v/>
      </c>
      <c r="K828" s="8" t="n">
        <v>190.38</v>
      </c>
      <c r="L828" s="9" t="n">
        <v>4.98</v>
      </c>
      <c r="M828" s="10" t="n">
        <v>0.0269</v>
      </c>
      <c r="N828" s="8" t="n">
        <v>189.99</v>
      </c>
      <c r="O828" s="8" t="n">
        <v>189.99</v>
      </c>
      <c r="P828" s="8" t="n">
        <v>190.38</v>
      </c>
      <c r="Q828" s="8" t="n">
        <v>190.38</v>
      </c>
      <c r="R828" s="11" t="n">
        <v>6</v>
      </c>
      <c r="S828" s="11" t="n">
        <f aca="false">K828*R828</f>
        <v>1142.28</v>
      </c>
      <c r="T828" s="8" t="n">
        <v>133.29</v>
      </c>
      <c r="U828" s="8" t="n">
        <v>216.5</v>
      </c>
      <c r="V828" s="12" t="n">
        <f aca="false">IF(U828-T828=0,"",(K828-T828)/(U828-T828))</f>
        <v>0.686095421223411</v>
      </c>
      <c r="W828" s="13" t="n">
        <f aca="false">IF(U828=0,"",K828/U828-1)</f>
        <v>-0.120646651270208</v>
      </c>
      <c r="X828" s="11" t="n">
        <v>332249</v>
      </c>
      <c r="Y828" s="5" t="s">
        <v>71</v>
      </c>
      <c r="Z828" s="5" t="s">
        <v>73</v>
      </c>
      <c r="AA828" s="5" t="s">
        <v>72</v>
      </c>
      <c r="AB828" s="5" t="s">
        <v>111</v>
      </c>
      <c r="AC828" s="5" t="s">
        <v>2617</v>
      </c>
      <c r="AD828" s="14" t="n">
        <v>46288.771875</v>
      </c>
    </row>
    <row r="829" customFormat="false" ht="15" hidden="false" customHeight="false" outlineLevel="0" collapsed="false">
      <c r="A829" s="5" t="s">
        <v>2618</v>
      </c>
      <c r="B829" s="5" t="s">
        <v>2619</v>
      </c>
      <c r="C829" s="5" t="s">
        <v>55</v>
      </c>
      <c r="D829" s="5" t="s">
        <v>56</v>
      </c>
      <c r="E829" s="5" t="s">
        <v>230</v>
      </c>
      <c r="F829" s="5" t="s">
        <v>231</v>
      </c>
      <c r="G829" s="5" t="s">
        <v>59</v>
      </c>
      <c r="H829" s="5" t="s">
        <v>60</v>
      </c>
      <c r="I829" s="6" t="n">
        <v>0.25</v>
      </c>
      <c r="J829" s="7" t="n">
        <f aca="false">IF(I829="","",1/I829)</f>
        <v>4</v>
      </c>
      <c r="K829" s="8" t="n">
        <v>59.58</v>
      </c>
      <c r="L829" s="9" t="n">
        <v>1.62</v>
      </c>
      <c r="M829" s="10" t="n">
        <v>0.028</v>
      </c>
      <c r="N829" s="8" t="n">
        <v>59.58</v>
      </c>
      <c r="O829" s="8" t="n">
        <v>59.58</v>
      </c>
      <c r="P829" s="8" t="n">
        <v>59.58</v>
      </c>
      <c r="Q829" s="8" t="n">
        <v>59.58</v>
      </c>
      <c r="R829" s="11" t="n">
        <v>220</v>
      </c>
      <c r="S829" s="11" t="n">
        <f aca="false">K829*R829</f>
        <v>13107.6</v>
      </c>
      <c r="T829" s="8" t="n">
        <v>53.69</v>
      </c>
      <c r="U829" s="8" t="n">
        <v>71.11</v>
      </c>
      <c r="V829" s="12" t="n">
        <f aca="false">IF(U829-T829=0,"",(K829-T829)/(U829-T829))</f>
        <v>0.338117106773823</v>
      </c>
      <c r="W829" s="13" t="n">
        <f aca="false">IF(U829=0,"",K829/U829-1)</f>
        <v>-0.162143158486851</v>
      </c>
      <c r="X829" s="11" t="n">
        <v>14156</v>
      </c>
      <c r="Y829" s="5" t="s">
        <v>230</v>
      </c>
      <c r="Z829" s="5" t="s">
        <v>232</v>
      </c>
      <c r="AA829" s="5" t="s">
        <v>231</v>
      </c>
      <c r="AB829" s="5"/>
      <c r="AC829" s="5" t="s">
        <v>2620</v>
      </c>
      <c r="AD829" s="14" t="n">
        <v>46288.771875</v>
      </c>
    </row>
    <row r="830" customFormat="false" ht="15" hidden="false" customHeight="false" outlineLevel="0" collapsed="false">
      <c r="A830" s="5" t="s">
        <v>2621</v>
      </c>
      <c r="B830" s="5" t="s">
        <v>2622</v>
      </c>
      <c r="C830" s="5" t="s">
        <v>55</v>
      </c>
      <c r="D830" s="5" t="s">
        <v>56</v>
      </c>
      <c r="E830" s="5" t="s">
        <v>71</v>
      </c>
      <c r="F830" s="5" t="s">
        <v>72</v>
      </c>
      <c r="G830" s="5" t="s">
        <v>59</v>
      </c>
      <c r="H830" s="5" t="s">
        <v>60</v>
      </c>
      <c r="I830" s="6" t="n">
        <v>0.05</v>
      </c>
      <c r="J830" s="7" t="n">
        <f aca="false">IF(I830="","",1/I830)</f>
        <v>20</v>
      </c>
      <c r="K830" s="8" t="n">
        <v>6.42</v>
      </c>
      <c r="L830" s="9" t="n">
        <v>-0.21</v>
      </c>
      <c r="M830" s="10" t="n">
        <v>-0.0317</v>
      </c>
      <c r="N830" s="8" t="n">
        <v>6.62</v>
      </c>
      <c r="O830" s="8" t="n">
        <v>6.42</v>
      </c>
      <c r="P830" s="8" t="n">
        <v>6.65</v>
      </c>
      <c r="Q830" s="8" t="n">
        <v>6.42</v>
      </c>
      <c r="R830" s="11" t="n">
        <v>180</v>
      </c>
      <c r="S830" s="11" t="n">
        <f aca="false">K830*R830</f>
        <v>1155.6</v>
      </c>
      <c r="T830" s="8" t="n">
        <v>6.3</v>
      </c>
      <c r="U830" s="8" t="n">
        <v>15.64</v>
      </c>
      <c r="V830" s="12" t="n">
        <f aca="false">IF(U830-T830=0,"",(K830-T830)/(U830-T830))</f>
        <v>0.012847965738758</v>
      </c>
      <c r="W830" s="13" t="n">
        <f aca="false">IF(U830=0,"",K830/U830-1)</f>
        <v>-0.589514066496164</v>
      </c>
      <c r="X830" s="11" t="n">
        <v>12934</v>
      </c>
      <c r="Y830" s="5" t="s">
        <v>71</v>
      </c>
      <c r="Z830" s="5" t="s">
        <v>73</v>
      </c>
      <c r="AA830" s="5" t="s">
        <v>72</v>
      </c>
      <c r="AB830" s="5"/>
      <c r="AC830" s="5" t="s">
        <v>2623</v>
      </c>
      <c r="AD830" s="14" t="n">
        <v>46288.771875</v>
      </c>
    </row>
    <row r="831" customFormat="false" ht="15" hidden="false" customHeight="false" outlineLevel="0" collapsed="false">
      <c r="A831" s="5" t="s">
        <v>2624</v>
      </c>
      <c r="B831" s="5" t="s">
        <v>2625</v>
      </c>
      <c r="C831" s="5" t="s">
        <v>55</v>
      </c>
      <c r="D831" s="5" t="s">
        <v>56</v>
      </c>
      <c r="E831" s="5" t="s">
        <v>1388</v>
      </c>
      <c r="F831" s="5" t="s">
        <v>1389</v>
      </c>
      <c r="G831" s="5" t="s">
        <v>59</v>
      </c>
      <c r="H831" s="5" t="s">
        <v>60</v>
      </c>
      <c r="I831" s="6" t="n">
        <v>0.2</v>
      </c>
      <c r="J831" s="7" t="n">
        <f aca="false">IF(I831="","",1/I831)</f>
        <v>5</v>
      </c>
      <c r="K831" s="8" t="n">
        <v>8.45</v>
      </c>
      <c r="L831" s="9" t="n">
        <v>-0.12</v>
      </c>
      <c r="M831" s="10" t="n">
        <v>-0.014</v>
      </c>
      <c r="N831" s="8" t="n">
        <v>8.45</v>
      </c>
      <c r="O831" s="8" t="n">
        <v>8.45</v>
      </c>
      <c r="P831" s="8" t="n">
        <v>8.45</v>
      </c>
      <c r="Q831" s="8" t="n">
        <v>8.45</v>
      </c>
      <c r="R831" s="11" t="n">
        <v>42</v>
      </c>
      <c r="S831" s="11" t="n">
        <f aca="false">K831*R831</f>
        <v>354.9</v>
      </c>
      <c r="T831" s="8" t="n">
        <v>7.41</v>
      </c>
      <c r="U831" s="8" t="n">
        <v>23.96</v>
      </c>
      <c r="V831" s="12" t="n">
        <f aca="false">IF(U831-T831=0,"",(K831-T831)/(U831-T831))</f>
        <v>0.0628398791540785</v>
      </c>
      <c r="W831" s="13" t="n">
        <f aca="false">IF(U831=0,"",K831/U831-1)</f>
        <v>-0.647328881469115</v>
      </c>
      <c r="X831" s="11" t="n">
        <v>5337</v>
      </c>
      <c r="Y831" s="5" t="s">
        <v>1388</v>
      </c>
      <c r="Z831" s="5" t="s">
        <v>1390</v>
      </c>
      <c r="AA831" s="5" t="s">
        <v>1389</v>
      </c>
      <c r="AB831" s="5"/>
      <c r="AC831" s="5" t="s">
        <v>2626</v>
      </c>
      <c r="AD831" s="14" t="n">
        <v>46288.771875</v>
      </c>
    </row>
    <row r="832" customFormat="false" ht="15" hidden="false" customHeight="false" outlineLevel="0" collapsed="false">
      <c r="A832" s="5" t="s">
        <v>2627</v>
      </c>
      <c r="B832" s="5" t="s">
        <v>2628</v>
      </c>
      <c r="C832" s="5" t="s">
        <v>55</v>
      </c>
      <c r="D832" s="5" t="s">
        <v>56</v>
      </c>
      <c r="E832" s="5" t="s">
        <v>115</v>
      </c>
      <c r="F832" s="5" t="s">
        <v>116</v>
      </c>
      <c r="G832" s="5" t="s">
        <v>59</v>
      </c>
      <c r="H832" s="5" t="s">
        <v>60</v>
      </c>
      <c r="I832" s="6" t="n">
        <v>0.05</v>
      </c>
      <c r="J832" s="7" t="n">
        <f aca="false">IF(I832="","",1/I832)</f>
        <v>20</v>
      </c>
      <c r="K832" s="8" t="n">
        <v>11</v>
      </c>
      <c r="L832" s="9" t="n">
        <v>-0.03</v>
      </c>
      <c r="M832" s="10" t="n">
        <v>-0.0027</v>
      </c>
      <c r="N832" s="8" t="n">
        <v>11</v>
      </c>
      <c r="O832" s="8" t="n">
        <v>10.96</v>
      </c>
      <c r="P832" s="8" t="n">
        <v>11.01</v>
      </c>
      <c r="Q832" s="8" t="n">
        <v>11</v>
      </c>
      <c r="R832" s="11" t="n">
        <v>1643</v>
      </c>
      <c r="S832" s="11" t="n">
        <f aca="false">K832*R832</f>
        <v>18073</v>
      </c>
      <c r="T832" s="8" t="n">
        <v>4.35</v>
      </c>
      <c r="U832" s="8" t="n">
        <v>14.07</v>
      </c>
      <c r="V832" s="12" t="n">
        <f aca="false">IF(U832-T832=0,"",(K832-T832)/(U832-T832))</f>
        <v>0.684156378600823</v>
      </c>
      <c r="W832" s="13" t="n">
        <f aca="false">IF(U832=0,"",K832/U832-1)</f>
        <v>-0.2181947405828</v>
      </c>
      <c r="X832" s="11" t="n">
        <v>97094</v>
      </c>
      <c r="Y832" s="5" t="s">
        <v>115</v>
      </c>
      <c r="Z832" s="5" t="s">
        <v>117</v>
      </c>
      <c r="AA832" s="5" t="s">
        <v>116</v>
      </c>
      <c r="AB832" s="5"/>
      <c r="AC832" s="5" t="s">
        <v>2629</v>
      </c>
      <c r="AD832" s="14" t="n">
        <v>46288.771875</v>
      </c>
    </row>
    <row r="833" customFormat="false" ht="15" hidden="false" customHeight="false" outlineLevel="0" collapsed="false">
      <c r="A833" s="5" t="s">
        <v>2630</v>
      </c>
      <c r="B833" s="5" t="s">
        <v>2631</v>
      </c>
      <c r="C833" s="5" t="s">
        <v>55</v>
      </c>
      <c r="D833" s="5" t="s">
        <v>56</v>
      </c>
      <c r="E833" s="5" t="s">
        <v>71</v>
      </c>
      <c r="F833" s="5" t="s">
        <v>72</v>
      </c>
      <c r="G833" s="5" t="s">
        <v>59</v>
      </c>
      <c r="H833" s="5" t="s">
        <v>60</v>
      </c>
      <c r="I833" s="6" t="n">
        <v>0.25</v>
      </c>
      <c r="J833" s="7" t="n">
        <f aca="false">IF(I833="","",1/I833)</f>
        <v>4</v>
      </c>
      <c r="K833" s="8" t="n">
        <v>61.8</v>
      </c>
      <c r="L833" s="9" t="n">
        <v>-1.13</v>
      </c>
      <c r="M833" s="10" t="n">
        <v>-0.018</v>
      </c>
      <c r="N833" s="8" t="n">
        <v>62.22</v>
      </c>
      <c r="O833" s="8" t="n">
        <v>61.8</v>
      </c>
      <c r="P833" s="8" t="n">
        <v>62.22</v>
      </c>
      <c r="Q833" s="8" t="n">
        <v>61.8</v>
      </c>
      <c r="R833" s="11" t="n">
        <v>259</v>
      </c>
      <c r="S833" s="11" t="n">
        <f aca="false">K833*R833</f>
        <v>16006.2</v>
      </c>
      <c r="T833" s="8" t="n">
        <v>48.165</v>
      </c>
      <c r="U833" s="8" t="n">
        <v>72.1</v>
      </c>
      <c r="V833" s="12" t="n">
        <f aca="false">IF(U833-T833=0,"",(K833-T833)/(U833-T833))</f>
        <v>0.569667850428243</v>
      </c>
      <c r="W833" s="13" t="n">
        <f aca="false">IF(U833=0,"",K833/U833-1)</f>
        <v>-0.142857142857143</v>
      </c>
      <c r="X833" s="11" t="n">
        <v>761757</v>
      </c>
      <c r="Y833" s="5" t="s">
        <v>71</v>
      </c>
      <c r="Z833" s="5" t="s">
        <v>73</v>
      </c>
      <c r="AA833" s="5" t="s">
        <v>72</v>
      </c>
      <c r="AB833" s="5"/>
      <c r="AC833" s="5" t="s">
        <v>2632</v>
      </c>
      <c r="AD833" s="14" t="n">
        <v>46288.771875</v>
      </c>
    </row>
    <row r="834" customFormat="false" ht="15" hidden="false" customHeight="false" outlineLevel="0" collapsed="false">
      <c r="A834" s="5" t="s">
        <v>2633</v>
      </c>
      <c r="B834" s="5" t="s">
        <v>2634</v>
      </c>
      <c r="C834" s="5" t="s">
        <v>55</v>
      </c>
      <c r="D834" s="5" t="s">
        <v>56</v>
      </c>
      <c r="E834" s="5" t="s">
        <v>273</v>
      </c>
      <c r="F834" s="5" t="s">
        <v>274</v>
      </c>
      <c r="G834" s="5" t="s">
        <v>59</v>
      </c>
      <c r="H834" s="5" t="s">
        <v>86</v>
      </c>
      <c r="I834" s="6" t="n">
        <v>0.2</v>
      </c>
      <c r="J834" s="7" t="n">
        <f aca="false">IF(I834="","",1/I834)</f>
        <v>5</v>
      </c>
      <c r="K834" s="8" t="n">
        <v>64.56</v>
      </c>
      <c r="L834" s="9" t="n">
        <v>0.08</v>
      </c>
      <c r="M834" s="10" t="n">
        <v>0.0012</v>
      </c>
      <c r="N834" s="8" t="n">
        <v>64.49</v>
      </c>
      <c r="O834" s="8" t="n">
        <v>64.22</v>
      </c>
      <c r="P834" s="8" t="n">
        <v>64.56</v>
      </c>
      <c r="Q834" s="8" t="n">
        <v>64.56</v>
      </c>
      <c r="R834" s="11" t="n">
        <v>3009</v>
      </c>
      <c r="S834" s="11" t="n">
        <f aca="false">K834*R834</f>
        <v>194261.04</v>
      </c>
      <c r="T834" s="8" t="n">
        <v>55.198</v>
      </c>
      <c r="U834" s="8" t="n">
        <v>79.75125</v>
      </c>
      <c r="V834" s="12" t="n">
        <f aca="false">IF(U834-T834=0,"",(K834-T834)/(U834-T834))</f>
        <v>0.381293718754137</v>
      </c>
      <c r="W834" s="13" t="n">
        <f aca="false">IF(U834=0,"",K834/U834-1)</f>
        <v>-0.190482907791414</v>
      </c>
      <c r="X834" s="11" t="n">
        <v>690913</v>
      </c>
      <c r="Y834" s="5" t="s">
        <v>273</v>
      </c>
      <c r="Z834" s="5" t="s">
        <v>275</v>
      </c>
      <c r="AA834" s="5" t="s">
        <v>274</v>
      </c>
      <c r="AB834" s="5"/>
      <c r="AC834" s="5" t="s">
        <v>2635</v>
      </c>
      <c r="AD834" s="14" t="n">
        <v>46288.771875</v>
      </c>
    </row>
    <row r="835" customFormat="false" ht="15" hidden="false" customHeight="false" outlineLevel="0" collapsed="false">
      <c r="A835" s="5" t="s">
        <v>2636</v>
      </c>
      <c r="B835" s="5" t="s">
        <v>2637</v>
      </c>
      <c r="C835" s="5" t="s">
        <v>55</v>
      </c>
      <c r="D835" s="5" t="s">
        <v>56</v>
      </c>
      <c r="E835" s="5" t="s">
        <v>242</v>
      </c>
      <c r="F835" s="5" t="s">
        <v>243</v>
      </c>
      <c r="G835" s="5" t="s">
        <v>59</v>
      </c>
      <c r="H835" s="5" t="s">
        <v>60</v>
      </c>
      <c r="I835" s="6" t="n">
        <v>0.0142857</v>
      </c>
      <c r="J835" s="7" t="n">
        <f aca="false">IF(I835="","",1/I835)</f>
        <v>70.00007000007</v>
      </c>
      <c r="K835" s="8" t="n">
        <v>27.3</v>
      </c>
      <c r="L835" s="9" t="n">
        <v>0.15</v>
      </c>
      <c r="M835" s="10" t="n">
        <v>0.0055</v>
      </c>
      <c r="N835" s="8" t="n">
        <v>27.33</v>
      </c>
      <c r="O835" s="8" t="n">
        <v>27.03</v>
      </c>
      <c r="P835" s="8" t="n">
        <v>27.35</v>
      </c>
      <c r="Q835" s="8" t="n">
        <v>27.34</v>
      </c>
      <c r="R835" s="11" t="n">
        <v>3322</v>
      </c>
      <c r="S835" s="11" t="n">
        <f aca="false">K835*R835</f>
        <v>90690.6</v>
      </c>
      <c r="T835" s="8" t="n">
        <v>19.15</v>
      </c>
      <c r="U835" s="8" t="n">
        <v>33.5</v>
      </c>
      <c r="V835" s="12" t="n">
        <f aca="false">IF(U835-T835=0,"",(K835-T835)/(U835-T835))</f>
        <v>0.56794425087108</v>
      </c>
      <c r="W835" s="13" t="n">
        <f aca="false">IF(U835=0,"",K835/U835-1)</f>
        <v>-0.185074626865672</v>
      </c>
      <c r="X835" s="11" t="n">
        <v>1713193</v>
      </c>
      <c r="Y835" s="5" t="s">
        <v>242</v>
      </c>
      <c r="Z835" s="5" t="s">
        <v>244</v>
      </c>
      <c r="AA835" s="5" t="s">
        <v>243</v>
      </c>
      <c r="AB835" s="5"/>
      <c r="AC835" s="5" t="s">
        <v>2638</v>
      </c>
      <c r="AD835" s="14" t="n">
        <v>46288.771875</v>
      </c>
    </row>
    <row r="836" customFormat="false" ht="15" hidden="false" customHeight="false" outlineLevel="0" collapsed="false">
      <c r="A836" s="5" t="s">
        <v>2639</v>
      </c>
      <c r="B836" s="5" t="s">
        <v>2640</v>
      </c>
      <c r="C836" s="5" t="s">
        <v>55</v>
      </c>
      <c r="D836" s="5" t="s">
        <v>56</v>
      </c>
      <c r="E836" s="5" t="s">
        <v>127</v>
      </c>
      <c r="F836" s="5" t="s">
        <v>128</v>
      </c>
      <c r="G836" s="5" t="s">
        <v>59</v>
      </c>
      <c r="H836" s="5" t="s">
        <v>60</v>
      </c>
      <c r="I836" s="6" t="n">
        <v>0.041667</v>
      </c>
      <c r="J836" s="7" t="n">
        <f aca="false">IF(I836="","",1/I836)</f>
        <v>23.999808001536</v>
      </c>
      <c r="K836" s="8" t="n">
        <v>59.46</v>
      </c>
      <c r="L836" s="9" t="n">
        <v>1.14</v>
      </c>
      <c r="M836" s="10" t="n">
        <v>0.0195</v>
      </c>
      <c r="N836" s="8" t="n">
        <v>58.4</v>
      </c>
      <c r="O836" s="8" t="n">
        <v>58.4</v>
      </c>
      <c r="P836" s="8" t="n">
        <v>59.46</v>
      </c>
      <c r="Q836" s="8" t="n">
        <v>59.46</v>
      </c>
      <c r="R836" s="11" t="n">
        <v>1255</v>
      </c>
      <c r="S836" s="11" t="n">
        <f aca="false">K836*R836</f>
        <v>74622.3</v>
      </c>
      <c r="T836" s="8" t="n">
        <v>48.81833431</v>
      </c>
      <c r="U836" s="8" t="n">
        <v>66.85</v>
      </c>
      <c r="V836" s="12" t="n">
        <f aca="false">IF(U836-T836=0,"",(K836-T836)/(U836-T836))</f>
        <v>0.590165427473606</v>
      </c>
      <c r="W836" s="13" t="n">
        <f aca="false">IF(U836=0,"",K836/U836-1)</f>
        <v>-0.110545998504114</v>
      </c>
      <c r="X836" s="11" t="n">
        <v>834290</v>
      </c>
      <c r="Y836" s="5" t="s">
        <v>127</v>
      </c>
      <c r="Z836" s="5" t="s">
        <v>129</v>
      </c>
      <c r="AA836" s="5" t="s">
        <v>128</v>
      </c>
      <c r="AB836" s="5"/>
      <c r="AC836" s="5" t="s">
        <v>2641</v>
      </c>
      <c r="AD836" s="14" t="n">
        <v>46288.771875</v>
      </c>
    </row>
    <row r="837" customFormat="false" ht="15" hidden="false" customHeight="false" outlineLevel="0" collapsed="false">
      <c r="A837" s="5" t="s">
        <v>2642</v>
      </c>
      <c r="B837" s="5" t="s">
        <v>2643</v>
      </c>
      <c r="C837" s="5" t="s">
        <v>55</v>
      </c>
      <c r="D837" s="5" t="s">
        <v>56</v>
      </c>
      <c r="E837" s="5" t="s">
        <v>127</v>
      </c>
      <c r="F837" s="5" t="s">
        <v>128</v>
      </c>
      <c r="G837" s="5" t="s">
        <v>59</v>
      </c>
      <c r="H837" s="5" t="s">
        <v>60</v>
      </c>
      <c r="I837" s="6" t="n">
        <v>0.0625</v>
      </c>
      <c r="J837" s="7" t="n">
        <f aca="false">IF(I837="","",1/I837)</f>
        <v>16</v>
      </c>
      <c r="K837" s="8" t="n">
        <v>31.01</v>
      </c>
      <c r="L837" s="9" t="n">
        <v>0.44</v>
      </c>
      <c r="M837" s="10" t="n">
        <v>0.0144</v>
      </c>
      <c r="N837" s="8" t="n">
        <v>30.63</v>
      </c>
      <c r="O837" s="8" t="n">
        <v>30.63</v>
      </c>
      <c r="P837" s="8" t="n">
        <v>31.13</v>
      </c>
      <c r="Q837" s="8" t="n">
        <v>31.01</v>
      </c>
      <c r="R837" s="11" t="n">
        <v>156</v>
      </c>
      <c r="S837" s="11" t="n">
        <f aca="false">K837*R837</f>
        <v>4837.56</v>
      </c>
      <c r="T837" s="8" t="n">
        <v>27.51</v>
      </c>
      <c r="U837" s="8" t="n">
        <v>41.09</v>
      </c>
      <c r="V837" s="12" t="n">
        <f aca="false">IF(U837-T837=0,"",(K837-T837)/(U837-T837))</f>
        <v>0.257731958762887</v>
      </c>
      <c r="W837" s="13" t="n">
        <f aca="false">IF(U837=0,"",K837/U837-1)</f>
        <v>-0.245315161839864</v>
      </c>
      <c r="X837" s="11" t="n">
        <v>417423</v>
      </c>
      <c r="Y837" s="5" t="s">
        <v>127</v>
      </c>
      <c r="Z837" s="5" t="s">
        <v>129</v>
      </c>
      <c r="AA837" s="5" t="s">
        <v>128</v>
      </c>
      <c r="AB837" s="5"/>
      <c r="AC837" s="5" t="s">
        <v>2644</v>
      </c>
      <c r="AD837" s="14" t="n">
        <v>46288.771875</v>
      </c>
    </row>
    <row r="838" customFormat="false" ht="15" hidden="false" customHeight="false" outlineLevel="0" collapsed="false">
      <c r="A838" s="5" t="s">
        <v>2645</v>
      </c>
      <c r="B838" s="5" t="s">
        <v>2646</v>
      </c>
      <c r="C838" s="5" t="s">
        <v>55</v>
      </c>
      <c r="D838" s="5" t="s">
        <v>56</v>
      </c>
      <c r="E838" s="5" t="s">
        <v>71</v>
      </c>
      <c r="F838" s="5" t="s">
        <v>72</v>
      </c>
      <c r="G838" s="5" t="s">
        <v>59</v>
      </c>
      <c r="H838" s="5" t="s">
        <v>60</v>
      </c>
      <c r="I838" s="6" t="n">
        <v>0.25</v>
      </c>
      <c r="J838" s="7" t="n">
        <f aca="false">IF(I838="","",1/I838)</f>
        <v>4</v>
      </c>
      <c r="K838" s="8" t="n">
        <v>75.78</v>
      </c>
      <c r="L838" s="9" t="n">
        <v>-0.27</v>
      </c>
      <c r="M838" s="10" t="n">
        <v>-0.0036</v>
      </c>
      <c r="N838" s="8" t="n">
        <v>76.09</v>
      </c>
      <c r="O838" s="8" t="n">
        <v>75.78</v>
      </c>
      <c r="P838" s="8" t="n">
        <v>76.35</v>
      </c>
      <c r="Q838" s="8" t="n">
        <v>75.78</v>
      </c>
      <c r="R838" s="11" t="n">
        <v>246</v>
      </c>
      <c r="S838" s="11" t="n">
        <f aca="false">K838*R838</f>
        <v>18641.88</v>
      </c>
      <c r="T838" s="8" t="n">
        <v>60.7</v>
      </c>
      <c r="U838" s="8" t="n">
        <v>85.95</v>
      </c>
      <c r="V838" s="12" t="n">
        <f aca="false">IF(U838-T838=0,"",(K838-T838)/(U838-T838))</f>
        <v>0.597227722772277</v>
      </c>
      <c r="W838" s="13" t="n">
        <f aca="false">IF(U838=0,"",K838/U838-1)</f>
        <v>-0.118324607329843</v>
      </c>
      <c r="X838" s="11" t="n">
        <v>473954</v>
      </c>
      <c r="Y838" s="5" t="s">
        <v>71</v>
      </c>
      <c r="Z838" s="5" t="s">
        <v>73</v>
      </c>
      <c r="AA838" s="5" t="s">
        <v>72</v>
      </c>
      <c r="AB838" s="5"/>
      <c r="AC838" s="5" t="s">
        <v>2647</v>
      </c>
      <c r="AD838" s="14" t="n">
        <v>46288.771875</v>
      </c>
    </row>
    <row r="839" customFormat="false" ht="15" hidden="false" customHeight="false" outlineLevel="0" collapsed="false">
      <c r="A839" s="5" t="s">
        <v>2648</v>
      </c>
      <c r="B839" s="5" t="s">
        <v>2649</v>
      </c>
      <c r="C839" s="5" t="s">
        <v>55</v>
      </c>
      <c r="D839" s="5" t="s">
        <v>56</v>
      </c>
      <c r="E839" s="5" t="s">
        <v>57</v>
      </c>
      <c r="F839" s="5" t="s">
        <v>58</v>
      </c>
      <c r="G839" s="5" t="s">
        <v>59</v>
      </c>
      <c r="H839" s="5" t="s">
        <v>86</v>
      </c>
      <c r="I839" s="6" t="n">
        <v>0.5</v>
      </c>
      <c r="J839" s="7" t="n">
        <f aca="false">IF(I839="","",1/I839)</f>
        <v>2</v>
      </c>
      <c r="K839" s="8" t="n">
        <v>32</v>
      </c>
      <c r="L839" s="9" t="n">
        <v>0</v>
      </c>
      <c r="M839" s="10" t="n">
        <v>0</v>
      </c>
      <c r="N839" s="8" t="n">
        <v>32.24</v>
      </c>
      <c r="O839" s="8" t="n">
        <v>32</v>
      </c>
      <c r="P839" s="8" t="n">
        <v>32.24</v>
      </c>
      <c r="Q839" s="8" t="n">
        <v>32</v>
      </c>
      <c r="R839" s="11" t="n">
        <v>201</v>
      </c>
      <c r="S839" s="11" t="n">
        <f aca="false">K839*R839</f>
        <v>6432</v>
      </c>
      <c r="T839" s="8" t="n">
        <v>31.47</v>
      </c>
      <c r="U839" s="8" t="n">
        <v>54.76</v>
      </c>
      <c r="V839" s="12" t="n">
        <f aca="false">IF(U839-T839=0,"",(K839-T839)/(U839-T839))</f>
        <v>0.0227565478746244</v>
      </c>
      <c r="W839" s="13" t="n">
        <f aca="false">IF(U839=0,"",K839/U839-1)</f>
        <v>-0.41563184806428</v>
      </c>
      <c r="X839" s="11" t="n">
        <v>30832</v>
      </c>
      <c r="Y839" s="5" t="s">
        <v>57</v>
      </c>
      <c r="Z839" s="5" t="s">
        <v>61</v>
      </c>
      <c r="AA839" s="5" t="s">
        <v>58</v>
      </c>
      <c r="AB839" s="5"/>
      <c r="AC839" s="5" t="s">
        <v>2650</v>
      </c>
      <c r="AD839" s="14" t="n">
        <v>46288.771875</v>
      </c>
    </row>
    <row r="840" customFormat="false" ht="15" hidden="false" customHeight="false" outlineLevel="0" collapsed="false">
      <c r="A840" s="5" t="s">
        <v>2651</v>
      </c>
      <c r="B840" s="5" t="s">
        <v>2652</v>
      </c>
      <c r="C840" s="5" t="s">
        <v>55</v>
      </c>
      <c r="D840" s="5" t="s">
        <v>56</v>
      </c>
      <c r="E840" s="5" t="s">
        <v>312</v>
      </c>
      <c r="F840" s="5" t="s">
        <v>313</v>
      </c>
      <c r="G840" s="5" t="s">
        <v>59</v>
      </c>
      <c r="H840" s="5" t="s">
        <v>60</v>
      </c>
      <c r="I840" s="6" t="n">
        <v>0.0166667</v>
      </c>
      <c r="J840" s="7" t="n">
        <f aca="false">IF(I840="","",1/I840)</f>
        <v>59.99988000024</v>
      </c>
      <c r="K840" s="8" t="n">
        <v>21.3</v>
      </c>
      <c r="L840" s="9" t="n">
        <v>0.32</v>
      </c>
      <c r="M840" s="10" t="n">
        <v>0.0153</v>
      </c>
      <c r="N840" s="8" t="n">
        <v>21.3</v>
      </c>
      <c r="O840" s="8" t="n">
        <v>21.3</v>
      </c>
      <c r="P840" s="8" t="n">
        <v>21.3</v>
      </c>
      <c r="Q840" s="8" t="n">
        <v>21.3</v>
      </c>
      <c r="R840" s="11" t="n">
        <v>580</v>
      </c>
      <c r="S840" s="11" t="n">
        <f aca="false">K840*R840</f>
        <v>12354</v>
      </c>
      <c r="T840" s="8" t="n">
        <v>20.9</v>
      </c>
      <c r="U840" s="8" t="n">
        <v>27.81</v>
      </c>
      <c r="V840" s="12" t="n">
        <f aca="false">IF(U840-T840=0,"",(K840-T840)/(U840-T840))</f>
        <v>0.0578871201157746</v>
      </c>
      <c r="W840" s="13" t="n">
        <f aca="false">IF(U840=0,"",K840/U840-1)</f>
        <v>-0.234088457389428</v>
      </c>
      <c r="X840" s="11" t="n">
        <v>164374</v>
      </c>
      <c r="Y840" s="5" t="s">
        <v>312</v>
      </c>
      <c r="Z840" s="5" t="s">
        <v>314</v>
      </c>
      <c r="AA840" s="5" t="s">
        <v>313</v>
      </c>
      <c r="AB840" s="5"/>
      <c r="AC840" s="5" t="s">
        <v>2653</v>
      </c>
      <c r="AD840" s="14" t="n">
        <v>46288.771875</v>
      </c>
    </row>
    <row r="841" customFormat="false" ht="15" hidden="false" customHeight="false" outlineLevel="0" collapsed="false">
      <c r="A841" s="5" t="s">
        <v>2654</v>
      </c>
      <c r="B841" s="5" t="s">
        <v>2655</v>
      </c>
      <c r="C841" s="5" t="s">
        <v>55</v>
      </c>
      <c r="D841" s="5" t="s">
        <v>56</v>
      </c>
      <c r="E841" s="5" t="s">
        <v>71</v>
      </c>
      <c r="F841" s="5" t="s">
        <v>72</v>
      </c>
      <c r="G841" s="5" t="s">
        <v>59</v>
      </c>
      <c r="H841" s="5" t="s">
        <v>60</v>
      </c>
      <c r="I841" s="6" t="n">
        <v>1</v>
      </c>
      <c r="J841" s="7" t="n">
        <f aca="false">IF(I841="","",1/I841)</f>
        <v>1</v>
      </c>
      <c r="K841" s="8" t="n">
        <v>181.98</v>
      </c>
      <c r="L841" s="9" t="n">
        <v>1.69</v>
      </c>
      <c r="M841" s="10" t="n">
        <v>0.0094</v>
      </c>
      <c r="N841" s="8" t="n">
        <v>181.98</v>
      </c>
      <c r="O841" s="8" t="n">
        <v>181.98</v>
      </c>
      <c r="P841" s="8" t="n">
        <v>181.98</v>
      </c>
      <c r="Q841" s="8" t="n">
        <v>181.98</v>
      </c>
      <c r="R841" s="11" t="n">
        <v>100</v>
      </c>
      <c r="S841" s="11" t="n">
        <f aca="false">K841*R841</f>
        <v>18198</v>
      </c>
      <c r="T841" s="8" t="n">
        <v>131.17</v>
      </c>
      <c r="U841" s="8" t="n">
        <v>220.44</v>
      </c>
      <c r="V841" s="12" t="n">
        <f aca="false">IF(U841-T841=0,"",(K841-T841)/(U841-T841))</f>
        <v>0.569172174302677</v>
      </c>
      <c r="W841" s="13" t="n">
        <f aca="false">IF(U841=0,"",K841/U841-1)</f>
        <v>-0.174469243331519</v>
      </c>
      <c r="X841" s="11" t="n">
        <v>33713</v>
      </c>
      <c r="Y841" s="5" t="s">
        <v>71</v>
      </c>
      <c r="Z841" s="5" t="s">
        <v>73</v>
      </c>
      <c r="AA841" s="5" t="s">
        <v>72</v>
      </c>
      <c r="AB841" s="5"/>
      <c r="AC841" s="5" t="s">
        <v>2656</v>
      </c>
      <c r="AD841" s="14" t="n">
        <v>46288.771875</v>
      </c>
    </row>
    <row r="842" customFormat="false" ht="15" hidden="false" customHeight="false" outlineLevel="0" collapsed="false">
      <c r="A842" s="5" t="s">
        <v>2657</v>
      </c>
      <c r="B842" s="5" t="s">
        <v>2658</v>
      </c>
      <c r="C842" s="5" t="s">
        <v>55</v>
      </c>
      <c r="D842" s="5" t="s">
        <v>56</v>
      </c>
      <c r="E842" s="5" t="s">
        <v>324</v>
      </c>
      <c r="F842" s="5" t="s">
        <v>325</v>
      </c>
      <c r="G842" s="5" t="s">
        <v>59</v>
      </c>
      <c r="H842" s="5" t="s">
        <v>86</v>
      </c>
      <c r="I842" s="6" t="n">
        <v>0.5</v>
      </c>
      <c r="J842" s="7" t="n">
        <f aca="false">IF(I842="","",1/I842)</f>
        <v>2</v>
      </c>
      <c r="K842" s="8" t="n">
        <v>42.32</v>
      </c>
      <c r="L842" s="9" t="n">
        <v>-0.32</v>
      </c>
      <c r="M842" s="10" t="n">
        <v>-0.0075</v>
      </c>
      <c r="N842" s="8" t="n">
        <v>42.4</v>
      </c>
      <c r="O842" s="8" t="n">
        <v>42.2</v>
      </c>
      <c r="P842" s="8" t="n">
        <v>42.4</v>
      </c>
      <c r="Q842" s="8" t="n">
        <v>42.32</v>
      </c>
      <c r="R842" s="11" t="n">
        <v>321</v>
      </c>
      <c r="S842" s="11" t="n">
        <f aca="false">K842*R842</f>
        <v>13584.72</v>
      </c>
      <c r="T842" s="8" t="n">
        <v>29.73</v>
      </c>
      <c r="U842" s="8" t="n">
        <v>46.26</v>
      </c>
      <c r="V842" s="12" t="n">
        <f aca="false">IF(U842-T842=0,"",(K842-T842)/(U842-T842))</f>
        <v>0.761645493042952</v>
      </c>
      <c r="W842" s="13" t="n">
        <f aca="false">IF(U842=0,"",K842/U842-1)</f>
        <v>-0.0851707738867271</v>
      </c>
      <c r="X842" s="11" t="n">
        <v>197719</v>
      </c>
      <c r="Y842" s="5" t="s">
        <v>324</v>
      </c>
      <c r="Z842" s="5" t="s">
        <v>326</v>
      </c>
      <c r="AA842" s="5" t="s">
        <v>325</v>
      </c>
      <c r="AB842" s="5"/>
      <c r="AC842" s="5" t="s">
        <v>2659</v>
      </c>
      <c r="AD842" s="14" t="n">
        <v>46288.771875</v>
      </c>
    </row>
    <row r="843" customFormat="false" ht="15" hidden="false" customHeight="false" outlineLevel="0" collapsed="false">
      <c r="A843" s="5" t="s">
        <v>2660</v>
      </c>
      <c r="B843" s="5" t="s">
        <v>2661</v>
      </c>
      <c r="C843" s="5" t="s">
        <v>55</v>
      </c>
      <c r="D843" s="5" t="s">
        <v>56</v>
      </c>
      <c r="E843" s="5" t="s">
        <v>115</v>
      </c>
      <c r="F843" s="5" t="s">
        <v>116</v>
      </c>
      <c r="G843" s="5" t="s">
        <v>59</v>
      </c>
      <c r="H843" s="5"/>
      <c r="I843" s="6"/>
      <c r="J843" s="7" t="str">
        <f aca="false">IF(I843="","",1/I843)</f>
        <v/>
      </c>
      <c r="K843" s="8" t="n">
        <v>11.62</v>
      </c>
      <c r="L843" s="9" t="n">
        <v>-0.48</v>
      </c>
      <c r="M843" s="10" t="n">
        <v>-0.0397</v>
      </c>
      <c r="N843" s="8" t="n">
        <v>11.6</v>
      </c>
      <c r="O843" s="8" t="n">
        <v>11.6</v>
      </c>
      <c r="P843" s="8" t="n">
        <v>11.62</v>
      </c>
      <c r="Q843" s="8" t="n">
        <v>11.62</v>
      </c>
      <c r="R843" s="11" t="n">
        <v>3</v>
      </c>
      <c r="S843" s="11" t="n">
        <f aca="false">K843*R843</f>
        <v>34.86</v>
      </c>
      <c r="T843" s="8" t="n">
        <v>10.01</v>
      </c>
      <c r="U843" s="8" t="n">
        <v>20.21</v>
      </c>
      <c r="V843" s="12" t="n">
        <f aca="false">IF(U843-T843=0,"",(K843-T843)/(U843-T843))</f>
        <v>0.157843137254902</v>
      </c>
      <c r="W843" s="13" t="n">
        <f aca="false">IF(U843=0,"",K843/U843-1)</f>
        <v>-0.425037110341415</v>
      </c>
      <c r="X843" s="11" t="n">
        <v>114529</v>
      </c>
      <c r="Y843" s="5" t="s">
        <v>115</v>
      </c>
      <c r="Z843" s="5" t="s">
        <v>117</v>
      </c>
      <c r="AA843" s="5" t="s">
        <v>116</v>
      </c>
      <c r="AB843" s="5" t="s">
        <v>111</v>
      </c>
      <c r="AC843" s="5" t="s">
        <v>2662</v>
      </c>
      <c r="AD843" s="14" t="n">
        <v>46288.771875</v>
      </c>
    </row>
    <row r="844" customFormat="false" ht="15" hidden="false" customHeight="false" outlineLevel="0" collapsed="false">
      <c r="A844" s="5" t="s">
        <v>2663</v>
      </c>
      <c r="B844" s="5" t="s">
        <v>2664</v>
      </c>
      <c r="C844" s="5" t="s">
        <v>55</v>
      </c>
      <c r="D844" s="5" t="s">
        <v>56</v>
      </c>
      <c r="E844" s="5" t="s">
        <v>77</v>
      </c>
      <c r="F844" s="5" t="s">
        <v>78</v>
      </c>
      <c r="G844" s="5" t="s">
        <v>59</v>
      </c>
      <c r="H844" s="5" t="s">
        <v>60</v>
      </c>
      <c r="I844" s="6" t="n">
        <v>0.1</v>
      </c>
      <c r="J844" s="7" t="n">
        <f aca="false">IF(I844="","",1/I844)</f>
        <v>10</v>
      </c>
      <c r="K844" s="8" t="n">
        <v>128.7</v>
      </c>
      <c r="L844" s="9" t="n">
        <v>-1.45</v>
      </c>
      <c r="M844" s="10" t="n">
        <v>-0.0111</v>
      </c>
      <c r="N844" s="8" t="n">
        <v>129.43</v>
      </c>
      <c r="O844" s="8" t="n">
        <v>128</v>
      </c>
      <c r="P844" s="8" t="n">
        <v>130.53</v>
      </c>
      <c r="Q844" s="8" t="n">
        <v>128.7</v>
      </c>
      <c r="R844" s="11" t="n">
        <v>4330</v>
      </c>
      <c r="S844" s="11" t="n">
        <f aca="false">K844*R844</f>
        <v>557271</v>
      </c>
      <c r="T844" s="8" t="n">
        <v>74.01</v>
      </c>
      <c r="U844" s="8" t="n">
        <v>197.39</v>
      </c>
      <c r="V844" s="12" t="n">
        <f aca="false">IF(U844-T844=0,"",(K844-T844)/(U844-T844))</f>
        <v>0.443264710650024</v>
      </c>
      <c r="W844" s="13" t="n">
        <f aca="false">IF(U844=0,"",K844/U844-1)</f>
        <v>-0.347991286286033</v>
      </c>
      <c r="X844" s="11" t="n">
        <v>499381</v>
      </c>
      <c r="Y844" s="5" t="s">
        <v>77</v>
      </c>
      <c r="Z844" s="5" t="s">
        <v>79</v>
      </c>
      <c r="AA844" s="5" t="s">
        <v>78</v>
      </c>
      <c r="AB844" s="5"/>
      <c r="AC844" s="5" t="s">
        <v>2665</v>
      </c>
      <c r="AD844" s="14" t="n">
        <v>46288.771875</v>
      </c>
    </row>
    <row r="845" customFormat="false" ht="15" hidden="false" customHeight="false" outlineLevel="0" collapsed="false">
      <c r="A845" s="5" t="s">
        <v>2666</v>
      </c>
      <c r="B845" s="5" t="s">
        <v>2667</v>
      </c>
      <c r="C845" s="5" t="s">
        <v>55</v>
      </c>
      <c r="D845" s="5" t="s">
        <v>56</v>
      </c>
      <c r="E845" s="5" t="s">
        <v>90</v>
      </c>
      <c r="F845" s="5" t="s">
        <v>91</v>
      </c>
      <c r="G845" s="5" t="s">
        <v>59</v>
      </c>
      <c r="H845" s="5" t="s">
        <v>60</v>
      </c>
      <c r="I845" s="6" t="n">
        <v>0.071428571</v>
      </c>
      <c r="J845" s="7" t="n">
        <f aca="false">IF(I845="","",1/I845)</f>
        <v>14.000000084</v>
      </c>
      <c r="K845" s="8" t="n">
        <v>51.41</v>
      </c>
      <c r="L845" s="9" t="n">
        <v>0.01</v>
      </c>
      <c r="M845" s="10" t="n">
        <v>0.0002</v>
      </c>
      <c r="N845" s="8" t="n">
        <v>50.5</v>
      </c>
      <c r="O845" s="8" t="n">
        <v>50.5</v>
      </c>
      <c r="P845" s="8" t="n">
        <v>51.69</v>
      </c>
      <c r="Q845" s="8" t="n">
        <v>51.1</v>
      </c>
      <c r="R845" s="11" t="n">
        <v>10769</v>
      </c>
      <c r="S845" s="11" t="n">
        <f aca="false">K845*R845</f>
        <v>553634.29</v>
      </c>
      <c r="T845" s="8" t="n">
        <v>48</v>
      </c>
      <c r="U845" s="8" t="n">
        <v>83.4</v>
      </c>
      <c r="V845" s="12" t="n">
        <f aca="false">IF(U845-T845=0,"",(K845-T845)/(U845-T845))</f>
        <v>0.0963276836158191</v>
      </c>
      <c r="W845" s="13" t="n">
        <f aca="false">IF(U845=0,"",K845/U845-1)</f>
        <v>-0.383573141486811</v>
      </c>
      <c r="X845" s="11" t="n">
        <v>241180</v>
      </c>
      <c r="Y845" s="5" t="s">
        <v>90</v>
      </c>
      <c r="Z845" s="5" t="s">
        <v>92</v>
      </c>
      <c r="AA845" s="5" t="s">
        <v>91</v>
      </c>
      <c r="AB845" s="5"/>
      <c r="AC845" s="5" t="s">
        <v>2668</v>
      </c>
      <c r="AD845" s="14" t="n">
        <v>46288.771875</v>
      </c>
    </row>
    <row r="846" customFormat="false" ht="15" hidden="false" customHeight="false" outlineLevel="0" collapsed="false">
      <c r="A846" s="5" t="s">
        <v>2669</v>
      </c>
      <c r="B846" s="5" t="s">
        <v>2670</v>
      </c>
      <c r="C846" s="5" t="s">
        <v>55</v>
      </c>
      <c r="D846" s="5" t="s">
        <v>56</v>
      </c>
      <c r="E846" s="5" t="s">
        <v>71</v>
      </c>
      <c r="F846" s="5" t="s">
        <v>72</v>
      </c>
      <c r="G846" s="5" t="s">
        <v>59</v>
      </c>
      <c r="H846" s="5"/>
      <c r="I846" s="6"/>
      <c r="J846" s="7" t="str">
        <f aca="false">IF(I846="","",1/I846)</f>
        <v/>
      </c>
      <c r="K846" s="8" t="n">
        <v>222.2</v>
      </c>
      <c r="L846" s="9" t="n">
        <v>0</v>
      </c>
      <c r="M846" s="10" t="n">
        <v>0</v>
      </c>
      <c r="N846" s="8" t="n">
        <v>222.2</v>
      </c>
      <c r="O846" s="8" t="n">
        <v>222.2</v>
      </c>
      <c r="P846" s="8" t="n">
        <v>222.2</v>
      </c>
      <c r="Q846" s="8" t="n">
        <v>222.2</v>
      </c>
      <c r="R846" s="11" t="n">
        <v>1</v>
      </c>
      <c r="S846" s="11" t="n">
        <f aca="false">K846*R846</f>
        <v>222.2</v>
      </c>
      <c r="T846" s="8" t="n">
        <v>183.5</v>
      </c>
      <c r="U846" s="8" t="n">
        <v>257.66</v>
      </c>
      <c r="V846" s="12" t="n">
        <f aca="false">IF(U846-T846=0,"",(K846-T846)/(U846-T846))</f>
        <v>0.521844660194174</v>
      </c>
      <c r="W846" s="13" t="n">
        <f aca="false">IF(U846=0,"",K846/U846-1)</f>
        <v>-0.137623224404254</v>
      </c>
      <c r="X846" s="11" t="n">
        <v>233085</v>
      </c>
      <c r="Y846" s="5" t="s">
        <v>71</v>
      </c>
      <c r="Z846" s="5" t="s">
        <v>73</v>
      </c>
      <c r="AA846" s="5" t="s">
        <v>72</v>
      </c>
      <c r="AB846" s="5" t="s">
        <v>111</v>
      </c>
      <c r="AC846" s="5" t="s">
        <v>2671</v>
      </c>
      <c r="AD846" s="14" t="n">
        <v>46288.771875</v>
      </c>
    </row>
    <row r="847" customFormat="false" ht="15" hidden="false" customHeight="false" outlineLevel="0" collapsed="false">
      <c r="A847" s="5" t="s">
        <v>2672</v>
      </c>
      <c r="B847" s="5" t="s">
        <v>2673</v>
      </c>
      <c r="C847" s="5" t="s">
        <v>55</v>
      </c>
      <c r="D847" s="5" t="s">
        <v>56</v>
      </c>
      <c r="E847" s="5" t="s">
        <v>115</v>
      </c>
      <c r="F847" s="5" t="s">
        <v>116</v>
      </c>
      <c r="G847" s="5" t="s">
        <v>59</v>
      </c>
      <c r="H847" s="5" t="s">
        <v>60</v>
      </c>
      <c r="I847" s="6" t="n">
        <v>0.0333</v>
      </c>
      <c r="J847" s="7" t="n">
        <f aca="false">IF(I847="","",1/I847)</f>
        <v>30.03003003003</v>
      </c>
      <c r="K847" s="8" t="n">
        <v>44.32</v>
      </c>
      <c r="L847" s="9" t="n">
        <v>-1.03</v>
      </c>
      <c r="M847" s="10" t="n">
        <v>-0.0227</v>
      </c>
      <c r="N847" s="8" t="n">
        <v>44.32</v>
      </c>
      <c r="O847" s="8" t="n">
        <v>44.32</v>
      </c>
      <c r="P847" s="8" t="n">
        <v>44.32</v>
      </c>
      <c r="Q847" s="8" t="n">
        <v>44.32</v>
      </c>
      <c r="R847" s="11" t="n">
        <v>60</v>
      </c>
      <c r="S847" s="11" t="n">
        <f aca="false">K847*R847</f>
        <v>2659.2</v>
      </c>
      <c r="T847" s="8" t="n">
        <v>25.14</v>
      </c>
      <c r="U847" s="8" t="n">
        <v>54.25</v>
      </c>
      <c r="V847" s="12" t="n">
        <f aca="false">IF(U847-T847=0,"",(K847-T847)/(U847-T847))</f>
        <v>0.65888010992786</v>
      </c>
      <c r="W847" s="13" t="n">
        <f aca="false">IF(U847=0,"",K847/U847-1)</f>
        <v>-0.183041474654378</v>
      </c>
      <c r="X847" s="11" t="n">
        <v>216191</v>
      </c>
      <c r="Y847" s="5" t="s">
        <v>115</v>
      </c>
      <c r="Z847" s="5" t="s">
        <v>117</v>
      </c>
      <c r="AA847" s="5" t="s">
        <v>116</v>
      </c>
      <c r="AB847" s="5"/>
      <c r="AC847" s="5" t="s">
        <v>2674</v>
      </c>
      <c r="AD847" s="14" t="n">
        <v>46288.771875</v>
      </c>
    </row>
    <row r="848" customFormat="false" ht="15" hidden="false" customHeight="false" outlineLevel="0" collapsed="false">
      <c r="A848" s="5" t="s">
        <v>2675</v>
      </c>
      <c r="B848" s="5" t="s">
        <v>2676</v>
      </c>
      <c r="C848" s="5" t="s">
        <v>55</v>
      </c>
      <c r="D848" s="5" t="s">
        <v>56</v>
      </c>
      <c r="E848" s="5" t="s">
        <v>115</v>
      </c>
      <c r="F848" s="5" t="s">
        <v>116</v>
      </c>
      <c r="G848" s="5" t="s">
        <v>59</v>
      </c>
      <c r="H848" s="5" t="s">
        <v>60</v>
      </c>
      <c r="I848" s="6" t="n">
        <v>0.166667</v>
      </c>
      <c r="J848" s="7" t="n">
        <f aca="false">IF(I848="","",1/I848)</f>
        <v>5.999988000024</v>
      </c>
      <c r="K848" s="8" t="n">
        <v>41.75</v>
      </c>
      <c r="L848" s="9" t="n">
        <v>1.2</v>
      </c>
      <c r="M848" s="10" t="n">
        <v>0.0296</v>
      </c>
      <c r="N848" s="8" t="n">
        <v>41.75</v>
      </c>
      <c r="O848" s="8" t="n">
        <v>41.75</v>
      </c>
      <c r="P848" s="8" t="n">
        <v>41.75</v>
      </c>
      <c r="Q848" s="8" t="n">
        <v>41.75</v>
      </c>
      <c r="R848" s="11" t="n">
        <v>9876</v>
      </c>
      <c r="S848" s="11" t="n">
        <f aca="false">K848*R848</f>
        <v>412323</v>
      </c>
      <c r="T848" s="8" t="n">
        <v>17.81</v>
      </c>
      <c r="U848" s="8" t="n">
        <v>46</v>
      </c>
      <c r="V848" s="12" t="n">
        <f aca="false">IF(U848-T848=0,"",(K848-T848)/(U848-T848))</f>
        <v>0.849237318197943</v>
      </c>
      <c r="W848" s="13" t="n">
        <f aca="false">IF(U848=0,"",K848/U848-1)</f>
        <v>-0.0923913043478261</v>
      </c>
      <c r="X848" s="11" t="n">
        <v>27798</v>
      </c>
      <c r="Y848" s="5" t="s">
        <v>115</v>
      </c>
      <c r="Z848" s="5" t="s">
        <v>117</v>
      </c>
      <c r="AA848" s="5" t="s">
        <v>116</v>
      </c>
      <c r="AB848" s="5"/>
      <c r="AC848" s="5" t="s">
        <v>2677</v>
      </c>
      <c r="AD848" s="14" t="n">
        <v>46288.771875</v>
      </c>
    </row>
    <row r="849" customFormat="false" ht="15" hidden="false" customHeight="false" outlineLevel="0" collapsed="false">
      <c r="A849" s="5" t="s">
        <v>2678</v>
      </c>
      <c r="B849" s="5" t="s">
        <v>2679</v>
      </c>
      <c r="C849" s="5" t="s">
        <v>55</v>
      </c>
      <c r="D849" s="5" t="s">
        <v>56</v>
      </c>
      <c r="E849" s="5" t="s">
        <v>115</v>
      </c>
      <c r="F849" s="5" t="s">
        <v>116</v>
      </c>
      <c r="G849" s="5" t="s">
        <v>59</v>
      </c>
      <c r="H849" s="5" t="s">
        <v>60</v>
      </c>
      <c r="I849" s="6" t="n">
        <v>1</v>
      </c>
      <c r="J849" s="7" t="n">
        <f aca="false">IF(I849="","",1/I849)</f>
        <v>1</v>
      </c>
      <c r="K849" s="8" t="n">
        <v>18.54</v>
      </c>
      <c r="L849" s="9" t="n">
        <v>0.16</v>
      </c>
      <c r="M849" s="10" t="n">
        <v>0.0087</v>
      </c>
      <c r="N849" s="8" t="n">
        <v>18.52</v>
      </c>
      <c r="O849" s="8" t="n">
        <v>18.48</v>
      </c>
      <c r="P849" s="8" t="n">
        <v>18.66</v>
      </c>
      <c r="Q849" s="8" t="n">
        <v>18.54</v>
      </c>
      <c r="R849" s="11" t="n">
        <v>54</v>
      </c>
      <c r="S849" s="11" t="n">
        <f aca="false">K849*R849</f>
        <v>1001.16</v>
      </c>
      <c r="T849" s="8" t="n">
        <v>14.26</v>
      </c>
      <c r="U849" s="8" t="n">
        <v>24.54</v>
      </c>
      <c r="V849" s="12" t="n">
        <f aca="false">IF(U849-T849=0,"",(K849-T849)/(U849-T849))</f>
        <v>0.416342412451362</v>
      </c>
      <c r="W849" s="13" t="n">
        <f aca="false">IF(U849=0,"",K849/U849-1)</f>
        <v>-0.244498777506112</v>
      </c>
      <c r="X849" s="11" t="n">
        <v>3124</v>
      </c>
      <c r="Y849" s="5" t="s">
        <v>115</v>
      </c>
      <c r="Z849" s="5" t="s">
        <v>117</v>
      </c>
      <c r="AA849" s="5" t="s">
        <v>116</v>
      </c>
      <c r="AB849" s="5"/>
      <c r="AC849" s="5" t="s">
        <v>2680</v>
      </c>
      <c r="AD849" s="14" t="n">
        <v>46288.771875</v>
      </c>
    </row>
    <row r="850" customFormat="false" ht="15" hidden="false" customHeight="false" outlineLevel="0" collapsed="false">
      <c r="A850" s="5" t="s">
        <v>2681</v>
      </c>
      <c r="B850" s="5" t="s">
        <v>2682</v>
      </c>
      <c r="C850" s="5" t="s">
        <v>55</v>
      </c>
      <c r="D850" s="5" t="s">
        <v>56</v>
      </c>
      <c r="E850" s="5" t="s">
        <v>324</v>
      </c>
      <c r="F850" s="5" t="s">
        <v>325</v>
      </c>
      <c r="G850" s="5" t="s">
        <v>59</v>
      </c>
      <c r="H850" s="5" t="s">
        <v>60</v>
      </c>
      <c r="I850" s="6" t="n">
        <v>0.1667</v>
      </c>
      <c r="J850" s="7" t="n">
        <f aca="false">IF(I850="","",1/I850)</f>
        <v>5.99880023995201</v>
      </c>
      <c r="K850" s="8" t="n">
        <v>40.01</v>
      </c>
      <c r="L850" s="9" t="n">
        <v>0.63</v>
      </c>
      <c r="M850" s="10" t="n">
        <v>0.016</v>
      </c>
      <c r="N850" s="8" t="n">
        <v>40</v>
      </c>
      <c r="O850" s="8" t="n">
        <v>39.54</v>
      </c>
      <c r="P850" s="8" t="n">
        <v>40.67</v>
      </c>
      <c r="Q850" s="8" t="n">
        <v>40.19</v>
      </c>
      <c r="R850" s="11" t="n">
        <v>1048</v>
      </c>
      <c r="S850" s="11" t="n">
        <f aca="false">K850*R850</f>
        <v>41930.48</v>
      </c>
      <c r="T850" s="8" t="n">
        <v>33.72</v>
      </c>
      <c r="U850" s="8" t="n">
        <v>45.74</v>
      </c>
      <c r="V850" s="12" t="n">
        <f aca="false">IF(U850-T850=0,"",(K850-T850)/(U850-T850))</f>
        <v>0.523294509151414</v>
      </c>
      <c r="W850" s="13" t="n">
        <f aca="false">IF(U850=0,"",K850/U850-1)</f>
        <v>-0.125273283777875</v>
      </c>
      <c r="X850" s="11" t="n">
        <v>987663</v>
      </c>
      <c r="Y850" s="5" t="s">
        <v>324</v>
      </c>
      <c r="Z850" s="5" t="s">
        <v>326</v>
      </c>
      <c r="AA850" s="5" t="s">
        <v>325</v>
      </c>
      <c r="AB850" s="5"/>
      <c r="AC850" s="5" t="s">
        <v>2683</v>
      </c>
      <c r="AD850" s="14" t="n">
        <v>46288.771875</v>
      </c>
    </row>
    <row r="851" customFormat="false" ht="15" hidden="false" customHeight="false" outlineLevel="0" collapsed="false">
      <c r="A851" s="5" t="s">
        <v>2684</v>
      </c>
      <c r="B851" s="5" t="s">
        <v>2685</v>
      </c>
      <c r="C851" s="5" t="s">
        <v>55</v>
      </c>
      <c r="D851" s="5" t="s">
        <v>56</v>
      </c>
      <c r="E851" s="5" t="s">
        <v>273</v>
      </c>
      <c r="F851" s="5" t="s">
        <v>274</v>
      </c>
      <c r="G851" s="5" t="s">
        <v>59</v>
      </c>
      <c r="H851" s="5"/>
      <c r="I851" s="6"/>
      <c r="J851" s="7" t="str">
        <f aca="false">IF(I851="","",1/I851)</f>
        <v/>
      </c>
      <c r="K851" s="8" t="n">
        <v>33.19</v>
      </c>
      <c r="L851" s="9" t="n">
        <v>-0.29</v>
      </c>
      <c r="M851" s="10" t="n">
        <v>-0.0087</v>
      </c>
      <c r="N851" s="8" t="n">
        <v>33.19</v>
      </c>
      <c r="O851" s="8" t="n">
        <v>33.19</v>
      </c>
      <c r="P851" s="8" t="n">
        <v>33.19</v>
      </c>
      <c r="Q851" s="8" t="n">
        <v>33.19</v>
      </c>
      <c r="R851" s="11" t="n">
        <v>15</v>
      </c>
      <c r="S851" s="11" t="n">
        <f aca="false">K851*R851</f>
        <v>497.85</v>
      </c>
      <c r="T851" s="8" t="n">
        <v>33.19</v>
      </c>
      <c r="U851" s="8" t="n">
        <v>54.48</v>
      </c>
      <c r="V851" s="12" t="n">
        <f aca="false">IF(U851-T851=0,"",(K851-T851)/(U851-T851))</f>
        <v>0</v>
      </c>
      <c r="W851" s="13" t="n">
        <f aca="false">IF(U851=0,"",K851/U851-1)</f>
        <v>-0.390785609397944</v>
      </c>
      <c r="X851" s="11" t="n">
        <v>27262</v>
      </c>
      <c r="Y851" s="5" t="s">
        <v>273</v>
      </c>
      <c r="Z851" s="5" t="s">
        <v>275</v>
      </c>
      <c r="AA851" s="5" t="s">
        <v>274</v>
      </c>
      <c r="AB851" s="5" t="s">
        <v>111</v>
      </c>
      <c r="AC851" s="5" t="s">
        <v>2686</v>
      </c>
      <c r="AD851" s="14" t="n">
        <v>46288.771875</v>
      </c>
    </row>
    <row r="852" customFormat="false" ht="15" hidden="false" customHeight="false" outlineLevel="0" collapsed="false">
      <c r="A852" s="5" t="s">
        <v>2687</v>
      </c>
      <c r="B852" s="5" t="s">
        <v>2688</v>
      </c>
      <c r="C852" s="5" t="s">
        <v>55</v>
      </c>
      <c r="D852" s="5" t="s">
        <v>56</v>
      </c>
      <c r="E852" s="5" t="s">
        <v>71</v>
      </c>
      <c r="F852" s="5" t="s">
        <v>72</v>
      </c>
      <c r="G852" s="5" t="s">
        <v>59</v>
      </c>
      <c r="H852" s="5" t="s">
        <v>60</v>
      </c>
      <c r="I852" s="6" t="n">
        <v>0.05</v>
      </c>
      <c r="J852" s="7" t="n">
        <f aca="false">IF(I852="","",1/I852)</f>
        <v>20</v>
      </c>
      <c r="K852" s="8" t="n">
        <v>93.01</v>
      </c>
      <c r="L852" s="9" t="n">
        <v>0.68</v>
      </c>
      <c r="M852" s="10" t="n">
        <v>0.0074</v>
      </c>
      <c r="N852" s="8" t="n">
        <v>92.35</v>
      </c>
      <c r="O852" s="8" t="n">
        <v>92.33</v>
      </c>
      <c r="P852" s="8" t="n">
        <v>93.99</v>
      </c>
      <c r="Q852" s="8" t="n">
        <v>93.59</v>
      </c>
      <c r="R852" s="11" t="n">
        <v>16791</v>
      </c>
      <c r="S852" s="11" t="n">
        <f aca="false">K852*R852</f>
        <v>1561730.91</v>
      </c>
      <c r="T852" s="8" t="n">
        <v>75.72</v>
      </c>
      <c r="U852" s="8" t="n">
        <v>100.13</v>
      </c>
      <c r="V852" s="12" t="n">
        <f aca="false">IF(U852-T852=0,"",(K852-T852)/(U852-T852))</f>
        <v>0.708316263826301</v>
      </c>
      <c r="W852" s="13" t="n">
        <f aca="false">IF(U852=0,"",K852/U852-1)</f>
        <v>-0.0711075601717766</v>
      </c>
      <c r="X852" s="11" t="n">
        <v>3459293</v>
      </c>
      <c r="Y852" s="5" t="s">
        <v>71</v>
      </c>
      <c r="Z852" s="5" t="s">
        <v>73</v>
      </c>
      <c r="AA852" s="5" t="s">
        <v>72</v>
      </c>
      <c r="AB852" s="5"/>
      <c r="AC852" s="5" t="s">
        <v>2689</v>
      </c>
      <c r="AD852" s="14" t="n">
        <v>46288.771875</v>
      </c>
    </row>
    <row r="853" customFormat="false" ht="15" hidden="false" customHeight="false" outlineLevel="0" collapsed="false">
      <c r="A853" s="5" t="s">
        <v>2690</v>
      </c>
      <c r="B853" s="5" t="s">
        <v>2691</v>
      </c>
      <c r="C853" s="5" t="s">
        <v>55</v>
      </c>
      <c r="D853" s="5" t="s">
        <v>56</v>
      </c>
      <c r="E853" s="5" t="s">
        <v>160</v>
      </c>
      <c r="F853" s="5" t="s">
        <v>161</v>
      </c>
      <c r="G853" s="5" t="s">
        <v>59</v>
      </c>
      <c r="H853" s="5" t="s">
        <v>60</v>
      </c>
      <c r="I853" s="6" t="n">
        <v>0.0625</v>
      </c>
      <c r="J853" s="7" t="n">
        <f aca="false">IF(I853="","",1/I853)</f>
        <v>16</v>
      </c>
      <c r="K853" s="8" t="n">
        <v>121.8</v>
      </c>
      <c r="L853" s="9" t="n">
        <v>-6.84</v>
      </c>
      <c r="M853" s="10" t="n">
        <v>-0.0532</v>
      </c>
      <c r="N853" s="8" t="n">
        <v>122.04</v>
      </c>
      <c r="O853" s="8" t="n">
        <v>119.76</v>
      </c>
      <c r="P853" s="8" t="n">
        <v>125.04</v>
      </c>
      <c r="Q853" s="8" t="n">
        <v>121.8</v>
      </c>
      <c r="R853" s="11" t="n">
        <v>225</v>
      </c>
      <c r="S853" s="11" t="n">
        <f aca="false">K853*R853</f>
        <v>27405</v>
      </c>
      <c r="T853" s="8" t="n">
        <v>54.725</v>
      </c>
      <c r="U853" s="8" t="n">
        <v>134.16</v>
      </c>
      <c r="V853" s="12" t="n">
        <f aca="false">IF(U853-T853=0,"",(K853-T853)/(U853-T853))</f>
        <v>0.844401082646189</v>
      </c>
      <c r="W853" s="13" t="n">
        <f aca="false">IF(U853=0,"",K853/U853-1)</f>
        <v>-0.092128801431127</v>
      </c>
      <c r="X853" s="11" t="n">
        <v>555727</v>
      </c>
      <c r="Y853" s="5" t="s">
        <v>160</v>
      </c>
      <c r="Z853" s="5" t="s">
        <v>162</v>
      </c>
      <c r="AA853" s="5" t="s">
        <v>161</v>
      </c>
      <c r="AB853" s="5"/>
      <c r="AC853" s="5" t="s">
        <v>2692</v>
      </c>
      <c r="AD853" s="14" t="n">
        <v>46288.771875</v>
      </c>
    </row>
    <row r="854" customFormat="false" ht="15" hidden="false" customHeight="false" outlineLevel="0" collapsed="false">
      <c r="A854" s="5" t="s">
        <v>2693</v>
      </c>
      <c r="B854" s="5" t="s">
        <v>2694</v>
      </c>
      <c r="C854" s="5" t="s">
        <v>55</v>
      </c>
      <c r="D854" s="5" t="s">
        <v>56</v>
      </c>
      <c r="E854" s="5" t="s">
        <v>71</v>
      </c>
      <c r="F854" s="5" t="s">
        <v>72</v>
      </c>
      <c r="G854" s="5" t="s">
        <v>59</v>
      </c>
      <c r="H854" s="5" t="s">
        <v>60</v>
      </c>
      <c r="I854" s="6" t="n">
        <v>0.166667</v>
      </c>
      <c r="J854" s="7" t="n">
        <f aca="false">IF(I854="","",1/I854)</f>
        <v>5.999988000024</v>
      </c>
      <c r="K854" s="8" t="n">
        <v>53.05</v>
      </c>
      <c r="L854" s="9" t="n">
        <v>-2.99</v>
      </c>
      <c r="M854" s="10" t="n">
        <v>-0.0534</v>
      </c>
      <c r="N854" s="8" t="n">
        <v>53.05</v>
      </c>
      <c r="O854" s="8" t="n">
        <v>53.05</v>
      </c>
      <c r="P854" s="8" t="n">
        <v>53.05</v>
      </c>
      <c r="Q854" s="8" t="n">
        <v>53.05</v>
      </c>
      <c r="R854" s="11" t="n">
        <v>2</v>
      </c>
      <c r="S854" s="11" t="n">
        <f aca="false">K854*R854</f>
        <v>106.1</v>
      </c>
      <c r="T854" s="8" t="n">
        <v>53.05</v>
      </c>
      <c r="U854" s="8" t="n">
        <v>58.48</v>
      </c>
      <c r="V854" s="12" t="n">
        <f aca="false">IF(U854-T854=0,"",(K854-T854)/(U854-T854))</f>
        <v>0</v>
      </c>
      <c r="W854" s="13" t="n">
        <f aca="false">IF(U854=0,"",K854/U854-1)</f>
        <v>-0.0928522571819426</v>
      </c>
      <c r="X854" s="11" t="n">
        <v>246904</v>
      </c>
      <c r="Y854" s="5" t="s">
        <v>71</v>
      </c>
      <c r="Z854" s="5" t="s">
        <v>73</v>
      </c>
      <c r="AA854" s="5" t="s">
        <v>72</v>
      </c>
      <c r="AB854" s="5"/>
      <c r="AC854" s="5" t="s">
        <v>2695</v>
      </c>
      <c r="AD854" s="14" t="n">
        <v>46288.771875</v>
      </c>
    </row>
    <row r="855" customFormat="false" ht="15" hidden="false" customHeight="false" outlineLevel="0" collapsed="false">
      <c r="A855" s="5" t="s">
        <v>2696</v>
      </c>
      <c r="B855" s="5" t="s">
        <v>2697</v>
      </c>
      <c r="C855" s="5" t="s">
        <v>55</v>
      </c>
      <c r="D855" s="5" t="s">
        <v>56</v>
      </c>
      <c r="E855" s="5" t="s">
        <v>99</v>
      </c>
      <c r="F855" s="5" t="s">
        <v>100</v>
      </c>
      <c r="G855" s="5" t="s">
        <v>59</v>
      </c>
      <c r="H855" s="5" t="s">
        <v>60</v>
      </c>
      <c r="I855" s="6" t="n">
        <v>0.03125</v>
      </c>
      <c r="J855" s="7" t="n">
        <f aca="false">IF(I855="","",1/I855)</f>
        <v>32</v>
      </c>
      <c r="K855" s="8" t="n">
        <v>82.96</v>
      </c>
      <c r="L855" s="9" t="n">
        <v>0.32</v>
      </c>
      <c r="M855" s="10" t="n">
        <v>0.0039</v>
      </c>
      <c r="N855" s="8" t="n">
        <v>82.56</v>
      </c>
      <c r="O855" s="8" t="n">
        <v>82.08</v>
      </c>
      <c r="P855" s="8" t="n">
        <v>82.96</v>
      </c>
      <c r="Q855" s="8" t="n">
        <v>82.96</v>
      </c>
      <c r="R855" s="11" t="n">
        <v>33</v>
      </c>
      <c r="S855" s="11" t="n">
        <f aca="false">K855*R855</f>
        <v>2737.68</v>
      </c>
      <c r="T855" s="8" t="n">
        <v>63.30375</v>
      </c>
      <c r="U855" s="8" t="n">
        <v>89.01</v>
      </c>
      <c r="V855" s="12" t="n">
        <f aca="false">IF(U855-T855=0,"",(K855-T855)/(U855-T855))</f>
        <v>0.764648674933138</v>
      </c>
      <c r="W855" s="13" t="n">
        <f aca="false">IF(U855=0,"",K855/U855-1)</f>
        <v>-0.0679698910234806</v>
      </c>
      <c r="X855" s="11" t="n">
        <v>668013</v>
      </c>
      <c r="Y855" s="5" t="s">
        <v>99</v>
      </c>
      <c r="Z855" s="5" t="s">
        <v>101</v>
      </c>
      <c r="AA855" s="5" t="s">
        <v>100</v>
      </c>
      <c r="AB855" s="5"/>
      <c r="AC855" s="5" t="s">
        <v>2698</v>
      </c>
      <c r="AD855" s="14" t="n">
        <v>46288.771875</v>
      </c>
    </row>
    <row r="856" customFormat="false" ht="15" hidden="false" customHeight="false" outlineLevel="0" collapsed="false">
      <c r="A856" s="5" t="s">
        <v>2699</v>
      </c>
      <c r="B856" s="5" t="s">
        <v>2700</v>
      </c>
      <c r="C856" s="5" t="s">
        <v>55</v>
      </c>
      <c r="D856" s="5" t="s">
        <v>56</v>
      </c>
      <c r="E856" s="5" t="s">
        <v>142</v>
      </c>
      <c r="F856" s="5" t="s">
        <v>143</v>
      </c>
      <c r="G856" s="5" t="s">
        <v>59</v>
      </c>
      <c r="H856" s="5" t="s">
        <v>60</v>
      </c>
      <c r="I856" s="6" t="n">
        <v>0.5</v>
      </c>
      <c r="J856" s="7" t="n">
        <f aca="false">IF(I856="","",1/I856)</f>
        <v>2</v>
      </c>
      <c r="K856" s="8" t="n">
        <v>754.07</v>
      </c>
      <c r="L856" s="9" t="n">
        <v>-16.11</v>
      </c>
      <c r="M856" s="10" t="n">
        <v>-0.0209</v>
      </c>
      <c r="N856" s="8" t="n">
        <v>756.63</v>
      </c>
      <c r="O856" s="8" t="n">
        <v>754.07</v>
      </c>
      <c r="P856" s="8" t="n">
        <v>756.63</v>
      </c>
      <c r="Q856" s="8" t="n">
        <v>754.07</v>
      </c>
      <c r="R856" s="11" t="n">
        <v>2</v>
      </c>
      <c r="S856" s="11" t="n">
        <f aca="false">K856*R856</f>
        <v>1508.14</v>
      </c>
      <c r="T856" s="8" t="n">
        <v>521.04</v>
      </c>
      <c r="U856" s="8" t="n">
        <v>770.18</v>
      </c>
      <c r="V856" s="12" t="n">
        <f aca="false">IF(U856-T856=0,"",(K856-T856)/(U856-T856))</f>
        <v>0.935337561210565</v>
      </c>
      <c r="W856" s="13" t="n">
        <f aca="false">IF(U856=0,"",K856/U856-1)</f>
        <v>-0.0209171881897737</v>
      </c>
      <c r="X856" s="11" t="n">
        <v>250436</v>
      </c>
      <c r="Y856" s="5" t="s">
        <v>142</v>
      </c>
      <c r="Z856" s="5" t="s">
        <v>144</v>
      </c>
      <c r="AA856" s="5" t="s">
        <v>143</v>
      </c>
      <c r="AB856" s="5"/>
      <c r="AC856" s="5" t="s">
        <v>2701</v>
      </c>
      <c r="AD856" s="14" t="n">
        <v>46288.771875</v>
      </c>
    </row>
    <row r="857" customFormat="false" ht="15" hidden="false" customHeight="false" outlineLevel="0" collapsed="false">
      <c r="A857" s="5" t="s">
        <v>2702</v>
      </c>
      <c r="B857" s="5" t="s">
        <v>2703</v>
      </c>
      <c r="C857" s="5" t="s">
        <v>55</v>
      </c>
      <c r="D857" s="5" t="s">
        <v>56</v>
      </c>
      <c r="E857" s="5" t="s">
        <v>182</v>
      </c>
      <c r="F857" s="5" t="s">
        <v>183</v>
      </c>
      <c r="G857" s="5" t="s">
        <v>59</v>
      </c>
      <c r="H857" s="5" t="s">
        <v>60</v>
      </c>
      <c r="I857" s="6" t="n">
        <v>1</v>
      </c>
      <c r="J857" s="7" t="n">
        <f aca="false">IF(I857="","",1/I857)</f>
        <v>1</v>
      </c>
      <c r="K857" s="8" t="n">
        <v>158.24</v>
      </c>
      <c r="L857" s="9" t="n">
        <v>1.12</v>
      </c>
      <c r="M857" s="10" t="n">
        <v>0.0071</v>
      </c>
      <c r="N857" s="8" t="n">
        <v>157.12</v>
      </c>
      <c r="O857" s="8" t="n">
        <v>157.12</v>
      </c>
      <c r="P857" s="8" t="n">
        <v>158.24</v>
      </c>
      <c r="Q857" s="8" t="n">
        <v>158.24</v>
      </c>
      <c r="R857" s="11" t="n">
        <v>74</v>
      </c>
      <c r="S857" s="11" t="n">
        <f aca="false">K857*R857</f>
        <v>11709.76</v>
      </c>
      <c r="T857" s="8" t="n">
        <v>92.24</v>
      </c>
      <c r="U857" s="8" t="n">
        <v>171.68</v>
      </c>
      <c r="V857" s="12" t="n">
        <f aca="false">IF(U857-T857=0,"",(K857-T857)/(U857-T857))</f>
        <v>0.830815709969789</v>
      </c>
      <c r="W857" s="13" t="n">
        <f aca="false">IF(U857=0,"",K857/U857-1)</f>
        <v>-0.0782851817334576</v>
      </c>
      <c r="X857" s="11" t="n">
        <v>396136</v>
      </c>
      <c r="Y857" s="5" t="s">
        <v>182</v>
      </c>
      <c r="Z857" s="5" t="s">
        <v>184</v>
      </c>
      <c r="AA857" s="5" t="s">
        <v>183</v>
      </c>
      <c r="AB857" s="5"/>
      <c r="AC857" s="5" t="s">
        <v>2704</v>
      </c>
      <c r="AD857" s="14" t="n">
        <v>46288.771875</v>
      </c>
    </row>
    <row r="858" customFormat="false" ht="15" hidden="false" customHeight="false" outlineLevel="0" collapsed="false">
      <c r="A858" s="5" t="s">
        <v>2705</v>
      </c>
      <c r="B858" s="5" t="s">
        <v>2706</v>
      </c>
      <c r="C858" s="5" t="s">
        <v>55</v>
      </c>
      <c r="D858" s="5" t="s">
        <v>56</v>
      </c>
      <c r="E858" s="5" t="s">
        <v>115</v>
      </c>
      <c r="F858" s="5" t="s">
        <v>116</v>
      </c>
      <c r="G858" s="5" t="s">
        <v>59</v>
      </c>
      <c r="H858" s="5" t="s">
        <v>86</v>
      </c>
      <c r="I858" s="6" t="n">
        <v>0.25</v>
      </c>
      <c r="J858" s="7" t="n">
        <f aca="false">IF(I858="","",1/I858)</f>
        <v>4</v>
      </c>
      <c r="K858" s="8" t="n">
        <v>8.54</v>
      </c>
      <c r="L858" s="9" t="n">
        <v>-0.04</v>
      </c>
      <c r="M858" s="10" t="n">
        <v>-0.0047</v>
      </c>
      <c r="N858" s="8" t="n">
        <v>8.54</v>
      </c>
      <c r="O858" s="8" t="n">
        <v>8.54</v>
      </c>
      <c r="P858" s="8" t="n">
        <v>8.54</v>
      </c>
      <c r="Q858" s="8" t="n">
        <v>8.54</v>
      </c>
      <c r="R858" s="11" t="n">
        <v>1</v>
      </c>
      <c r="S858" s="11" t="n">
        <f aca="false">K858*R858</f>
        <v>8.54</v>
      </c>
      <c r="T858" s="8" t="n">
        <v>8.37</v>
      </c>
      <c r="U858" s="8" t="n">
        <v>17.26</v>
      </c>
      <c r="V858" s="12" t="n">
        <f aca="false">IF(U858-T858=0,"",(K858-T858)/(U858-T858))</f>
        <v>0.0191226096737908</v>
      </c>
      <c r="W858" s="13" t="n">
        <f aca="false">IF(U858=0,"",K858/U858-1)</f>
        <v>-0.50521436848204</v>
      </c>
      <c r="X858" s="11" t="n">
        <v>8341</v>
      </c>
      <c r="Y858" s="5" t="s">
        <v>115</v>
      </c>
      <c r="Z858" s="5" t="s">
        <v>117</v>
      </c>
      <c r="AA858" s="5" t="s">
        <v>116</v>
      </c>
      <c r="AB858" s="5"/>
      <c r="AC858" s="5" t="s">
        <v>2707</v>
      </c>
      <c r="AD858" s="14" t="n">
        <v>46288.771875</v>
      </c>
    </row>
    <row r="859" customFormat="false" ht="15" hidden="false" customHeight="false" outlineLevel="0" collapsed="false">
      <c r="A859" s="5" t="s">
        <v>2708</v>
      </c>
      <c r="B859" s="5" t="s">
        <v>2709</v>
      </c>
      <c r="C859" s="5" t="s">
        <v>55</v>
      </c>
      <c r="D859" s="5" t="s">
        <v>56</v>
      </c>
      <c r="E859" s="5" t="s">
        <v>115</v>
      </c>
      <c r="F859" s="5" t="s">
        <v>116</v>
      </c>
      <c r="G859" s="5" t="s">
        <v>59</v>
      </c>
      <c r="H859" s="5" t="s">
        <v>60</v>
      </c>
      <c r="I859" s="6" t="n">
        <v>0.0625</v>
      </c>
      <c r="J859" s="7" t="n">
        <f aca="false">IF(I859="","",1/I859)</f>
        <v>16</v>
      </c>
      <c r="K859" s="8" t="n">
        <v>63.66</v>
      </c>
      <c r="L859" s="9" t="n">
        <v>1.42</v>
      </c>
      <c r="M859" s="10" t="n">
        <v>0.0228</v>
      </c>
      <c r="N859" s="8" t="n">
        <v>63.66</v>
      </c>
      <c r="O859" s="8" t="n">
        <v>63.66</v>
      </c>
      <c r="P859" s="8" t="n">
        <v>63.66</v>
      </c>
      <c r="Q859" s="8" t="n">
        <v>63.66</v>
      </c>
      <c r="R859" s="11" t="n">
        <v>102</v>
      </c>
      <c r="S859" s="11" t="n">
        <f aca="false">K859*R859</f>
        <v>6493.32</v>
      </c>
      <c r="T859" s="8" t="n">
        <v>34.71</v>
      </c>
      <c r="U859" s="8" t="n">
        <v>82.66</v>
      </c>
      <c r="V859" s="12" t="n">
        <f aca="false">IF(U859-T859=0,"",(K859-T859)/(U859-T859))</f>
        <v>0.603753910323253</v>
      </c>
      <c r="W859" s="13" t="n">
        <f aca="false">IF(U859=0,"",K859/U859-1)</f>
        <v>-0.229857246552141</v>
      </c>
      <c r="X859" s="11" t="n">
        <v>232157</v>
      </c>
      <c r="Y859" s="5" t="s">
        <v>115</v>
      </c>
      <c r="Z859" s="5" t="s">
        <v>117</v>
      </c>
      <c r="AA859" s="5" t="s">
        <v>116</v>
      </c>
      <c r="AB859" s="5"/>
      <c r="AC859" s="5" t="s">
        <v>2710</v>
      </c>
      <c r="AD859" s="14" t="n">
        <v>46288.771875</v>
      </c>
    </row>
    <row r="860" customFormat="false" ht="15" hidden="false" customHeight="false" outlineLevel="0" collapsed="false">
      <c r="A860" s="5" t="s">
        <v>2711</v>
      </c>
      <c r="B860" s="5" t="s">
        <v>2712</v>
      </c>
      <c r="C860" s="5" t="s">
        <v>55</v>
      </c>
      <c r="D860" s="5" t="s">
        <v>56</v>
      </c>
      <c r="E860" s="5" t="s">
        <v>77</v>
      </c>
      <c r="F860" s="5" t="s">
        <v>78</v>
      </c>
      <c r="G860" s="5" t="s">
        <v>59</v>
      </c>
      <c r="H860" s="5" t="s">
        <v>60</v>
      </c>
      <c r="I860" s="6" t="n">
        <v>1</v>
      </c>
      <c r="J860" s="7" t="n">
        <f aca="false">IF(I860="","",1/I860)</f>
        <v>1</v>
      </c>
      <c r="K860" s="8" t="n">
        <v>2444.7</v>
      </c>
      <c r="L860" s="9" t="n">
        <v>92.87</v>
      </c>
      <c r="M860" s="10" t="n">
        <v>0.0395</v>
      </c>
      <c r="N860" s="8" t="n">
        <v>2361</v>
      </c>
      <c r="O860" s="8" t="n">
        <v>2296.7</v>
      </c>
      <c r="P860" s="8" t="n">
        <v>2450.89</v>
      </c>
      <c r="Q860" s="8" t="n">
        <v>2444.7</v>
      </c>
      <c r="R860" s="11" t="n">
        <v>203</v>
      </c>
      <c r="S860" s="11" t="n">
        <f aca="false">K860*R860</f>
        <v>496274.1</v>
      </c>
      <c r="T860" s="8" t="n">
        <v>568</v>
      </c>
      <c r="U860" s="8" t="n">
        <v>4120</v>
      </c>
      <c r="V860" s="12" t="n">
        <f aca="false">IF(U860-T860=0,"",(K860-T860)/(U860-T860))</f>
        <v>0.528350225225225</v>
      </c>
      <c r="W860" s="13" t="n">
        <f aca="false">IF(U860=0,"",K860/U860-1)</f>
        <v>-0.406626213592233</v>
      </c>
      <c r="X860" s="11" t="n">
        <v>857253</v>
      </c>
      <c r="Y860" s="5" t="s">
        <v>77</v>
      </c>
      <c r="Z860" s="5" t="s">
        <v>79</v>
      </c>
      <c r="AA860" s="5" t="s">
        <v>78</v>
      </c>
      <c r="AB860" s="5"/>
      <c r="AC860" s="5" t="s">
        <v>2713</v>
      </c>
      <c r="AD860" s="14" t="n">
        <v>46288.771875</v>
      </c>
    </row>
    <row r="861" customFormat="false" ht="15" hidden="false" customHeight="false" outlineLevel="0" collapsed="false">
      <c r="A861" s="5" t="s">
        <v>2714</v>
      </c>
      <c r="B861" s="5" t="s">
        <v>2715</v>
      </c>
      <c r="C861" s="5" t="s">
        <v>55</v>
      </c>
      <c r="D861" s="5" t="s">
        <v>56</v>
      </c>
      <c r="E861" s="5" t="s">
        <v>71</v>
      </c>
      <c r="F861" s="5" t="s">
        <v>72</v>
      </c>
      <c r="G861" s="5" t="s">
        <v>59</v>
      </c>
      <c r="H861" s="5" t="s">
        <v>60</v>
      </c>
      <c r="I861" s="6" t="n">
        <v>0.0625</v>
      </c>
      <c r="J861" s="7" t="n">
        <f aca="false">IF(I861="","",1/I861)</f>
        <v>16</v>
      </c>
      <c r="K861" s="8" t="n">
        <v>73.85</v>
      </c>
      <c r="L861" s="9" t="n">
        <v>0.14</v>
      </c>
      <c r="M861" s="10" t="n">
        <v>0.0019</v>
      </c>
      <c r="N861" s="8" t="n">
        <v>73.86</v>
      </c>
      <c r="O861" s="8" t="n">
        <v>73.85</v>
      </c>
      <c r="P861" s="8" t="n">
        <v>73.86</v>
      </c>
      <c r="Q861" s="8" t="n">
        <v>73.85</v>
      </c>
      <c r="R861" s="11" t="n">
        <v>6</v>
      </c>
      <c r="S861" s="11" t="n">
        <f aca="false">K861*R861</f>
        <v>443.1</v>
      </c>
      <c r="T861" s="8" t="n">
        <v>56.07</v>
      </c>
      <c r="U861" s="8" t="n">
        <v>92.99</v>
      </c>
      <c r="V861" s="12" t="n">
        <f aca="false">IF(U861-T861=0,"",(K861-T861)/(U861-T861))</f>
        <v>0.481581798483207</v>
      </c>
      <c r="W861" s="13" t="n">
        <f aca="false">IF(U861=0,"",K861/U861-1)</f>
        <v>-0.205828583718679</v>
      </c>
      <c r="X861" s="11" t="n">
        <v>849808</v>
      </c>
      <c r="Y861" s="5" t="s">
        <v>71</v>
      </c>
      <c r="Z861" s="5" t="s">
        <v>73</v>
      </c>
      <c r="AA861" s="5" t="s">
        <v>72</v>
      </c>
      <c r="AB861" s="5"/>
      <c r="AC861" s="5" t="s">
        <v>2716</v>
      </c>
      <c r="AD861" s="14" t="n">
        <v>46288.771875</v>
      </c>
    </row>
    <row r="862" customFormat="false" ht="15" hidden="false" customHeight="false" outlineLevel="0" collapsed="false">
      <c r="A862" s="5" t="s">
        <v>2717</v>
      </c>
      <c r="B862" s="5" t="s">
        <v>2718</v>
      </c>
      <c r="C862" s="5" t="s">
        <v>55</v>
      </c>
      <c r="D862" s="5" t="s">
        <v>56</v>
      </c>
      <c r="E862" s="5" t="s">
        <v>105</v>
      </c>
      <c r="F862" s="5" t="s">
        <v>106</v>
      </c>
      <c r="G862" s="5" t="s">
        <v>59</v>
      </c>
      <c r="H862" s="5" t="s">
        <v>60</v>
      </c>
      <c r="I862" s="6" t="n">
        <v>0.25</v>
      </c>
      <c r="J862" s="7" t="n">
        <f aca="false">IF(I862="","",1/I862)</f>
        <v>4</v>
      </c>
      <c r="K862" s="8" t="n">
        <v>43.2</v>
      </c>
      <c r="L862" s="9" t="n">
        <v>0.28</v>
      </c>
      <c r="M862" s="10" t="n">
        <v>0.0065</v>
      </c>
      <c r="N862" s="8" t="n">
        <v>43.2</v>
      </c>
      <c r="O862" s="8" t="n">
        <v>43.2</v>
      </c>
      <c r="P862" s="8" t="n">
        <v>43.2</v>
      </c>
      <c r="Q862" s="8" t="n">
        <v>43.2</v>
      </c>
      <c r="R862" s="11" t="n">
        <v>108</v>
      </c>
      <c r="S862" s="11" t="n">
        <f aca="false">K862*R862</f>
        <v>4665.6</v>
      </c>
      <c r="T862" s="8" t="n">
        <v>40.6</v>
      </c>
      <c r="U862" s="8" t="n">
        <v>118.78</v>
      </c>
      <c r="V862" s="12" t="n">
        <f aca="false">IF(U862-T862=0,"",(K862-T862)/(U862-T862))</f>
        <v>0.0332565873624968</v>
      </c>
      <c r="W862" s="13" t="n">
        <f aca="false">IF(U862=0,"",K862/U862-1)</f>
        <v>-0.636302407812763</v>
      </c>
      <c r="X862" s="11" t="n">
        <v>11198</v>
      </c>
      <c r="Y862" s="5" t="s">
        <v>105</v>
      </c>
      <c r="Z862" s="5" t="s">
        <v>107</v>
      </c>
      <c r="AA862" s="5" t="s">
        <v>106</v>
      </c>
      <c r="AB862" s="5"/>
      <c r="AC862" s="5" t="s">
        <v>2719</v>
      </c>
      <c r="AD862" s="14" t="n">
        <v>46288.771875</v>
      </c>
    </row>
    <row r="863" customFormat="false" ht="15" hidden="false" customHeight="false" outlineLevel="0" collapsed="false">
      <c r="A863" s="5" t="s">
        <v>2720</v>
      </c>
      <c r="B863" s="5" t="s">
        <v>2721</v>
      </c>
      <c r="C863" s="5" t="s">
        <v>55</v>
      </c>
      <c r="D863" s="5" t="s">
        <v>56</v>
      </c>
      <c r="E863" s="5" t="s">
        <v>115</v>
      </c>
      <c r="F863" s="5" t="s">
        <v>116</v>
      </c>
      <c r="G863" s="5" t="s">
        <v>59</v>
      </c>
      <c r="H863" s="5" t="s">
        <v>60</v>
      </c>
      <c r="I863" s="6" t="n">
        <v>0.033333333</v>
      </c>
      <c r="J863" s="7" t="n">
        <f aca="false">IF(I863="","",1/I863)</f>
        <v>30.0000003</v>
      </c>
      <c r="K863" s="8" t="n">
        <v>13.42</v>
      </c>
      <c r="L863" s="9" t="n">
        <v>-0.26</v>
      </c>
      <c r="M863" s="10" t="n">
        <v>-0.019</v>
      </c>
      <c r="N863" s="8" t="n">
        <v>13.33</v>
      </c>
      <c r="O863" s="8" t="n">
        <v>13.33</v>
      </c>
      <c r="P863" s="8" t="n">
        <v>13.42</v>
      </c>
      <c r="Q863" s="8" t="n">
        <v>13.42</v>
      </c>
      <c r="R863" s="11" t="n">
        <v>640</v>
      </c>
      <c r="S863" s="11" t="n">
        <f aca="false">K863*R863</f>
        <v>8588.8</v>
      </c>
      <c r="T863" s="8" t="n">
        <v>7</v>
      </c>
      <c r="U863" s="8" t="n">
        <v>31.89</v>
      </c>
      <c r="V863" s="12" t="n">
        <f aca="false">IF(U863-T863=0,"",(K863-T863)/(U863-T863))</f>
        <v>0.257934913619928</v>
      </c>
      <c r="W863" s="13" t="n">
        <f aca="false">IF(U863=0,"",K863/U863-1)</f>
        <v>-0.579178425838821</v>
      </c>
      <c r="X863" s="11" t="n">
        <v>17155</v>
      </c>
      <c r="Y863" s="5" t="s">
        <v>115</v>
      </c>
      <c r="Z863" s="5" t="s">
        <v>117</v>
      </c>
      <c r="AA863" s="5" t="s">
        <v>116</v>
      </c>
      <c r="AB863" s="5"/>
      <c r="AC863" s="5" t="s">
        <v>2722</v>
      </c>
      <c r="AD863" s="14" t="n">
        <v>46288.771875</v>
      </c>
    </row>
    <row r="864" customFormat="false" ht="15" hidden="false" customHeight="false" outlineLevel="0" collapsed="false">
      <c r="A864" s="5" t="s">
        <v>2723</v>
      </c>
      <c r="B864" s="5" t="s">
        <v>2724</v>
      </c>
      <c r="C864" s="5" t="s">
        <v>55</v>
      </c>
      <c r="D864" s="5" t="s">
        <v>56</v>
      </c>
      <c r="E864" s="5" t="s">
        <v>370</v>
      </c>
      <c r="F864" s="5" t="s">
        <v>371</v>
      </c>
      <c r="G864" s="5" t="s">
        <v>59</v>
      </c>
      <c r="H864" s="5" t="s">
        <v>60</v>
      </c>
      <c r="I864" s="6" t="n">
        <v>1</v>
      </c>
      <c r="J864" s="7" t="n">
        <f aca="false">IF(I864="","",1/I864)</f>
        <v>1</v>
      </c>
      <c r="K864" s="8" t="n">
        <v>368</v>
      </c>
      <c r="L864" s="9" t="n">
        <v>3.55</v>
      </c>
      <c r="M864" s="10" t="n">
        <v>0.0097</v>
      </c>
      <c r="N864" s="8" t="n">
        <v>370.08</v>
      </c>
      <c r="O864" s="8" t="n">
        <v>368</v>
      </c>
      <c r="P864" s="8" t="n">
        <v>370.08</v>
      </c>
      <c r="Q864" s="8" t="n">
        <v>368</v>
      </c>
      <c r="R864" s="11" t="n">
        <v>2</v>
      </c>
      <c r="S864" s="11" t="n">
        <f aca="false">K864*R864</f>
        <v>736</v>
      </c>
      <c r="T864" s="8" t="n">
        <v>300</v>
      </c>
      <c r="U864" s="8" t="n">
        <v>407.2</v>
      </c>
      <c r="V864" s="12" t="n">
        <f aca="false">IF(U864-T864=0,"",(K864-T864)/(U864-T864))</f>
        <v>0.634328358208955</v>
      </c>
      <c r="W864" s="13" t="n">
        <f aca="false">IF(U864=0,"",K864/U864-1)</f>
        <v>-0.0962671905697445</v>
      </c>
      <c r="X864" s="11" t="n">
        <v>444322</v>
      </c>
      <c r="Y864" s="5" t="s">
        <v>370</v>
      </c>
      <c r="Z864" s="5" t="s">
        <v>372</v>
      </c>
      <c r="AA864" s="5" t="s">
        <v>371</v>
      </c>
      <c r="AB864" s="5"/>
      <c r="AC864" s="5" t="s">
        <v>2725</v>
      </c>
      <c r="AD864" s="14" t="n">
        <v>46288.771875</v>
      </c>
    </row>
    <row r="865" customFormat="false" ht="15" hidden="false" customHeight="false" outlineLevel="0" collapsed="false">
      <c r="A865" s="5" t="s">
        <v>2726</v>
      </c>
      <c r="B865" s="5" t="s">
        <v>2727</v>
      </c>
      <c r="C865" s="5" t="s">
        <v>55</v>
      </c>
      <c r="D865" s="5" t="s">
        <v>56</v>
      </c>
      <c r="E865" s="5" t="s">
        <v>370</v>
      </c>
      <c r="F865" s="5" t="s">
        <v>371</v>
      </c>
      <c r="G865" s="5" t="s">
        <v>59</v>
      </c>
      <c r="H865" s="5" t="s">
        <v>60</v>
      </c>
      <c r="I865" s="6" t="n">
        <v>0.0625</v>
      </c>
      <c r="J865" s="7" t="n">
        <f aca="false">IF(I865="","",1/I865)</f>
        <v>16</v>
      </c>
      <c r="K865" s="8" t="n">
        <v>66.36</v>
      </c>
      <c r="L865" s="9" t="n">
        <v>-0.2</v>
      </c>
      <c r="M865" s="10" t="n">
        <v>-0.003</v>
      </c>
      <c r="N865" s="8" t="n">
        <v>66.36</v>
      </c>
      <c r="O865" s="8" t="n">
        <v>66.36</v>
      </c>
      <c r="P865" s="8" t="n">
        <v>66.36</v>
      </c>
      <c r="Q865" s="8" t="n">
        <v>66.36</v>
      </c>
      <c r="R865" s="11" t="n">
        <v>27</v>
      </c>
      <c r="S865" s="11" t="n">
        <f aca="false">K865*R865</f>
        <v>1791.72</v>
      </c>
      <c r="T865" s="8" t="n">
        <v>62.6275</v>
      </c>
      <c r="U865" s="8" t="n">
        <v>81.7175</v>
      </c>
      <c r="V865" s="12" t="n">
        <f aca="false">IF(U865-T865=0,"",(K865-T865)/(U865-T865))</f>
        <v>0.195521215295967</v>
      </c>
      <c r="W865" s="13" t="n">
        <f aca="false">IF(U865=0,"",K865/U865-1)</f>
        <v>-0.187934041056077</v>
      </c>
      <c r="X865" s="11" t="n">
        <v>424835</v>
      </c>
      <c r="Y865" s="5" t="s">
        <v>370</v>
      </c>
      <c r="Z865" s="5" t="s">
        <v>372</v>
      </c>
      <c r="AA865" s="5" t="s">
        <v>371</v>
      </c>
      <c r="AB865" s="5"/>
      <c r="AC865" s="5" t="s">
        <v>2728</v>
      </c>
      <c r="AD865" s="14" t="n">
        <v>46288.771875</v>
      </c>
    </row>
    <row r="866" customFormat="false" ht="15" hidden="false" customHeight="false" outlineLevel="0" collapsed="false">
      <c r="A866" s="5" t="s">
        <v>2729</v>
      </c>
      <c r="B866" s="5" t="s">
        <v>2730</v>
      </c>
      <c r="C866" s="5" t="s">
        <v>55</v>
      </c>
      <c r="D866" s="5" t="s">
        <v>56</v>
      </c>
      <c r="E866" s="5" t="s">
        <v>1388</v>
      </c>
      <c r="F866" s="5" t="s">
        <v>1389</v>
      </c>
      <c r="G866" s="5" t="s">
        <v>59</v>
      </c>
      <c r="H866" s="5" t="s">
        <v>60</v>
      </c>
      <c r="I866" s="6" t="n">
        <v>0.25</v>
      </c>
      <c r="J866" s="7" t="n">
        <f aca="false">IF(I866="","",1/I866)</f>
        <v>4</v>
      </c>
      <c r="K866" s="8" t="n">
        <v>36.04</v>
      </c>
      <c r="L866" s="9" t="n">
        <v>0.32</v>
      </c>
      <c r="M866" s="10" t="n">
        <v>0.009</v>
      </c>
      <c r="N866" s="8" t="n">
        <v>36.88</v>
      </c>
      <c r="O866" s="8" t="n">
        <v>36.04</v>
      </c>
      <c r="P866" s="8" t="n">
        <v>36.88</v>
      </c>
      <c r="Q866" s="8" t="n">
        <v>36.04</v>
      </c>
      <c r="R866" s="11" t="n">
        <v>141</v>
      </c>
      <c r="S866" s="11" t="n">
        <f aca="false">K866*R866</f>
        <v>5081.64</v>
      </c>
      <c r="T866" s="8" t="n">
        <v>31.26</v>
      </c>
      <c r="U866" s="8" t="n">
        <v>45.9</v>
      </c>
      <c r="V866" s="12" t="n">
        <f aca="false">IF(U866-T866=0,"",(K866-T866)/(U866-T866))</f>
        <v>0.326502732240437</v>
      </c>
      <c r="W866" s="13" t="n">
        <f aca="false">IF(U866=0,"",K866/U866-1)</f>
        <v>-0.214814814814815</v>
      </c>
      <c r="X866" s="11" t="n">
        <v>73326</v>
      </c>
      <c r="Y866" s="5" t="s">
        <v>1388</v>
      </c>
      <c r="Z866" s="5" t="s">
        <v>1390</v>
      </c>
      <c r="AA866" s="5" t="s">
        <v>1389</v>
      </c>
      <c r="AB866" s="5"/>
      <c r="AC866" s="5" t="s">
        <v>2731</v>
      </c>
      <c r="AD866" s="14" t="n">
        <v>46288.771875</v>
      </c>
    </row>
    <row r="867" customFormat="false" ht="15" hidden="false" customHeight="false" outlineLevel="0" collapsed="false">
      <c r="A867" s="5" t="s">
        <v>2732</v>
      </c>
      <c r="B867" s="5" t="s">
        <v>2733</v>
      </c>
      <c r="C867" s="5" t="s">
        <v>55</v>
      </c>
      <c r="D867" s="5" t="s">
        <v>56</v>
      </c>
      <c r="E867" s="5" t="s">
        <v>1388</v>
      </c>
      <c r="F867" s="5" t="s">
        <v>1389</v>
      </c>
      <c r="G867" s="5" t="s">
        <v>59</v>
      </c>
      <c r="H867" s="5" t="s">
        <v>86</v>
      </c>
      <c r="I867" s="6" t="n">
        <v>0.2</v>
      </c>
      <c r="J867" s="7" t="n">
        <f aca="false">IF(I867="","",1/I867)</f>
        <v>5</v>
      </c>
      <c r="K867" s="8" t="n">
        <v>25.98</v>
      </c>
      <c r="L867" s="9" t="n">
        <v>-0.27</v>
      </c>
      <c r="M867" s="10" t="n">
        <v>-0.0103</v>
      </c>
      <c r="N867" s="8" t="n">
        <v>26</v>
      </c>
      <c r="O867" s="8" t="n">
        <v>25.98</v>
      </c>
      <c r="P867" s="8" t="n">
        <v>26.31</v>
      </c>
      <c r="Q867" s="8" t="n">
        <v>25.98</v>
      </c>
      <c r="R867" s="11" t="n">
        <v>23</v>
      </c>
      <c r="S867" s="11" t="n">
        <f aca="false">K867*R867</f>
        <v>597.54</v>
      </c>
      <c r="T867" s="8" t="n">
        <v>15.68</v>
      </c>
      <c r="U867" s="8" t="n">
        <v>28.85</v>
      </c>
      <c r="V867" s="12" t="n">
        <f aca="false">IF(U867-T867=0,"",(K867-T867)/(U867-T867))</f>
        <v>0.782080485952923</v>
      </c>
      <c r="W867" s="13" t="n">
        <f aca="false">IF(U867=0,"",K867/U867-1)</f>
        <v>-0.0994800693240902</v>
      </c>
      <c r="X867" s="11" t="n">
        <v>28315</v>
      </c>
      <c r="Y867" s="5" t="s">
        <v>1388</v>
      </c>
      <c r="Z867" s="5" t="s">
        <v>1390</v>
      </c>
      <c r="AA867" s="5" t="s">
        <v>1389</v>
      </c>
      <c r="AB867" s="5"/>
      <c r="AC867" s="5" t="s">
        <v>2734</v>
      </c>
      <c r="AD867" s="14" t="n">
        <v>46288.771875</v>
      </c>
    </row>
    <row r="868" customFormat="false" ht="15" hidden="false" customHeight="false" outlineLevel="0" collapsed="false">
      <c r="A868" s="5" t="s">
        <v>2735</v>
      </c>
      <c r="B868" s="5" t="s">
        <v>2736</v>
      </c>
      <c r="C868" s="5" t="s">
        <v>55</v>
      </c>
      <c r="D868" s="5" t="s">
        <v>56</v>
      </c>
      <c r="E868" s="5" t="s">
        <v>71</v>
      </c>
      <c r="F868" s="5" t="s">
        <v>72</v>
      </c>
      <c r="G868" s="5" t="s">
        <v>59</v>
      </c>
      <c r="H868" s="5" t="s">
        <v>60</v>
      </c>
      <c r="I868" s="6" t="n">
        <v>0.1</v>
      </c>
      <c r="J868" s="7" t="n">
        <f aca="false">IF(I868="","",1/I868)</f>
        <v>10</v>
      </c>
      <c r="K868" s="8" t="n">
        <v>34.55</v>
      </c>
      <c r="L868" s="9" t="n">
        <v>-0.49</v>
      </c>
      <c r="M868" s="10" t="n">
        <v>-0.014</v>
      </c>
      <c r="N868" s="8" t="n">
        <v>34.55</v>
      </c>
      <c r="O868" s="8" t="n">
        <v>34.55</v>
      </c>
      <c r="P868" s="8" t="n">
        <v>34.55</v>
      </c>
      <c r="Q868" s="8" t="n">
        <v>34.55</v>
      </c>
      <c r="R868" s="11" t="n">
        <v>1</v>
      </c>
      <c r="S868" s="11" t="n">
        <f aca="false">K868*R868</f>
        <v>34.55</v>
      </c>
      <c r="T868" s="8" t="n">
        <v>33.06</v>
      </c>
      <c r="U868" s="8" t="n">
        <v>42.8</v>
      </c>
      <c r="V868" s="12" t="n">
        <f aca="false">IF(U868-T868=0,"",(K868-T868)/(U868-T868))</f>
        <v>0.152977412731006</v>
      </c>
      <c r="W868" s="13" t="n">
        <f aca="false">IF(U868=0,"",K868/U868-1)</f>
        <v>-0.192757009345794</v>
      </c>
      <c r="X868" s="11" t="n">
        <v>129512</v>
      </c>
      <c r="Y868" s="5" t="s">
        <v>71</v>
      </c>
      <c r="Z868" s="5" t="s">
        <v>73</v>
      </c>
      <c r="AA868" s="5" t="s">
        <v>72</v>
      </c>
      <c r="AB868" s="5"/>
      <c r="AC868" s="5" t="s">
        <v>2737</v>
      </c>
      <c r="AD868" s="14" t="n">
        <v>46288.771875</v>
      </c>
    </row>
    <row r="869" customFormat="false" ht="15" hidden="false" customHeight="false" outlineLevel="0" collapsed="false">
      <c r="A869" s="5" t="s">
        <v>2738</v>
      </c>
      <c r="B869" s="5" t="s">
        <v>2739</v>
      </c>
      <c r="C869" s="5" t="s">
        <v>55</v>
      </c>
      <c r="D869" s="5" t="s">
        <v>56</v>
      </c>
      <c r="E869" s="5" t="s">
        <v>142</v>
      </c>
      <c r="F869" s="5" t="s">
        <v>143</v>
      </c>
      <c r="G869" s="5" t="s">
        <v>59</v>
      </c>
      <c r="H869" s="5" t="s">
        <v>60</v>
      </c>
      <c r="I869" s="6" t="n">
        <v>0.04</v>
      </c>
      <c r="J869" s="7" t="n">
        <f aca="false">IF(I869="","",1/I869)</f>
        <v>25</v>
      </c>
      <c r="K869" s="8" t="n">
        <v>63.6</v>
      </c>
      <c r="L869" s="9" t="n">
        <v>0</v>
      </c>
      <c r="M869" s="10" t="n">
        <v>0</v>
      </c>
      <c r="N869" s="8" t="n">
        <v>63.6</v>
      </c>
      <c r="O869" s="8" t="n">
        <v>63.6</v>
      </c>
      <c r="P869" s="8" t="n">
        <v>63.6</v>
      </c>
      <c r="Q869" s="8" t="n">
        <v>63.6</v>
      </c>
      <c r="R869" s="11" t="n">
        <v>10</v>
      </c>
      <c r="S869" s="11" t="n">
        <f aca="false">K869*R869</f>
        <v>636</v>
      </c>
      <c r="T869" s="8" t="n">
        <v>63.6</v>
      </c>
      <c r="U869" s="8" t="n">
        <v>90</v>
      </c>
      <c r="V869" s="12" t="n">
        <f aca="false">IF(U869-T869=0,"",(K869-T869)/(U869-T869))</f>
        <v>0</v>
      </c>
      <c r="W869" s="13" t="n">
        <f aca="false">IF(U869=0,"",K869/U869-1)</f>
        <v>-0.293333333333333</v>
      </c>
      <c r="X869" s="11" t="n">
        <v>68758</v>
      </c>
      <c r="Y869" s="5" t="s">
        <v>142</v>
      </c>
      <c r="Z869" s="5" t="s">
        <v>144</v>
      </c>
      <c r="AA869" s="5" t="s">
        <v>143</v>
      </c>
      <c r="AB869" s="5"/>
      <c r="AC869" s="5" t="s">
        <v>2740</v>
      </c>
      <c r="AD869" s="14" t="n">
        <v>46288.771875</v>
      </c>
    </row>
    <row r="870" customFormat="false" ht="15" hidden="false" customHeight="false" outlineLevel="0" collapsed="false">
      <c r="A870" s="5" t="s">
        <v>2741</v>
      </c>
      <c r="B870" s="5" t="s">
        <v>2742</v>
      </c>
      <c r="C870" s="5" t="s">
        <v>55</v>
      </c>
      <c r="D870" s="5" t="s">
        <v>56</v>
      </c>
      <c r="E870" s="5" t="s">
        <v>182</v>
      </c>
      <c r="F870" s="5" t="s">
        <v>183</v>
      </c>
      <c r="G870" s="5" t="s">
        <v>59</v>
      </c>
      <c r="H870" s="5"/>
      <c r="I870" s="6"/>
      <c r="J870" s="7" t="str">
        <f aca="false">IF(I870="","",1/I870)</f>
        <v/>
      </c>
      <c r="K870" s="8" t="n">
        <v>209.58</v>
      </c>
      <c r="L870" s="9" t="n">
        <v>0</v>
      </c>
      <c r="M870" s="10" t="n">
        <v>0</v>
      </c>
      <c r="N870" s="8" t="n">
        <v>209.79</v>
      </c>
      <c r="O870" s="8" t="n">
        <v>209.58</v>
      </c>
      <c r="P870" s="8" t="n">
        <v>209.79</v>
      </c>
      <c r="Q870" s="8" t="n">
        <v>209.58</v>
      </c>
      <c r="R870" s="11" t="n">
        <v>900</v>
      </c>
      <c r="S870" s="11" t="n">
        <f aca="false">K870*R870</f>
        <v>188622</v>
      </c>
      <c r="T870" s="8" t="n">
        <v>209.57</v>
      </c>
      <c r="U870" s="8" t="n">
        <v>260</v>
      </c>
      <c r="V870" s="12" t="n">
        <f aca="false">IF(U870-T870=0,"",(K870-T870)/(U870-T870))</f>
        <v>0.000198294665873871</v>
      </c>
      <c r="W870" s="13" t="n">
        <f aca="false">IF(U870=0,"",K870/U870-1)</f>
        <v>-0.193923076923077</v>
      </c>
      <c r="X870" s="11" t="n">
        <v>43482</v>
      </c>
      <c r="Y870" s="5" t="s">
        <v>182</v>
      </c>
      <c r="Z870" s="5" t="s">
        <v>184</v>
      </c>
      <c r="AA870" s="5" t="s">
        <v>183</v>
      </c>
      <c r="AB870" s="5" t="s">
        <v>111</v>
      </c>
      <c r="AC870" s="5" t="s">
        <v>2743</v>
      </c>
      <c r="AD870" s="14" t="n">
        <v>46288.771875</v>
      </c>
    </row>
    <row r="871" customFormat="false" ht="15" hidden="false" customHeight="false" outlineLevel="0" collapsed="false">
      <c r="A871" s="5" t="s">
        <v>2744</v>
      </c>
      <c r="B871" s="5" t="s">
        <v>2745</v>
      </c>
      <c r="C871" s="5" t="s">
        <v>55</v>
      </c>
      <c r="D871" s="5" t="s">
        <v>56</v>
      </c>
      <c r="E871" s="5" t="s">
        <v>57</v>
      </c>
      <c r="F871" s="5" t="s">
        <v>58</v>
      </c>
      <c r="G871" s="5" t="s">
        <v>59</v>
      </c>
      <c r="H871" s="5" t="s">
        <v>60</v>
      </c>
      <c r="I871" s="6" t="n">
        <v>0.02857</v>
      </c>
      <c r="J871" s="7" t="n">
        <f aca="false">IF(I871="","",1/I871)</f>
        <v>35.0017500875044</v>
      </c>
      <c r="K871" s="8" t="n">
        <v>15.16</v>
      </c>
      <c r="L871" s="9" t="n">
        <v>0.01</v>
      </c>
      <c r="M871" s="10" t="n">
        <v>0.0007</v>
      </c>
      <c r="N871" s="8" t="n">
        <v>15.16</v>
      </c>
      <c r="O871" s="8" t="n">
        <v>15.16</v>
      </c>
      <c r="P871" s="8" t="n">
        <v>15.16</v>
      </c>
      <c r="Q871" s="8" t="n">
        <v>15.16</v>
      </c>
      <c r="R871" s="11" t="n">
        <v>1</v>
      </c>
      <c r="S871" s="11" t="n">
        <f aca="false">K871*R871</f>
        <v>15.16</v>
      </c>
      <c r="T871" s="8" t="n">
        <v>9</v>
      </c>
      <c r="U871" s="8" t="n">
        <v>18.36</v>
      </c>
      <c r="V871" s="12" t="n">
        <f aca="false">IF(U871-T871=0,"",(K871-T871)/(U871-T871))</f>
        <v>0.658119658119658</v>
      </c>
      <c r="W871" s="13" t="n">
        <f aca="false">IF(U871=0,"",K871/U871-1)</f>
        <v>-0.174291938997821</v>
      </c>
      <c r="X871" s="11" t="n">
        <v>75248</v>
      </c>
      <c r="Y871" s="5" t="s">
        <v>57</v>
      </c>
      <c r="Z871" s="5" t="s">
        <v>61</v>
      </c>
      <c r="AA871" s="5" t="s">
        <v>58</v>
      </c>
      <c r="AB871" s="5"/>
      <c r="AC871" s="5" t="s">
        <v>2746</v>
      </c>
      <c r="AD871" s="14" t="n">
        <v>46288.771875</v>
      </c>
    </row>
    <row r="872" customFormat="false" ht="15" hidden="false" customHeight="false" outlineLevel="0" collapsed="false">
      <c r="A872" s="5" t="s">
        <v>2747</v>
      </c>
      <c r="B872" s="5" t="s">
        <v>2748</v>
      </c>
      <c r="C872" s="5" t="s">
        <v>55</v>
      </c>
      <c r="D872" s="5" t="s">
        <v>56</v>
      </c>
      <c r="E872" s="5" t="s">
        <v>71</v>
      </c>
      <c r="F872" s="5" t="s">
        <v>72</v>
      </c>
      <c r="G872" s="5" t="s">
        <v>59</v>
      </c>
      <c r="H872" s="5" t="s">
        <v>60</v>
      </c>
      <c r="I872" s="6" t="n">
        <v>1</v>
      </c>
      <c r="J872" s="7" t="n">
        <f aca="false">IF(I872="","",1/I872)</f>
        <v>1</v>
      </c>
      <c r="K872" s="8" t="n">
        <v>413.28</v>
      </c>
      <c r="L872" s="9" t="n">
        <v>-2.94</v>
      </c>
      <c r="M872" s="10" t="n">
        <v>-0.0071</v>
      </c>
      <c r="N872" s="8" t="n">
        <v>418.43</v>
      </c>
      <c r="O872" s="8" t="n">
        <v>413.28</v>
      </c>
      <c r="P872" s="8" t="n">
        <v>418.43</v>
      </c>
      <c r="Q872" s="8" t="n">
        <v>413.28</v>
      </c>
      <c r="R872" s="11" t="n">
        <v>10</v>
      </c>
      <c r="S872" s="11" t="n">
        <f aca="false">K872*R872</f>
        <v>4132.8</v>
      </c>
      <c r="T872" s="8" t="n">
        <v>413.28</v>
      </c>
      <c r="U872" s="8" t="n">
        <v>479.95</v>
      </c>
      <c r="V872" s="12" t="n">
        <f aca="false">IF(U872-T872=0,"",(K872-T872)/(U872-T872))</f>
        <v>0</v>
      </c>
      <c r="W872" s="13" t="n">
        <f aca="false">IF(U872=0,"",K872/U872-1)</f>
        <v>-0.138910303156579</v>
      </c>
      <c r="X872" s="11" t="n">
        <v>43411</v>
      </c>
      <c r="Y872" s="5" t="s">
        <v>71</v>
      </c>
      <c r="Z872" s="5" t="s">
        <v>73</v>
      </c>
      <c r="AA872" s="5" t="s">
        <v>72</v>
      </c>
      <c r="AB872" s="5"/>
      <c r="AC872" s="5" t="s">
        <v>2749</v>
      </c>
      <c r="AD872" s="14" t="n">
        <v>46288.771875</v>
      </c>
    </row>
    <row r="873" customFormat="false" ht="15" hidden="false" customHeight="false" outlineLevel="0" collapsed="false">
      <c r="A873" s="5" t="s">
        <v>2750</v>
      </c>
      <c r="B873" s="5" t="s">
        <v>2751</v>
      </c>
      <c r="C873" s="5" t="s">
        <v>55</v>
      </c>
      <c r="D873" s="5" t="s">
        <v>56</v>
      </c>
      <c r="E873" s="5" t="s">
        <v>57</v>
      </c>
      <c r="F873" s="5" t="s">
        <v>58</v>
      </c>
      <c r="G873" s="5" t="s">
        <v>59</v>
      </c>
      <c r="H873" s="5" t="s">
        <v>60</v>
      </c>
      <c r="I873" s="6" t="n">
        <v>0.0625</v>
      </c>
      <c r="J873" s="7" t="n">
        <f aca="false">IF(I873="","",1/I873)</f>
        <v>16</v>
      </c>
      <c r="K873" s="8" t="n">
        <v>35.55</v>
      </c>
      <c r="L873" s="9" t="n">
        <v>0.54</v>
      </c>
      <c r="M873" s="10" t="n">
        <v>0.0154</v>
      </c>
      <c r="N873" s="8" t="n">
        <v>35.13</v>
      </c>
      <c r="O873" s="8" t="n">
        <v>35.13</v>
      </c>
      <c r="P873" s="8" t="n">
        <v>35.82</v>
      </c>
      <c r="Q873" s="8" t="n">
        <v>35.62</v>
      </c>
      <c r="R873" s="11" t="n">
        <v>27993</v>
      </c>
      <c r="S873" s="11" t="n">
        <f aca="false">K873*R873</f>
        <v>995151.15</v>
      </c>
      <c r="T873" s="8" t="n">
        <v>32.65</v>
      </c>
      <c r="U873" s="8" t="n">
        <v>43.99</v>
      </c>
      <c r="V873" s="12" t="n">
        <f aca="false">IF(U873-T873=0,"",(K873-T873)/(U873-T873))</f>
        <v>0.255731922398589</v>
      </c>
      <c r="W873" s="13" t="n">
        <f aca="false">IF(U873=0,"",K873/U873-1)</f>
        <v>-0.191861786769721</v>
      </c>
      <c r="X873" s="11" t="n">
        <v>4471157</v>
      </c>
      <c r="Y873" s="5" t="s">
        <v>57</v>
      </c>
      <c r="Z873" s="5" t="s">
        <v>61</v>
      </c>
      <c r="AA873" s="5" t="s">
        <v>58</v>
      </c>
      <c r="AB873" s="5"/>
      <c r="AC873" s="5" t="s">
        <v>2752</v>
      </c>
      <c r="AD873" s="14" t="n">
        <v>46288.771875</v>
      </c>
    </row>
    <row r="874" customFormat="false" ht="15" hidden="false" customHeight="false" outlineLevel="0" collapsed="false">
      <c r="A874" s="5" t="s">
        <v>2753</v>
      </c>
      <c r="B874" s="5" t="s">
        <v>2754</v>
      </c>
      <c r="C874" s="5" t="s">
        <v>55</v>
      </c>
      <c r="D874" s="5" t="s">
        <v>56</v>
      </c>
      <c r="E874" s="5" t="s">
        <v>71</v>
      </c>
      <c r="F874" s="5" t="s">
        <v>72</v>
      </c>
      <c r="G874" s="5" t="s">
        <v>59</v>
      </c>
      <c r="H874" s="5" t="s">
        <v>60</v>
      </c>
      <c r="I874" s="6" t="n">
        <v>0.25</v>
      </c>
      <c r="J874" s="7" t="n">
        <f aca="false">IF(I874="","",1/I874)</f>
        <v>4</v>
      </c>
      <c r="K874" s="8" t="n">
        <v>105.67</v>
      </c>
      <c r="L874" s="9" t="n">
        <v>-0.6</v>
      </c>
      <c r="M874" s="10" t="n">
        <v>-0.0056</v>
      </c>
      <c r="N874" s="8" t="n">
        <v>105.9</v>
      </c>
      <c r="O874" s="8" t="n">
        <v>105.52</v>
      </c>
      <c r="P874" s="8" t="n">
        <v>107.32</v>
      </c>
      <c r="Q874" s="8" t="n">
        <v>105.75</v>
      </c>
      <c r="R874" s="11" t="n">
        <v>4201</v>
      </c>
      <c r="S874" s="11" t="n">
        <f aca="false">K874*R874</f>
        <v>443919.67</v>
      </c>
      <c r="T874" s="8" t="n">
        <v>89.48</v>
      </c>
      <c r="U874" s="8" t="n">
        <v>133</v>
      </c>
      <c r="V874" s="12" t="n">
        <f aca="false">IF(U874-T874=0,"",(K874-T874)/(U874-T874))</f>
        <v>0.372012867647059</v>
      </c>
      <c r="W874" s="13" t="n">
        <f aca="false">IF(U874=0,"",K874/U874-1)</f>
        <v>-0.205488721804511</v>
      </c>
      <c r="X874" s="11" t="n">
        <v>1286825</v>
      </c>
      <c r="Y874" s="5" t="s">
        <v>71</v>
      </c>
      <c r="Z874" s="5" t="s">
        <v>73</v>
      </c>
      <c r="AA874" s="5" t="s">
        <v>72</v>
      </c>
      <c r="AB874" s="5"/>
      <c r="AC874" s="5" t="s">
        <v>2755</v>
      </c>
      <c r="AD874" s="14" t="n">
        <v>46288.771875</v>
      </c>
    </row>
    <row r="875" customFormat="false" ht="15" hidden="false" customHeight="false" outlineLevel="0" collapsed="false">
      <c r="A875" s="5" t="s">
        <v>2756</v>
      </c>
      <c r="B875" s="5" t="s">
        <v>2757</v>
      </c>
      <c r="C875" s="5" t="s">
        <v>55</v>
      </c>
      <c r="D875" s="5" t="s">
        <v>56</v>
      </c>
      <c r="E875" s="5" t="s">
        <v>71</v>
      </c>
      <c r="F875" s="5" t="s">
        <v>72</v>
      </c>
      <c r="G875" s="5" t="s">
        <v>59</v>
      </c>
      <c r="H875" s="5" t="s">
        <v>60</v>
      </c>
      <c r="I875" s="6" t="n">
        <v>1</v>
      </c>
      <c r="J875" s="7" t="n">
        <f aca="false">IF(I875="","",1/I875)</f>
        <v>1</v>
      </c>
      <c r="K875" s="8" t="n">
        <v>31.55</v>
      </c>
      <c r="L875" s="9" t="n">
        <v>-0.81</v>
      </c>
      <c r="M875" s="10" t="n">
        <v>-0.025</v>
      </c>
      <c r="N875" s="8" t="n">
        <v>32.69</v>
      </c>
      <c r="O875" s="8" t="n">
        <v>31.55</v>
      </c>
      <c r="P875" s="8" t="n">
        <v>32.69</v>
      </c>
      <c r="Q875" s="8" t="n">
        <v>31.55</v>
      </c>
      <c r="R875" s="11" t="n">
        <v>88</v>
      </c>
      <c r="S875" s="11" t="n">
        <f aca="false">K875*R875</f>
        <v>2776.4</v>
      </c>
      <c r="T875" s="8" t="n">
        <v>31.45</v>
      </c>
      <c r="U875" s="8" t="n">
        <v>54.1</v>
      </c>
      <c r="V875" s="12" t="n">
        <f aca="false">IF(U875-T875=0,"",(K875-T875)/(U875-T875))</f>
        <v>0.00441501103752766</v>
      </c>
      <c r="W875" s="13" t="n">
        <f aca="false">IF(U875=0,"",K875/U875-1)</f>
        <v>-0.416820702402958</v>
      </c>
      <c r="X875" s="11" t="n">
        <v>9928</v>
      </c>
      <c r="Y875" s="5" t="s">
        <v>71</v>
      </c>
      <c r="Z875" s="5" t="s">
        <v>73</v>
      </c>
      <c r="AA875" s="5" t="s">
        <v>72</v>
      </c>
      <c r="AB875" s="5"/>
      <c r="AC875" s="5" t="s">
        <v>2758</v>
      </c>
      <c r="AD875" s="14" t="n">
        <v>46288.771875</v>
      </c>
    </row>
    <row r="876" customFormat="false" ht="15" hidden="false" customHeight="false" outlineLevel="0" collapsed="false">
      <c r="A876" s="5" t="s">
        <v>2759</v>
      </c>
      <c r="B876" s="5" t="s">
        <v>2760</v>
      </c>
      <c r="C876" s="5" t="s">
        <v>55</v>
      </c>
      <c r="D876" s="5" t="s">
        <v>56</v>
      </c>
      <c r="E876" s="5" t="s">
        <v>90</v>
      </c>
      <c r="F876" s="5" t="s">
        <v>91</v>
      </c>
      <c r="G876" s="5" t="s">
        <v>59</v>
      </c>
      <c r="H876" s="5" t="s">
        <v>60</v>
      </c>
      <c r="I876" s="6" t="n">
        <v>0.125</v>
      </c>
      <c r="J876" s="7" t="n">
        <f aca="false">IF(I876="","",1/I876)</f>
        <v>8</v>
      </c>
      <c r="K876" s="8" t="n">
        <v>47.15</v>
      </c>
      <c r="L876" s="9" t="n">
        <v>0.3</v>
      </c>
      <c r="M876" s="10" t="n">
        <v>0.0064</v>
      </c>
      <c r="N876" s="8" t="n">
        <v>47.15</v>
      </c>
      <c r="O876" s="8" t="n">
        <v>47.15</v>
      </c>
      <c r="P876" s="8" t="n">
        <v>47.15</v>
      </c>
      <c r="Q876" s="8" t="n">
        <v>47.15</v>
      </c>
      <c r="R876" s="11" t="n">
        <v>2</v>
      </c>
      <c r="S876" s="11" t="n">
        <f aca="false">K876*R876</f>
        <v>94.3</v>
      </c>
      <c r="T876" s="8" t="n">
        <v>46.55</v>
      </c>
      <c r="U876" s="8" t="n">
        <v>53.235</v>
      </c>
      <c r="V876" s="12" t="n">
        <f aca="false">IF(U876-T876=0,"",(K876-T876)/(U876-T876))</f>
        <v>0.0897531787584145</v>
      </c>
      <c r="W876" s="13" t="n">
        <f aca="false">IF(U876=0,"",K876/U876-1)</f>
        <v>-0.114304498919884</v>
      </c>
      <c r="X876" s="11" t="n">
        <v>230354</v>
      </c>
      <c r="Y876" s="5" t="s">
        <v>90</v>
      </c>
      <c r="Z876" s="5" t="s">
        <v>92</v>
      </c>
      <c r="AA876" s="5" t="s">
        <v>91</v>
      </c>
      <c r="AB876" s="5"/>
      <c r="AC876" s="5" t="s">
        <v>2761</v>
      </c>
      <c r="AD876" s="14" t="n">
        <v>46288.771875</v>
      </c>
    </row>
    <row r="877" customFormat="false" ht="15" hidden="false" customHeight="false" outlineLevel="0" collapsed="false">
      <c r="A877" s="5" t="s">
        <v>2762</v>
      </c>
      <c r="B877" s="5" t="s">
        <v>2763</v>
      </c>
      <c r="C877" s="5" t="s">
        <v>55</v>
      </c>
      <c r="D877" s="5" t="s">
        <v>56</v>
      </c>
      <c r="E877" s="5" t="s">
        <v>142</v>
      </c>
      <c r="F877" s="5" t="s">
        <v>143</v>
      </c>
      <c r="G877" s="5" t="s">
        <v>59</v>
      </c>
      <c r="H877" s="5" t="s">
        <v>60</v>
      </c>
      <c r="I877" s="6" t="n">
        <v>0.5</v>
      </c>
      <c r="J877" s="7" t="n">
        <f aca="false">IF(I877="","",1/I877)</f>
        <v>2</v>
      </c>
      <c r="K877" s="8" t="n">
        <v>272.97</v>
      </c>
      <c r="L877" s="9" t="n">
        <v>-3.24</v>
      </c>
      <c r="M877" s="10" t="n">
        <v>-0.0117</v>
      </c>
      <c r="N877" s="8" t="n">
        <v>272.97</v>
      </c>
      <c r="O877" s="8" t="n">
        <v>272.97</v>
      </c>
      <c r="P877" s="8" t="n">
        <v>272.97</v>
      </c>
      <c r="Q877" s="8" t="n">
        <v>272.97</v>
      </c>
      <c r="R877" s="11" t="n">
        <v>2</v>
      </c>
      <c r="S877" s="11" t="n">
        <f aca="false">K877*R877</f>
        <v>545.94</v>
      </c>
      <c r="T877" s="8" t="n">
        <v>271.08</v>
      </c>
      <c r="U877" s="8" t="n">
        <v>367.99</v>
      </c>
      <c r="V877" s="12" t="n">
        <f aca="false">IF(U877-T877=0,"",(K877-T877)/(U877-T877))</f>
        <v>0.0195026313073991</v>
      </c>
      <c r="W877" s="13" t="n">
        <f aca="false">IF(U877=0,"",K877/U877-1)</f>
        <v>-0.25821353841137</v>
      </c>
      <c r="X877" s="11" t="n">
        <v>128872</v>
      </c>
      <c r="Y877" s="5" t="s">
        <v>142</v>
      </c>
      <c r="Z877" s="5" t="s">
        <v>144</v>
      </c>
      <c r="AA877" s="5" t="s">
        <v>143</v>
      </c>
      <c r="AB877" s="5"/>
      <c r="AC877" s="5" t="s">
        <v>2764</v>
      </c>
      <c r="AD877" s="14" t="n">
        <v>46288.771875</v>
      </c>
    </row>
    <row r="878" customFormat="false" ht="15" hidden="false" customHeight="false" outlineLevel="0" collapsed="false">
      <c r="A878" s="5" t="s">
        <v>2765</v>
      </c>
      <c r="B878" s="5" t="s">
        <v>2766</v>
      </c>
      <c r="C878" s="5" t="s">
        <v>55</v>
      </c>
      <c r="D878" s="5" t="s">
        <v>56</v>
      </c>
      <c r="E878" s="5" t="s">
        <v>1388</v>
      </c>
      <c r="F878" s="5" t="s">
        <v>1389</v>
      </c>
      <c r="G878" s="5" t="s">
        <v>59</v>
      </c>
      <c r="H878" s="5" t="s">
        <v>60</v>
      </c>
      <c r="I878" s="6" t="n">
        <v>0.04</v>
      </c>
      <c r="J878" s="7" t="n">
        <f aca="false">IF(I878="","",1/I878)</f>
        <v>25</v>
      </c>
      <c r="K878" s="8" t="n">
        <v>15.55</v>
      </c>
      <c r="L878" s="9" t="n">
        <v>-0.36</v>
      </c>
      <c r="M878" s="10" t="n">
        <v>-0.0226</v>
      </c>
      <c r="N878" s="8" t="n">
        <v>15.62</v>
      </c>
      <c r="O878" s="8" t="n">
        <v>15.55</v>
      </c>
      <c r="P878" s="8" t="n">
        <v>15.62</v>
      </c>
      <c r="Q878" s="8" t="n">
        <v>15.55</v>
      </c>
      <c r="R878" s="11" t="n">
        <v>200</v>
      </c>
      <c r="S878" s="11" t="n">
        <f aca="false">K878*R878</f>
        <v>3110</v>
      </c>
      <c r="T878" s="8" t="n">
        <v>10.06</v>
      </c>
      <c r="U878" s="8" t="n">
        <v>17.84</v>
      </c>
      <c r="V878" s="12" t="n">
        <f aca="false">IF(U878-T878=0,"",(K878-T878)/(U878-T878))</f>
        <v>0.705655526992288</v>
      </c>
      <c r="W878" s="13" t="n">
        <f aca="false">IF(U878=0,"",K878/U878-1)</f>
        <v>-0.128363228699552</v>
      </c>
      <c r="X878" s="11" t="n">
        <v>238382</v>
      </c>
      <c r="Y878" s="5" t="s">
        <v>1388</v>
      </c>
      <c r="Z878" s="5" t="s">
        <v>1390</v>
      </c>
      <c r="AA878" s="5" t="s">
        <v>1389</v>
      </c>
      <c r="AB878" s="5"/>
      <c r="AC878" s="5" t="s">
        <v>2767</v>
      </c>
      <c r="AD878" s="14" t="n">
        <v>46288.771875</v>
      </c>
    </row>
    <row r="879" customFormat="false" ht="15" hidden="false" customHeight="false" outlineLevel="0" collapsed="false">
      <c r="A879" s="5" t="s">
        <v>2768</v>
      </c>
      <c r="B879" s="5" t="s">
        <v>2769</v>
      </c>
      <c r="C879" s="5" t="s">
        <v>55</v>
      </c>
      <c r="D879" s="5" t="s">
        <v>1434</v>
      </c>
      <c r="E879" s="5" t="s">
        <v>71</v>
      </c>
      <c r="F879" s="5" t="s">
        <v>72</v>
      </c>
      <c r="G879" s="5" t="s">
        <v>59</v>
      </c>
      <c r="H879" s="5" t="s">
        <v>60</v>
      </c>
      <c r="I879" s="6" t="n">
        <v>1</v>
      </c>
      <c r="J879" s="7" t="n">
        <f aca="false">IF(I879="","",1/I879)</f>
        <v>1</v>
      </c>
      <c r="K879" s="8" t="n">
        <v>108.8</v>
      </c>
      <c r="L879" s="9" t="n">
        <v>0.41</v>
      </c>
      <c r="M879" s="10" t="n">
        <v>0.0038</v>
      </c>
      <c r="N879" s="8" t="n">
        <v>108</v>
      </c>
      <c r="O879" s="8" t="n">
        <v>107.09</v>
      </c>
      <c r="P879" s="8" t="n">
        <v>110.56</v>
      </c>
      <c r="Q879" s="8" t="n">
        <v>108.08</v>
      </c>
      <c r="R879" s="11" t="n">
        <v>1139731</v>
      </c>
      <c r="S879" s="11" t="n">
        <f aca="false">K879*R879</f>
        <v>124002732.8</v>
      </c>
      <c r="T879" s="8" t="n">
        <v>76.22</v>
      </c>
      <c r="U879" s="8" t="n">
        <v>119.37</v>
      </c>
      <c r="V879" s="12" t="n">
        <f aca="false">IF(U879-T879=0,"",(K879-T879)/(U879-T879))</f>
        <v>0.755040556199305</v>
      </c>
      <c r="W879" s="13" t="n">
        <f aca="false">IF(U879=0,"",K879/U879-1)</f>
        <v>-0.0885482114434113</v>
      </c>
      <c r="X879" s="11" t="n">
        <v>56120</v>
      </c>
      <c r="Y879" s="5" t="s">
        <v>71</v>
      </c>
      <c r="Z879" s="5" t="s">
        <v>73</v>
      </c>
      <c r="AA879" s="5" t="s">
        <v>72</v>
      </c>
      <c r="AB879" s="5"/>
      <c r="AC879" s="5" t="s">
        <v>2770</v>
      </c>
      <c r="AD879" s="14" t="n">
        <v>46288.771875</v>
      </c>
    </row>
    <row r="880" customFormat="false" ht="15" hidden="false" customHeight="false" outlineLevel="0" collapsed="false">
      <c r="A880" s="5" t="s">
        <v>2771</v>
      </c>
      <c r="B880" s="5" t="s">
        <v>2772</v>
      </c>
      <c r="C880" s="5" t="s">
        <v>55</v>
      </c>
      <c r="D880" s="5" t="s">
        <v>56</v>
      </c>
      <c r="E880" s="5" t="s">
        <v>99</v>
      </c>
      <c r="F880" s="5" t="s">
        <v>100</v>
      </c>
      <c r="G880" s="5" t="s">
        <v>59</v>
      </c>
      <c r="H880" s="5" t="s">
        <v>60</v>
      </c>
      <c r="I880" s="6" t="n">
        <v>1</v>
      </c>
      <c r="J880" s="7" t="n">
        <f aca="false">IF(I880="","",1/I880)</f>
        <v>1</v>
      </c>
      <c r="K880" s="8" t="n">
        <v>50.7</v>
      </c>
      <c r="L880" s="9" t="n">
        <v>-5.3</v>
      </c>
      <c r="M880" s="10" t="n">
        <v>-0.0946</v>
      </c>
      <c r="N880" s="8" t="n">
        <v>50.8</v>
      </c>
      <c r="O880" s="8" t="n">
        <v>50.7</v>
      </c>
      <c r="P880" s="8" t="n">
        <v>50.8</v>
      </c>
      <c r="Q880" s="8" t="n">
        <v>50.7</v>
      </c>
      <c r="R880" s="11" t="n">
        <v>14</v>
      </c>
      <c r="S880" s="11" t="n">
        <f aca="false">K880*R880</f>
        <v>709.8</v>
      </c>
      <c r="T880" s="8" t="n">
        <v>49.49</v>
      </c>
      <c r="U880" s="8" t="n">
        <v>74.08</v>
      </c>
      <c r="V880" s="12" t="n">
        <f aca="false">IF(U880-T880=0,"",(K880-T880)/(U880-T880))</f>
        <v>0.0492069947132981</v>
      </c>
      <c r="W880" s="13" t="n">
        <f aca="false">IF(U880=0,"",K880/U880-1)</f>
        <v>-0.31560475161987</v>
      </c>
      <c r="X880" s="11" t="n">
        <v>10151</v>
      </c>
      <c r="Y880" s="5" t="s">
        <v>99</v>
      </c>
      <c r="Z880" s="5" t="s">
        <v>101</v>
      </c>
      <c r="AA880" s="5" t="s">
        <v>100</v>
      </c>
      <c r="AB880" s="5"/>
      <c r="AC880" s="5" t="s">
        <v>2773</v>
      </c>
      <c r="AD880" s="14" t="n">
        <v>46288.771875</v>
      </c>
    </row>
    <row r="881" customFormat="false" ht="15" hidden="false" customHeight="false" outlineLevel="0" collapsed="false">
      <c r="A881" s="5" t="s">
        <v>2774</v>
      </c>
      <c r="B881" s="5" t="s">
        <v>2775</v>
      </c>
      <c r="C881" s="5" t="s">
        <v>55</v>
      </c>
      <c r="D881" s="5" t="s">
        <v>56</v>
      </c>
      <c r="E881" s="5" t="s">
        <v>77</v>
      </c>
      <c r="F881" s="5" t="s">
        <v>78</v>
      </c>
      <c r="G881" s="5" t="s">
        <v>59</v>
      </c>
      <c r="H881" s="5" t="s">
        <v>60</v>
      </c>
      <c r="I881" s="6" t="n">
        <v>1</v>
      </c>
      <c r="J881" s="7" t="n">
        <f aca="false">IF(I881="","",1/I881)</f>
        <v>1</v>
      </c>
      <c r="K881" s="8" t="n">
        <v>17.47</v>
      </c>
      <c r="L881" s="9" t="n">
        <v>-0.17</v>
      </c>
      <c r="M881" s="10" t="n">
        <v>-0.0096</v>
      </c>
      <c r="N881" s="8" t="n">
        <v>17.47</v>
      </c>
      <c r="O881" s="8" t="n">
        <v>17.47</v>
      </c>
      <c r="P881" s="8" t="n">
        <v>17.47</v>
      </c>
      <c r="Q881" s="8" t="n">
        <v>17.47</v>
      </c>
      <c r="R881" s="11" t="n">
        <v>1</v>
      </c>
      <c r="S881" s="11" t="n">
        <f aca="false">K881*R881</f>
        <v>17.47</v>
      </c>
      <c r="T881" s="8" t="n">
        <v>6.2</v>
      </c>
      <c r="U881" s="8" t="n">
        <v>20.88</v>
      </c>
      <c r="V881" s="12" t="n">
        <f aca="false">IF(U881-T881=0,"",(K881-T881)/(U881-T881))</f>
        <v>0.767711171662125</v>
      </c>
      <c r="W881" s="13" t="n">
        <f aca="false">IF(U881=0,"",K881/U881-1)</f>
        <v>-0.163314176245211</v>
      </c>
      <c r="X881" s="11" t="n">
        <v>2345</v>
      </c>
      <c r="Y881" s="5" t="s">
        <v>77</v>
      </c>
      <c r="Z881" s="5" t="s">
        <v>79</v>
      </c>
      <c r="AA881" s="5" t="s">
        <v>78</v>
      </c>
      <c r="AB881" s="5"/>
      <c r="AC881" s="5" t="s">
        <v>2776</v>
      </c>
      <c r="AD881" s="14" t="n">
        <v>46288.771875</v>
      </c>
    </row>
    <row r="882" customFormat="false" ht="15" hidden="false" customHeight="false" outlineLevel="0" collapsed="false">
      <c r="A882" s="5" t="s">
        <v>2777</v>
      </c>
      <c r="B882" s="5" t="s">
        <v>2778</v>
      </c>
      <c r="C882" s="5" t="s">
        <v>55</v>
      </c>
      <c r="D882" s="5" t="s">
        <v>56</v>
      </c>
      <c r="E882" s="5" t="s">
        <v>160</v>
      </c>
      <c r="F882" s="5" t="s">
        <v>161</v>
      </c>
      <c r="G882" s="5" t="s">
        <v>59</v>
      </c>
      <c r="H882" s="5" t="s">
        <v>86</v>
      </c>
      <c r="I882" s="6" t="n">
        <v>1</v>
      </c>
      <c r="J882" s="7" t="n">
        <f aca="false">IF(I882="","",1/I882)</f>
        <v>1</v>
      </c>
      <c r="K882" s="8" t="n">
        <v>273.78</v>
      </c>
      <c r="L882" s="9" t="n">
        <v>1.9</v>
      </c>
      <c r="M882" s="10" t="n">
        <v>0.007</v>
      </c>
      <c r="N882" s="8" t="n">
        <v>267.1</v>
      </c>
      <c r="O882" s="8" t="n">
        <v>267.1</v>
      </c>
      <c r="P882" s="8" t="n">
        <v>273.78</v>
      </c>
      <c r="Q882" s="8" t="n">
        <v>273.78</v>
      </c>
      <c r="R882" s="11" t="n">
        <v>28</v>
      </c>
      <c r="S882" s="11" t="n">
        <f aca="false">K882*R882</f>
        <v>7665.84</v>
      </c>
      <c r="T882" s="8" t="n">
        <v>124.54</v>
      </c>
      <c r="U882" s="8" t="n">
        <v>296.46</v>
      </c>
      <c r="V882" s="12" t="n">
        <f aca="false">IF(U882-T882=0,"",(K882-T882)/(U882-T882))</f>
        <v>0.868078175895765</v>
      </c>
      <c r="W882" s="13" t="n">
        <f aca="false">IF(U882=0,"",K882/U882-1)</f>
        <v>-0.0765027322404371</v>
      </c>
      <c r="X882" s="11" t="n">
        <v>113307</v>
      </c>
      <c r="Y882" s="5" t="s">
        <v>160</v>
      </c>
      <c r="Z882" s="5" t="s">
        <v>162</v>
      </c>
      <c r="AA882" s="5" t="s">
        <v>161</v>
      </c>
      <c r="AB882" s="5"/>
      <c r="AC882" s="5" t="s">
        <v>2779</v>
      </c>
      <c r="AD882" s="14" t="n">
        <v>46288.771875</v>
      </c>
    </row>
    <row r="883" customFormat="false" ht="15" hidden="false" customHeight="false" outlineLevel="0" collapsed="false">
      <c r="A883" s="5" t="s">
        <v>2780</v>
      </c>
      <c r="B883" s="5" t="s">
        <v>2781</v>
      </c>
      <c r="C883" s="5" t="s">
        <v>55</v>
      </c>
      <c r="D883" s="5" t="s">
        <v>56</v>
      </c>
      <c r="E883" s="5" t="s">
        <v>182</v>
      </c>
      <c r="F883" s="5" t="s">
        <v>183</v>
      </c>
      <c r="G883" s="5" t="s">
        <v>59</v>
      </c>
      <c r="H883" s="5"/>
      <c r="I883" s="6"/>
      <c r="J883" s="7" t="str">
        <f aca="false">IF(I883="","",1/I883)</f>
        <v/>
      </c>
      <c r="K883" s="8" t="n">
        <v>358.56</v>
      </c>
      <c r="L883" s="9" t="n">
        <v>4.46</v>
      </c>
      <c r="M883" s="10" t="n">
        <v>0.0126</v>
      </c>
      <c r="N883" s="8" t="n">
        <v>358.56</v>
      </c>
      <c r="O883" s="8" t="n">
        <v>358.56</v>
      </c>
      <c r="P883" s="8" t="n">
        <v>358.56</v>
      </c>
      <c r="Q883" s="8" t="n">
        <v>358.56</v>
      </c>
      <c r="R883" s="11" t="n">
        <v>100</v>
      </c>
      <c r="S883" s="11" t="n">
        <f aca="false">K883*R883</f>
        <v>35856</v>
      </c>
      <c r="T883" s="8" t="n">
        <v>354.09</v>
      </c>
      <c r="U883" s="8" t="n">
        <v>435.21</v>
      </c>
      <c r="V883" s="12" t="n">
        <f aca="false">IF(U883-T883=0,"",(K883-T883)/(U883-T883))</f>
        <v>0.0551035502958583</v>
      </c>
      <c r="W883" s="13" t="n">
        <f aca="false">IF(U883=0,"",K883/U883-1)</f>
        <v>-0.176121872199628</v>
      </c>
      <c r="X883" s="11" t="n">
        <v>195123</v>
      </c>
      <c r="Y883" s="5" t="s">
        <v>182</v>
      </c>
      <c r="Z883" s="5" t="s">
        <v>184</v>
      </c>
      <c r="AA883" s="5" t="s">
        <v>183</v>
      </c>
      <c r="AB883" s="5" t="s">
        <v>111</v>
      </c>
      <c r="AC883" s="5" t="s">
        <v>2782</v>
      </c>
      <c r="AD883" s="14" t="n">
        <v>46288.771875</v>
      </c>
    </row>
    <row r="884" customFormat="false" ht="15" hidden="false" customHeight="false" outlineLevel="0" collapsed="false">
      <c r="A884" s="5" t="s">
        <v>2783</v>
      </c>
      <c r="B884" s="5" t="s">
        <v>2784</v>
      </c>
      <c r="C884" s="5" t="s">
        <v>55</v>
      </c>
      <c r="D884" s="5" t="s">
        <v>56</v>
      </c>
      <c r="E884" s="5" t="s">
        <v>99</v>
      </c>
      <c r="F884" s="5" t="s">
        <v>100</v>
      </c>
      <c r="G884" s="5" t="s">
        <v>59</v>
      </c>
      <c r="H884" s="5" t="s">
        <v>60</v>
      </c>
      <c r="I884" s="6" t="n">
        <v>0.25</v>
      </c>
      <c r="J884" s="7" t="n">
        <f aca="false">IF(I884="","",1/I884)</f>
        <v>4</v>
      </c>
      <c r="K884" s="8" t="n">
        <v>117.6</v>
      </c>
      <c r="L884" s="9" t="n">
        <v>-4.68</v>
      </c>
      <c r="M884" s="10" t="n">
        <v>-0.0383</v>
      </c>
      <c r="N884" s="8" t="n">
        <v>118.2</v>
      </c>
      <c r="O884" s="8" t="n">
        <v>117.6</v>
      </c>
      <c r="P884" s="8" t="n">
        <v>118.2</v>
      </c>
      <c r="Q884" s="8" t="n">
        <v>117.6</v>
      </c>
      <c r="R884" s="11" t="n">
        <v>2</v>
      </c>
      <c r="S884" s="11" t="n">
        <f aca="false">K884*R884</f>
        <v>235.2</v>
      </c>
      <c r="T884" s="8" t="n">
        <v>111.66</v>
      </c>
      <c r="U884" s="8" t="n">
        <v>129.09</v>
      </c>
      <c r="V884" s="12" t="n">
        <f aca="false">IF(U884-T884=0,"",(K884-T884)/(U884-T884))</f>
        <v>0.3407917383821</v>
      </c>
      <c r="W884" s="13" t="n">
        <f aca="false">IF(U884=0,"",K884/U884-1)</f>
        <v>-0.0890076690680921</v>
      </c>
      <c r="X884" s="11" t="n">
        <v>91738</v>
      </c>
      <c r="Y884" s="5" t="s">
        <v>99</v>
      </c>
      <c r="Z884" s="5" t="s">
        <v>101</v>
      </c>
      <c r="AA884" s="5" t="s">
        <v>100</v>
      </c>
      <c r="AB884" s="5"/>
      <c r="AC884" s="5" t="s">
        <v>2785</v>
      </c>
      <c r="AD884" s="14" t="n">
        <v>46288.771875</v>
      </c>
    </row>
    <row r="885" customFormat="false" ht="15" hidden="false" customHeight="false" outlineLevel="0" collapsed="false">
      <c r="A885" s="5" t="s">
        <v>2786</v>
      </c>
      <c r="B885" s="5" t="s">
        <v>2787</v>
      </c>
      <c r="C885" s="5" t="s">
        <v>55</v>
      </c>
      <c r="D885" s="5" t="s">
        <v>56</v>
      </c>
      <c r="E885" s="5" t="s">
        <v>77</v>
      </c>
      <c r="F885" s="5" t="s">
        <v>78</v>
      </c>
      <c r="G885" s="5" t="s">
        <v>59</v>
      </c>
      <c r="H885" s="5" t="s">
        <v>60</v>
      </c>
      <c r="I885" s="6" t="n">
        <v>0.033</v>
      </c>
      <c r="J885" s="7" t="n">
        <f aca="false">IF(I885="","",1/I885)</f>
        <v>30.3030303030303</v>
      </c>
      <c r="K885" s="8" t="n">
        <v>60.36</v>
      </c>
      <c r="L885" s="9" t="n">
        <v>0.72</v>
      </c>
      <c r="M885" s="10" t="n">
        <v>0.0121</v>
      </c>
      <c r="N885" s="8" t="n">
        <v>60.36</v>
      </c>
      <c r="O885" s="8" t="n">
        <v>60.36</v>
      </c>
      <c r="P885" s="8" t="n">
        <v>60.36</v>
      </c>
      <c r="Q885" s="8" t="n">
        <v>60.36</v>
      </c>
      <c r="R885" s="11" t="n">
        <v>5</v>
      </c>
      <c r="S885" s="11" t="n">
        <f aca="false">K885*R885</f>
        <v>301.8</v>
      </c>
      <c r="T885" s="8" t="n">
        <v>35.74</v>
      </c>
      <c r="U885" s="8" t="n">
        <v>66.46</v>
      </c>
      <c r="V885" s="12" t="n">
        <f aca="false">IF(U885-T885=0,"",(K885-T885)/(U885-T885))</f>
        <v>0.801432291666667</v>
      </c>
      <c r="W885" s="13" t="n">
        <f aca="false">IF(U885=0,"",K885/U885-1)</f>
        <v>-0.0917845320493529</v>
      </c>
      <c r="X885" s="11" t="n">
        <v>87554</v>
      </c>
      <c r="Y885" s="5" t="s">
        <v>77</v>
      </c>
      <c r="Z885" s="5" t="s">
        <v>79</v>
      </c>
      <c r="AA885" s="5" t="s">
        <v>78</v>
      </c>
      <c r="AB885" s="5"/>
      <c r="AC885" s="5" t="s">
        <v>2788</v>
      </c>
      <c r="AD885" s="14" t="n">
        <v>46288.771875</v>
      </c>
    </row>
    <row r="886" customFormat="false" ht="15" hidden="false" customHeight="false" outlineLevel="0" collapsed="false">
      <c r="A886" s="5" t="s">
        <v>2789</v>
      </c>
      <c r="B886" s="5" t="s">
        <v>2790</v>
      </c>
      <c r="C886" s="5" t="s">
        <v>55</v>
      </c>
      <c r="D886" s="5" t="s">
        <v>56</v>
      </c>
      <c r="E886" s="5" t="s">
        <v>115</v>
      </c>
      <c r="F886" s="5" t="s">
        <v>116</v>
      </c>
      <c r="G886" s="5" t="s">
        <v>59</v>
      </c>
      <c r="H886" s="5" t="s">
        <v>60</v>
      </c>
      <c r="I886" s="6" t="n">
        <v>0.04</v>
      </c>
      <c r="J886" s="7" t="n">
        <f aca="false">IF(I886="","",1/I886)</f>
        <v>25</v>
      </c>
      <c r="K886" s="8" t="n">
        <v>19.02</v>
      </c>
      <c r="L886" s="9" t="n">
        <v>0.44</v>
      </c>
      <c r="M886" s="10" t="n">
        <v>0.0237</v>
      </c>
      <c r="N886" s="8" t="n">
        <v>19.02</v>
      </c>
      <c r="O886" s="8" t="n">
        <v>19.02</v>
      </c>
      <c r="P886" s="8" t="n">
        <v>19.02</v>
      </c>
      <c r="Q886" s="8" t="n">
        <v>19.02</v>
      </c>
      <c r="R886" s="11" t="n">
        <v>55</v>
      </c>
      <c r="S886" s="11" t="n">
        <f aca="false">K886*R886</f>
        <v>1046.1</v>
      </c>
      <c r="T886" s="8" t="n">
        <v>14.97</v>
      </c>
      <c r="U886" s="8" t="n">
        <v>23</v>
      </c>
      <c r="V886" s="12" t="n">
        <f aca="false">IF(U886-T886=0,"",(K886-T886)/(U886-T886))</f>
        <v>0.504358655043587</v>
      </c>
      <c r="W886" s="13" t="n">
        <f aca="false">IF(U886=0,"",K886/U886-1)</f>
        <v>-0.17304347826087</v>
      </c>
      <c r="X886" s="11" t="n">
        <v>135812</v>
      </c>
      <c r="Y886" s="5" t="s">
        <v>115</v>
      </c>
      <c r="Z886" s="5" t="s">
        <v>117</v>
      </c>
      <c r="AA886" s="5" t="s">
        <v>116</v>
      </c>
      <c r="AB886" s="5"/>
      <c r="AC886" s="5" t="s">
        <v>2791</v>
      </c>
      <c r="AD886" s="14" t="n">
        <v>46288.771875</v>
      </c>
    </row>
    <row r="887" customFormat="false" ht="15" hidden="false" customHeight="false" outlineLevel="0" collapsed="false">
      <c r="A887" s="5" t="s">
        <v>2792</v>
      </c>
      <c r="B887" s="5" t="s">
        <v>2793</v>
      </c>
      <c r="C887" s="5" t="s">
        <v>55</v>
      </c>
      <c r="D887" s="5" t="s">
        <v>56</v>
      </c>
      <c r="E887" s="5" t="s">
        <v>115</v>
      </c>
      <c r="F887" s="5" t="s">
        <v>116</v>
      </c>
      <c r="G887" s="5" t="s">
        <v>59</v>
      </c>
      <c r="H887" s="5" t="s">
        <v>60</v>
      </c>
      <c r="I887" s="6" t="n">
        <v>0.5</v>
      </c>
      <c r="J887" s="7" t="n">
        <f aca="false">IF(I887="","",1/I887)</f>
        <v>2</v>
      </c>
      <c r="K887" s="8" t="n">
        <v>77.04</v>
      </c>
      <c r="L887" s="9" t="n">
        <v>-1.73</v>
      </c>
      <c r="M887" s="10" t="n">
        <v>-0.022</v>
      </c>
      <c r="N887" s="8" t="n">
        <v>77.55</v>
      </c>
      <c r="O887" s="8" t="n">
        <v>76.8</v>
      </c>
      <c r="P887" s="8" t="n">
        <v>77.55</v>
      </c>
      <c r="Q887" s="8" t="n">
        <v>77.04</v>
      </c>
      <c r="R887" s="11" t="n">
        <v>526</v>
      </c>
      <c r="S887" s="11" t="n">
        <f aca="false">K887*R887</f>
        <v>40523.04</v>
      </c>
      <c r="T887" s="8" t="n">
        <v>38</v>
      </c>
      <c r="U887" s="8" t="n">
        <v>83.8</v>
      </c>
      <c r="V887" s="12" t="n">
        <f aca="false">IF(U887-T887=0,"",(K887-T887)/(U887-T887))</f>
        <v>0.852401746724891</v>
      </c>
      <c r="W887" s="13" t="n">
        <f aca="false">IF(U887=0,"",K887/U887-1)</f>
        <v>-0.0806682577565632</v>
      </c>
      <c r="X887" s="11" t="n">
        <v>38705</v>
      </c>
      <c r="Y887" s="5" t="s">
        <v>115</v>
      </c>
      <c r="Z887" s="5" t="s">
        <v>117</v>
      </c>
      <c r="AA887" s="5" t="s">
        <v>116</v>
      </c>
      <c r="AB887" s="5"/>
      <c r="AC887" s="5" t="s">
        <v>2794</v>
      </c>
      <c r="AD887" s="14" t="n">
        <v>46288.771875</v>
      </c>
    </row>
    <row r="888" customFormat="false" ht="15" hidden="false" customHeight="false" outlineLevel="0" collapsed="false">
      <c r="A888" s="5" t="s">
        <v>2795</v>
      </c>
      <c r="B888" s="5" t="s">
        <v>2796</v>
      </c>
      <c r="C888" s="5" t="s">
        <v>55</v>
      </c>
      <c r="D888" s="5" t="s">
        <v>56</v>
      </c>
      <c r="E888" s="5" t="s">
        <v>127</v>
      </c>
      <c r="F888" s="5" t="s">
        <v>128</v>
      </c>
      <c r="G888" s="5" t="s">
        <v>59</v>
      </c>
      <c r="H888" s="5" t="s">
        <v>86</v>
      </c>
      <c r="I888" s="6" t="n">
        <v>0.25</v>
      </c>
      <c r="J888" s="7" t="n">
        <f aca="false">IF(I888="","",1/I888)</f>
        <v>4</v>
      </c>
      <c r="K888" s="8" t="n">
        <v>25.01</v>
      </c>
      <c r="L888" s="9" t="n">
        <v>0.44</v>
      </c>
      <c r="M888" s="10" t="n">
        <v>0.0179</v>
      </c>
      <c r="N888" s="8" t="n">
        <v>25.34</v>
      </c>
      <c r="O888" s="8" t="n">
        <v>25.01</v>
      </c>
      <c r="P888" s="8" t="n">
        <v>25.34</v>
      </c>
      <c r="Q888" s="8" t="n">
        <v>25.01</v>
      </c>
      <c r="R888" s="11" t="n">
        <v>4004</v>
      </c>
      <c r="S888" s="11" t="n">
        <f aca="false">K888*R888</f>
        <v>100140.04</v>
      </c>
      <c r="T888" s="8" t="n">
        <v>24.42</v>
      </c>
      <c r="U888" s="8" t="n">
        <v>32.88</v>
      </c>
      <c r="V888" s="12" t="n">
        <f aca="false">IF(U888-T888=0,"",(K888-T888)/(U888-T888))</f>
        <v>0.0697399527186761</v>
      </c>
      <c r="W888" s="13" t="n">
        <f aca="false">IF(U888=0,"",K888/U888-1)</f>
        <v>-0.239355231143552</v>
      </c>
      <c r="X888" s="11" t="n">
        <v>75783</v>
      </c>
      <c r="Y888" s="5" t="s">
        <v>127</v>
      </c>
      <c r="Z888" s="5" t="s">
        <v>129</v>
      </c>
      <c r="AA888" s="5" t="s">
        <v>128</v>
      </c>
      <c r="AB888" s="5"/>
      <c r="AC888" s="5" t="s">
        <v>2797</v>
      </c>
      <c r="AD888" s="14" t="n">
        <v>46288.771875</v>
      </c>
    </row>
    <row r="889" customFormat="false" ht="15" hidden="false" customHeight="false" outlineLevel="0" collapsed="false">
      <c r="A889" s="5" t="s">
        <v>2798</v>
      </c>
      <c r="B889" s="5" t="s">
        <v>2799</v>
      </c>
      <c r="C889" s="5" t="s">
        <v>55</v>
      </c>
      <c r="D889" s="5" t="s">
        <v>56</v>
      </c>
      <c r="E889" s="5" t="s">
        <v>99</v>
      </c>
      <c r="F889" s="5" t="s">
        <v>100</v>
      </c>
      <c r="G889" s="5" t="s">
        <v>59</v>
      </c>
      <c r="H889" s="5" t="s">
        <v>60</v>
      </c>
      <c r="I889" s="6" t="n">
        <v>0.0625</v>
      </c>
      <c r="J889" s="7" t="n">
        <f aca="false">IF(I889="","",1/I889)</f>
        <v>16</v>
      </c>
      <c r="K889" s="8" t="n">
        <v>23.14</v>
      </c>
      <c r="L889" s="9" t="n">
        <v>-0.3</v>
      </c>
      <c r="M889" s="10" t="n">
        <v>-0.0128</v>
      </c>
      <c r="N889" s="8" t="n">
        <v>23.68</v>
      </c>
      <c r="O889" s="8" t="n">
        <v>23.1</v>
      </c>
      <c r="P889" s="8" t="n">
        <v>23.68</v>
      </c>
      <c r="Q889" s="8" t="n">
        <v>23.14</v>
      </c>
      <c r="R889" s="11" t="n">
        <v>392</v>
      </c>
      <c r="S889" s="11" t="n">
        <f aca="false">K889*R889</f>
        <v>9070.88</v>
      </c>
      <c r="T889" s="8" t="n">
        <v>22.6</v>
      </c>
      <c r="U889" s="8" t="n">
        <v>49.87</v>
      </c>
      <c r="V889" s="12" t="n">
        <f aca="false">IF(U889-T889=0,"",(K889-T889)/(U889-T889))</f>
        <v>0.0198019801980198</v>
      </c>
      <c r="W889" s="13" t="n">
        <f aca="false">IF(U889=0,"",K889/U889-1)</f>
        <v>-0.535993583316623</v>
      </c>
      <c r="X889" s="11" t="n">
        <v>154081</v>
      </c>
      <c r="Y889" s="5" t="s">
        <v>99</v>
      </c>
      <c r="Z889" s="5" t="s">
        <v>101</v>
      </c>
      <c r="AA889" s="5" t="s">
        <v>100</v>
      </c>
      <c r="AB889" s="5"/>
      <c r="AC889" s="5" t="s">
        <v>2800</v>
      </c>
      <c r="AD889" s="14" t="n">
        <v>46288.771875</v>
      </c>
    </row>
    <row r="890" customFormat="false" ht="15" hidden="false" customHeight="false" outlineLevel="0" collapsed="false">
      <c r="A890" s="5" t="s">
        <v>2801</v>
      </c>
      <c r="B890" s="5" t="s">
        <v>2802</v>
      </c>
      <c r="C890" s="5" t="s">
        <v>55</v>
      </c>
      <c r="D890" s="5" t="s">
        <v>56</v>
      </c>
      <c r="E890" s="5" t="s">
        <v>115</v>
      </c>
      <c r="F890" s="5" t="s">
        <v>116</v>
      </c>
      <c r="G890" s="5" t="s">
        <v>59</v>
      </c>
      <c r="H890" s="5" t="s">
        <v>60</v>
      </c>
      <c r="I890" s="6" t="n">
        <v>0.066666</v>
      </c>
      <c r="J890" s="7" t="n">
        <f aca="false">IF(I890="","",1/I890)</f>
        <v>15.0001500015</v>
      </c>
      <c r="K890" s="8" t="n">
        <v>19.63</v>
      </c>
      <c r="L890" s="9" t="n">
        <v>-0.06</v>
      </c>
      <c r="M890" s="10" t="n">
        <v>-0.003</v>
      </c>
      <c r="N890" s="8" t="n">
        <v>19.69</v>
      </c>
      <c r="O890" s="8" t="n">
        <v>19.63</v>
      </c>
      <c r="P890" s="8" t="n">
        <v>19.69</v>
      </c>
      <c r="Q890" s="8" t="n">
        <v>19.63</v>
      </c>
      <c r="R890" s="11" t="n">
        <v>805</v>
      </c>
      <c r="S890" s="11" t="n">
        <f aca="false">K890*R890</f>
        <v>15802.15</v>
      </c>
      <c r="T890" s="8" t="n">
        <v>8.53</v>
      </c>
      <c r="U890" s="8" t="n">
        <v>20.48</v>
      </c>
      <c r="V890" s="12" t="n">
        <f aca="false">IF(U890-T890=0,"",(K890-T890)/(U890-T890))</f>
        <v>0.928870292887029</v>
      </c>
      <c r="W890" s="13" t="n">
        <f aca="false">IF(U890=0,"",K890/U890-1)</f>
        <v>-0.0415039062500001</v>
      </c>
      <c r="X890" s="11" t="n">
        <v>10212</v>
      </c>
      <c r="Y890" s="5" t="s">
        <v>115</v>
      </c>
      <c r="Z890" s="5" t="s">
        <v>117</v>
      </c>
      <c r="AA890" s="5" t="s">
        <v>116</v>
      </c>
      <c r="AB890" s="5"/>
      <c r="AC890" s="5" t="s">
        <v>2803</v>
      </c>
      <c r="AD890" s="14" t="n">
        <v>46288.771875</v>
      </c>
    </row>
    <row r="891" customFormat="false" ht="15" hidden="false" customHeight="false" outlineLevel="0" collapsed="false">
      <c r="A891" s="5" t="s">
        <v>2804</v>
      </c>
      <c r="B891" s="5" t="s">
        <v>2805</v>
      </c>
      <c r="C891" s="5" t="s">
        <v>55</v>
      </c>
      <c r="D891" s="5" t="s">
        <v>56</v>
      </c>
      <c r="E891" s="5" t="s">
        <v>115</v>
      </c>
      <c r="F891" s="5" t="s">
        <v>116</v>
      </c>
      <c r="G891" s="5" t="s">
        <v>59</v>
      </c>
      <c r="H891" s="5" t="s">
        <v>60</v>
      </c>
      <c r="I891" s="6" t="n">
        <v>0.125</v>
      </c>
      <c r="J891" s="7" t="n">
        <f aca="false">IF(I891="","",1/I891)</f>
        <v>8</v>
      </c>
      <c r="K891" s="8" t="n">
        <v>2.49</v>
      </c>
      <c r="L891" s="9" t="n">
        <v>0</v>
      </c>
      <c r="M891" s="10" t="n">
        <v>0</v>
      </c>
      <c r="N891" s="8" t="n">
        <v>2.49</v>
      </c>
      <c r="O891" s="8" t="n">
        <v>2.49</v>
      </c>
      <c r="P891" s="8" t="n">
        <v>2.49</v>
      </c>
      <c r="Q891" s="8" t="n">
        <v>2.49</v>
      </c>
      <c r="R891" s="11" t="n">
        <v>5</v>
      </c>
      <c r="S891" s="11" t="n">
        <f aca="false">K891*R891</f>
        <v>12.45</v>
      </c>
      <c r="T891" s="8" t="n">
        <v>1.65</v>
      </c>
      <c r="U891" s="8" t="n">
        <v>7.61</v>
      </c>
      <c r="V891" s="12" t="n">
        <f aca="false">IF(U891-T891=0,"",(K891-T891)/(U891-T891))</f>
        <v>0.140939597315436</v>
      </c>
      <c r="W891" s="13" t="n">
        <f aca="false">IF(U891=0,"",K891/U891-1)</f>
        <v>-0.672798948751643</v>
      </c>
      <c r="X891" s="11" t="n">
        <v>5780</v>
      </c>
      <c r="Y891" s="5" t="s">
        <v>115</v>
      </c>
      <c r="Z891" s="5" t="s">
        <v>117</v>
      </c>
      <c r="AA891" s="5" t="s">
        <v>116</v>
      </c>
      <c r="AB891" s="5"/>
      <c r="AC891" s="5" t="s">
        <v>2806</v>
      </c>
      <c r="AD891" s="14" t="n">
        <v>46288.771875</v>
      </c>
    </row>
    <row r="892" customFormat="false" ht="15" hidden="false" customHeight="false" outlineLevel="0" collapsed="false">
      <c r="A892" s="5" t="s">
        <v>2807</v>
      </c>
      <c r="B892" s="5" t="s">
        <v>2808</v>
      </c>
      <c r="C892" s="5" t="s">
        <v>55</v>
      </c>
      <c r="D892" s="5" t="s">
        <v>56</v>
      </c>
      <c r="E892" s="5" t="s">
        <v>115</v>
      </c>
      <c r="F892" s="5" t="s">
        <v>116</v>
      </c>
      <c r="G892" s="5" t="s">
        <v>59</v>
      </c>
      <c r="H892" s="5" t="s">
        <v>60</v>
      </c>
      <c r="I892" s="6" t="n">
        <v>0.08333</v>
      </c>
      <c r="J892" s="7" t="n">
        <f aca="false">IF(I892="","",1/I892)</f>
        <v>12.0004800192008</v>
      </c>
      <c r="K892" s="8" t="n">
        <v>12.87</v>
      </c>
      <c r="L892" s="9" t="n">
        <v>-0.11</v>
      </c>
      <c r="M892" s="10" t="n">
        <v>-0.0085</v>
      </c>
      <c r="N892" s="8" t="n">
        <v>12.87</v>
      </c>
      <c r="O892" s="8" t="n">
        <v>12.87</v>
      </c>
      <c r="P892" s="8" t="n">
        <v>12.87</v>
      </c>
      <c r="Q892" s="8" t="n">
        <v>12.87</v>
      </c>
      <c r="R892" s="11" t="n">
        <v>60</v>
      </c>
      <c r="S892" s="11" t="n">
        <f aca="false">K892*R892</f>
        <v>772.2</v>
      </c>
      <c r="T892" s="8" t="n">
        <v>12.87</v>
      </c>
      <c r="U892" s="8" t="n">
        <v>34.74</v>
      </c>
      <c r="V892" s="12" t="n">
        <f aca="false">IF(U892-T892=0,"",(K892-T892)/(U892-T892))</f>
        <v>0</v>
      </c>
      <c r="W892" s="13" t="n">
        <f aca="false">IF(U892=0,"",K892/U892-1)</f>
        <v>-0.629533678756477</v>
      </c>
      <c r="X892" s="11" t="n">
        <v>35754</v>
      </c>
      <c r="Y892" s="5" t="s">
        <v>115</v>
      </c>
      <c r="Z892" s="5" t="s">
        <v>117</v>
      </c>
      <c r="AA892" s="5" t="s">
        <v>116</v>
      </c>
      <c r="AB892" s="5"/>
      <c r="AC892" s="5" t="s">
        <v>2809</v>
      </c>
      <c r="AD892" s="14" t="n">
        <v>46288.771875</v>
      </c>
    </row>
    <row r="893" customFormat="false" ht="15" hidden="false" customHeight="false" outlineLevel="0" collapsed="false">
      <c r="A893" s="5" t="s">
        <v>2810</v>
      </c>
      <c r="B893" s="5" t="s">
        <v>2811</v>
      </c>
      <c r="C893" s="5" t="s">
        <v>55</v>
      </c>
      <c r="D893" s="5" t="s">
        <v>56</v>
      </c>
      <c r="E893" s="5" t="s">
        <v>115</v>
      </c>
      <c r="F893" s="5" t="s">
        <v>116</v>
      </c>
      <c r="G893" s="5" t="s">
        <v>59</v>
      </c>
      <c r="H893" s="5" t="s">
        <v>60</v>
      </c>
      <c r="I893" s="6" t="n">
        <v>0.033333</v>
      </c>
      <c r="J893" s="7" t="n">
        <f aca="false">IF(I893="","",1/I893)</f>
        <v>30.000300003</v>
      </c>
      <c r="K893" s="8" t="n">
        <v>37.07</v>
      </c>
      <c r="L893" s="9" t="n">
        <v>1.47</v>
      </c>
      <c r="M893" s="10" t="n">
        <v>0.0413</v>
      </c>
      <c r="N893" s="8" t="n">
        <v>36.57</v>
      </c>
      <c r="O893" s="8" t="n">
        <v>36.13</v>
      </c>
      <c r="P893" s="8" t="n">
        <v>37.07</v>
      </c>
      <c r="Q893" s="8" t="n">
        <v>37.07</v>
      </c>
      <c r="R893" s="11" t="n">
        <v>82327</v>
      </c>
      <c r="S893" s="11" t="n">
        <f aca="false">K893*R893</f>
        <v>3051861.89</v>
      </c>
      <c r="T893" s="8" t="n">
        <v>19.5</v>
      </c>
      <c r="U893" s="8" t="n">
        <v>60.16</v>
      </c>
      <c r="V893" s="12" t="n">
        <f aca="false">IF(U893-T893=0,"",(K893-T893)/(U893-T893))</f>
        <v>0.432120019675357</v>
      </c>
      <c r="W893" s="13" t="n">
        <f aca="false">IF(U893=0,"",K893/U893-1)</f>
        <v>-0.383809840425532</v>
      </c>
      <c r="X893" s="11" t="n">
        <v>175388</v>
      </c>
      <c r="Y893" s="5" t="s">
        <v>115</v>
      </c>
      <c r="Z893" s="5" t="s">
        <v>117</v>
      </c>
      <c r="AA893" s="5" t="s">
        <v>116</v>
      </c>
      <c r="AB893" s="5"/>
      <c r="AC893" s="5" t="s">
        <v>2812</v>
      </c>
      <c r="AD893" s="14" t="n">
        <v>46288.771875</v>
      </c>
    </row>
  </sheetData>
  <autoFilter ref="A1:AD8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5" t="s">
        <v>2813</v>
      </c>
    </row>
    <row r="2" customFormat="false" ht="18" hidden="false" customHeight="true" outlineLevel="0" collapsed="false">
      <c r="A2" s="4" t="s">
        <v>25</v>
      </c>
      <c r="B2" s="4" t="s">
        <v>2814</v>
      </c>
      <c r="C2" s="4" t="s">
        <v>41</v>
      </c>
    </row>
    <row r="3" customFormat="false" ht="15" hidden="false" customHeight="false" outlineLevel="0" collapsed="false">
      <c r="A3" s="5" t="s">
        <v>55</v>
      </c>
      <c r="B3" s="5" t="n">
        <f aca="false">COUNTIF('BDRs (892)'!$C$2:$C$893,A3)</f>
        <v>668</v>
      </c>
      <c r="C3" s="11" t="n">
        <f aca="false">SUMIF('BDRs (892)'!$C$2:$C$893,A3,'BDRs (892)'!$S$2:$S$893)</f>
        <v>1659286127.62</v>
      </c>
    </row>
    <row r="4" customFormat="false" ht="15" hidden="false" customHeight="false" outlineLevel="0" collapsed="false">
      <c r="A4" s="5" t="s">
        <v>248</v>
      </c>
      <c r="B4" s="5" t="n">
        <f aca="false">COUNTIF('BDRs (892)'!$C$2:$C$893,A4)</f>
        <v>223</v>
      </c>
      <c r="C4" s="11" t="n">
        <f aca="false">SUMIF('BDRs (892)'!$C$2:$C$893,A4,'BDRs (892)'!$S$2:$S$893)</f>
        <v>34417681.03</v>
      </c>
    </row>
    <row r="5" customFormat="false" ht="15" hidden="false" customHeight="false" outlineLevel="0" collapsed="false">
      <c r="A5" s="5" t="s">
        <v>2221</v>
      </c>
      <c r="B5" s="5" t="n">
        <f aca="false">COUNTIF('BDRs (892)'!$C$2:$C$893,A5)</f>
        <v>1</v>
      </c>
      <c r="C5" s="11" t="n">
        <f aca="false">SUMIF('BDRs (892)'!$C$2:$C$893,A5,'BDRs (892)'!$S$2:$S$893)</f>
        <v>351</v>
      </c>
    </row>
    <row r="6" customFormat="false" ht="15" hidden="false" customHeight="false" outlineLevel="0" collapsed="false">
      <c r="A6" s="16" t="s">
        <v>2815</v>
      </c>
      <c r="B6" s="16" t="n">
        <f aca="false">SUM(B3:B5)</f>
        <v>892</v>
      </c>
      <c r="C6" s="17" t="n">
        <f aca="false">SUM(C3:C5)</f>
        <v>1693704159.65</v>
      </c>
    </row>
    <row r="7" customFormat="false" ht="15" hidden="false" customHeight="false" outlineLevel="0" collapsed="false">
      <c r="A7" s="5"/>
      <c r="B7" s="5"/>
      <c r="C7" s="11"/>
    </row>
    <row r="8" customFormat="false" ht="15" hidden="false" customHeight="false" outlineLevel="0" collapsed="false">
      <c r="A8" s="18" t="s">
        <v>2816</v>
      </c>
      <c r="B8" s="5"/>
      <c r="C8" s="11"/>
    </row>
    <row r="9" customFormat="false" ht="18" hidden="false" customHeight="true" outlineLevel="0" collapsed="false">
      <c r="A9" s="19" t="s">
        <v>27</v>
      </c>
      <c r="B9" s="19" t="s">
        <v>2814</v>
      </c>
      <c r="C9" s="20" t="s">
        <v>41</v>
      </c>
    </row>
    <row r="10" customFormat="false" ht="15" hidden="false" customHeight="false" outlineLevel="0" collapsed="false">
      <c r="A10" s="5" t="s">
        <v>71</v>
      </c>
      <c r="B10" s="5" t="n">
        <f aca="false">COUNTIFS('BDRs (892)'!$C$2:$C$893,"BDR de ação",'BDRs (892)'!$E$2:$E$893,A10)</f>
        <v>125</v>
      </c>
      <c r="C10" s="11" t="n">
        <f aca="false">SUMIFS('BDRs (892)'!$S$2:$S$893,'BDRs (892)'!$C$2:$C$893,"BDR de ação",'BDRs (892)'!$E$2:$E$893,A10)</f>
        <v>374582879.16</v>
      </c>
    </row>
    <row r="11" customFormat="false" ht="15" hidden="false" customHeight="false" outlineLevel="0" collapsed="false">
      <c r="A11" s="5" t="s">
        <v>115</v>
      </c>
      <c r="B11" s="5" t="n">
        <f aca="false">COUNTIFS('BDRs (892)'!$C$2:$C$893,"BDR de ação",'BDRs (892)'!$E$2:$E$893,A11)</f>
        <v>108</v>
      </c>
      <c r="C11" s="11" t="n">
        <f aca="false">SUMIFS('BDRs (892)'!$S$2:$S$893,'BDRs (892)'!$C$2:$C$893,"BDR de ação",'BDRs (892)'!$E$2:$E$893,A11)</f>
        <v>305112848.01</v>
      </c>
    </row>
    <row r="12" customFormat="false" ht="15" hidden="false" customHeight="false" outlineLevel="0" collapsed="false">
      <c r="A12" s="5" t="s">
        <v>77</v>
      </c>
      <c r="B12" s="5" t="n">
        <f aca="false">COUNTIFS('BDRs (892)'!$C$2:$C$893,"BDR de ação",'BDRs (892)'!$E$2:$E$893,A12)</f>
        <v>63</v>
      </c>
      <c r="C12" s="11" t="n">
        <f aca="false">SUMIFS('BDRs (892)'!$S$2:$S$893,'BDRs (892)'!$C$2:$C$893,"BDR de ação",'BDRs (892)'!$E$2:$E$893,A12)</f>
        <v>258596757.02</v>
      </c>
    </row>
    <row r="13" customFormat="false" ht="15" hidden="false" customHeight="false" outlineLevel="0" collapsed="false">
      <c r="A13" s="5" t="s">
        <v>99</v>
      </c>
      <c r="B13" s="5" t="n">
        <f aca="false">COUNTIFS('BDRs (892)'!$C$2:$C$893,"BDR de ação",'BDRs (892)'!$E$2:$E$893,A13)</f>
        <v>59</v>
      </c>
      <c r="C13" s="11" t="n">
        <f aca="false">SUMIFS('BDRs (892)'!$S$2:$S$893,'BDRs (892)'!$C$2:$C$893,"BDR de ação",'BDRs (892)'!$E$2:$E$893,A13)</f>
        <v>11557487.09</v>
      </c>
    </row>
    <row r="14" customFormat="false" ht="15" hidden="false" customHeight="false" outlineLevel="0" collapsed="false">
      <c r="A14" s="5" t="s">
        <v>57</v>
      </c>
      <c r="B14" s="5" t="n">
        <f aca="false">COUNTIFS('BDRs (892)'!$C$2:$C$893,"BDR de ação",'BDRs (892)'!$E$2:$E$893,A14)</f>
        <v>41</v>
      </c>
      <c r="C14" s="11" t="n">
        <f aca="false">SUMIFS('BDRs (892)'!$S$2:$S$893,'BDRs (892)'!$C$2:$C$893,"BDR de ação",'BDRs (892)'!$E$2:$E$893,A14)</f>
        <v>163710000.74</v>
      </c>
    </row>
    <row r="15" customFormat="false" ht="15" hidden="false" customHeight="false" outlineLevel="0" collapsed="false">
      <c r="A15" s="5" t="s">
        <v>273</v>
      </c>
      <c r="B15" s="5" t="n">
        <f aca="false">COUNTIFS('BDRs (892)'!$C$2:$C$893,"BDR de ação",'BDRs (892)'!$E$2:$E$893,A15)</f>
        <v>39</v>
      </c>
      <c r="C15" s="11" t="n">
        <f aca="false">SUMIFS('BDRs (892)'!$S$2:$S$893,'BDRs (892)'!$C$2:$C$893,"BDR de ação",'BDRs (892)'!$E$2:$E$893,A15)</f>
        <v>219469889.53</v>
      </c>
    </row>
    <row r="16" customFormat="false" ht="15" hidden="false" customHeight="false" outlineLevel="0" collapsed="false">
      <c r="A16" s="5" t="s">
        <v>182</v>
      </c>
      <c r="B16" s="5" t="n">
        <f aca="false">COUNTIFS('BDRs (892)'!$C$2:$C$893,"BDR de ação",'BDRs (892)'!$E$2:$E$893,A16)</f>
        <v>33</v>
      </c>
      <c r="C16" s="11" t="n">
        <f aca="false">SUMIFS('BDRs (892)'!$S$2:$S$893,'BDRs (892)'!$C$2:$C$893,"BDR de ação",'BDRs (892)'!$E$2:$E$893,A16)</f>
        <v>9165862.49</v>
      </c>
    </row>
    <row r="17" customFormat="false" ht="15" hidden="false" customHeight="false" outlineLevel="0" collapsed="false">
      <c r="A17" s="5" t="s">
        <v>142</v>
      </c>
      <c r="B17" s="5" t="n">
        <f aca="false">COUNTIFS('BDRs (892)'!$C$2:$C$893,"BDR de ação",'BDRs (892)'!$E$2:$E$893,A17)</f>
        <v>31</v>
      </c>
      <c r="C17" s="11" t="n">
        <f aca="false">SUMIFS('BDRs (892)'!$S$2:$S$893,'BDRs (892)'!$C$2:$C$893,"BDR de ação",'BDRs (892)'!$E$2:$E$893,A17)</f>
        <v>3197395.19</v>
      </c>
    </row>
    <row r="18" customFormat="false" ht="15" hidden="false" customHeight="false" outlineLevel="0" collapsed="false">
      <c r="A18" s="5" t="s">
        <v>312</v>
      </c>
      <c r="B18" s="5" t="n">
        <f aca="false">COUNTIFS('BDRs (892)'!$C$2:$C$893,"BDR de ação",'BDRs (892)'!$E$2:$E$893,A18)</f>
        <v>20</v>
      </c>
      <c r="C18" s="11" t="n">
        <f aca="false">SUMIFS('BDRs (892)'!$S$2:$S$893,'BDRs (892)'!$C$2:$C$893,"BDR de ação",'BDRs (892)'!$E$2:$E$893,A18)</f>
        <v>162237969.75</v>
      </c>
    </row>
    <row r="19" customFormat="false" ht="15" hidden="false" customHeight="false" outlineLevel="0" collapsed="false">
      <c r="A19" s="5" t="s">
        <v>65</v>
      </c>
      <c r="B19" s="5" t="n">
        <f aca="false">COUNTIFS('BDRs (892)'!$C$2:$C$893,"BDR de ação",'BDRs (892)'!$E$2:$E$893,A19)</f>
        <v>19</v>
      </c>
      <c r="C19" s="11" t="n">
        <f aca="false">SUMIFS('BDRs (892)'!$S$2:$S$893,'BDRs (892)'!$C$2:$C$893,"BDR de ação",'BDRs (892)'!$E$2:$E$893,A19)</f>
        <v>624403.95</v>
      </c>
    </row>
    <row r="20" customFormat="false" ht="15" hidden="false" customHeight="false" outlineLevel="0" collapsed="false">
      <c r="A20" s="5" t="s">
        <v>90</v>
      </c>
      <c r="B20" s="5" t="n">
        <f aca="false">COUNTIFS('BDRs (892)'!$C$2:$C$893,"BDR de ação",'BDRs (892)'!$E$2:$E$893,A20)</f>
        <v>19</v>
      </c>
      <c r="C20" s="11" t="n">
        <f aca="false">SUMIFS('BDRs (892)'!$S$2:$S$893,'BDRs (892)'!$C$2:$C$893,"BDR de ação",'BDRs (892)'!$E$2:$E$893,A20)</f>
        <v>775770.82</v>
      </c>
    </row>
    <row r="21" customFormat="false" ht="15" hidden="false" customHeight="false" outlineLevel="0" collapsed="false">
      <c r="A21" s="5" t="s">
        <v>127</v>
      </c>
      <c r="B21" s="5" t="n">
        <f aca="false">COUNTIFS('BDRs (892)'!$C$2:$C$893,"BDR de ação",'BDRs (892)'!$E$2:$E$893,A21)</f>
        <v>19</v>
      </c>
      <c r="C21" s="11" t="n">
        <f aca="false">SUMIFS('BDRs (892)'!$S$2:$S$893,'BDRs (892)'!$C$2:$C$893,"BDR de ação",'BDRs (892)'!$E$2:$E$893,A21)</f>
        <v>5125837.34</v>
      </c>
    </row>
    <row r="22" customFormat="false" ht="15" hidden="false" customHeight="false" outlineLevel="0" collapsed="false">
      <c r="A22" s="5" t="s">
        <v>1388</v>
      </c>
      <c r="B22" s="5" t="n">
        <f aca="false">COUNTIFS('BDRs (892)'!$C$2:$C$893,"BDR de ação",'BDRs (892)'!$E$2:$E$893,A22)</f>
        <v>19</v>
      </c>
      <c r="C22" s="11" t="n">
        <f aca="false">SUMIFS('BDRs (892)'!$S$2:$S$893,'BDRs (892)'!$C$2:$C$893,"BDR de ação",'BDRs (892)'!$E$2:$E$893,A22)</f>
        <v>13800627.86</v>
      </c>
    </row>
    <row r="23" customFormat="false" ht="15" hidden="false" customHeight="false" outlineLevel="0" collapsed="false">
      <c r="A23" s="5" t="s">
        <v>160</v>
      </c>
      <c r="B23" s="5" t="n">
        <f aca="false">COUNTIFS('BDRs (892)'!$C$2:$C$893,"BDR de ação",'BDRs (892)'!$E$2:$E$893,A23)</f>
        <v>17</v>
      </c>
      <c r="C23" s="11" t="n">
        <f aca="false">SUMIFS('BDRs (892)'!$S$2:$S$893,'BDRs (892)'!$C$2:$C$893,"BDR de ação",'BDRs (892)'!$E$2:$E$893,A23)</f>
        <v>6003443.77</v>
      </c>
    </row>
    <row r="24" customFormat="false" ht="15" hidden="false" customHeight="false" outlineLevel="0" collapsed="false">
      <c r="A24" s="5" t="s">
        <v>105</v>
      </c>
      <c r="B24" s="5" t="n">
        <f aca="false">COUNTIFS('BDRs (892)'!$C$2:$C$893,"BDR de ação",'BDRs (892)'!$E$2:$E$893,A24)</f>
        <v>13</v>
      </c>
      <c r="C24" s="11" t="n">
        <f aca="false">SUMIFS('BDRs (892)'!$S$2:$S$893,'BDRs (892)'!$C$2:$C$893,"BDR de ação",'BDRs (892)'!$E$2:$E$893,A24)</f>
        <v>71514063.94</v>
      </c>
    </row>
    <row r="25" customFormat="false" ht="15" hidden="false" customHeight="false" outlineLevel="0" collapsed="false">
      <c r="A25" s="5" t="s">
        <v>370</v>
      </c>
      <c r="B25" s="5" t="n">
        <f aca="false">COUNTIFS('BDRs (892)'!$C$2:$C$893,"BDR de ação",'BDRs (892)'!$E$2:$E$893,A25)</f>
        <v>13</v>
      </c>
      <c r="C25" s="11" t="n">
        <f aca="false">SUMIFS('BDRs (892)'!$S$2:$S$893,'BDRs (892)'!$C$2:$C$893,"BDR de ação",'BDRs (892)'!$E$2:$E$893,A25)</f>
        <v>285504.63</v>
      </c>
    </row>
    <row r="26" customFormat="false" ht="15" hidden="false" customHeight="false" outlineLevel="0" collapsed="false">
      <c r="A26" s="5" t="s">
        <v>242</v>
      </c>
      <c r="B26" s="5" t="n">
        <f aca="false">COUNTIFS('BDRs (892)'!$C$2:$C$893,"BDR de ação",'BDRs (892)'!$E$2:$E$893,A26)</f>
        <v>12</v>
      </c>
      <c r="C26" s="11" t="n">
        <f aca="false">SUMIFS('BDRs (892)'!$S$2:$S$893,'BDRs (892)'!$C$2:$C$893,"BDR de ação",'BDRs (892)'!$E$2:$E$893,A26)</f>
        <v>172085.09</v>
      </c>
    </row>
    <row r="27" customFormat="false" ht="15" hidden="false" customHeight="false" outlineLevel="0" collapsed="false">
      <c r="A27" s="5" t="s">
        <v>324</v>
      </c>
      <c r="B27" s="5" t="n">
        <f aca="false">COUNTIFS('BDRs (892)'!$C$2:$C$893,"BDR de ação",'BDRs (892)'!$E$2:$E$893,A27)</f>
        <v>10</v>
      </c>
      <c r="C27" s="11" t="n">
        <f aca="false">SUMIFS('BDRs (892)'!$S$2:$S$893,'BDRs (892)'!$C$2:$C$893,"BDR de ação",'BDRs (892)'!$E$2:$E$893,A27)</f>
        <v>53082158.81</v>
      </c>
    </row>
    <row r="28" customFormat="false" ht="15" hidden="false" customHeight="false" outlineLevel="0" collapsed="false">
      <c r="A28" s="5" t="s">
        <v>230</v>
      </c>
      <c r="B28" s="5" t="n">
        <f aca="false">COUNTIFS('BDRs (892)'!$C$2:$C$893,"BDR de ação",'BDRs (892)'!$E$2:$E$893,A28)</f>
        <v>8</v>
      </c>
      <c r="C28" s="11" t="n">
        <f aca="false">SUMIFS('BDRs (892)'!$S$2:$S$893,'BDRs (892)'!$C$2:$C$893,"BDR de ação",'BDRs (892)'!$E$2:$E$893,A28)</f>
        <v>271142.43</v>
      </c>
    </row>
    <row r="29" customFormat="false" ht="15" hidden="false" customHeight="false" outlineLevel="0" collapsed="false">
      <c r="A29" s="16" t="s">
        <v>2815</v>
      </c>
      <c r="B29" s="16" t="n">
        <f aca="false">SUM(B10:B28)</f>
        <v>668</v>
      </c>
      <c r="C29" s="17" t="n">
        <f aca="false">SUM(C10:C28)</f>
        <v>1659286127.62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2026-09-24T02:07:05Z</dcterms:created>
  <dc:creator>openpyxl</dc:creator>
  <dc:description/>
  <dc:language>en-US</dc:language>
  <cp:lastModifiedBy/>
  <dcterms:modified xsi:type="dcterms:W3CDTF">2026-09-24T02:07:06Z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