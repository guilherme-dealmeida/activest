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TFs (219)" sheetId="2" state="visible" r:id="rId4"/>
    <sheet name="Categorias (12)" sheetId="3" state="visible" r:id="rId5"/>
    <sheet name="Excluídos (38)" sheetId="4" state="visible" r:id="rId6"/>
  </sheets>
  <definedNames>
    <definedName function="false" hidden="true" localSheetId="1" name="_xlnm._FilterDatabase" vbProcedure="false">'ETFs (219)'!$A$1:$U$220</definedName>
    <definedName function="false" hidden="true" localSheetId="3" name="_xlnm._FilterDatabase" vbProcedure="false">'Excluídos (38)'!$A$1:$E$39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Categoria por palavras-chave no nome do fundo (a BRAPI não informa categoria de ETF). description = tema; name = tema em MAIÚSCULAS sem acento; segment = setor da BRAPI (Miscellaneous) ou Indefinido quando vazio. Regra definida por Guilherme em 24/09/2026.</t>
        </r>
      </text>
    </comment>
    <comment ref="N1" authorId="0">
      <text>
        <r>
          <rPr>
            <sz val="10"/>
            <rFont val="Arial"/>
            <family val="2"/>
          </rPr>
          <t xml:space="preserve">Preço × volume em cotas. Aproximação: o preço é o último do dia, não o médio.</t>
        </r>
      </text>
    </comment>
    <comment ref="Q1" authorId="0">
      <text>
        <r>
          <rPr>
            <sz val="10"/>
            <rFont val="Arial"/>
            <family val="2"/>
          </rPr>
          <t xml:space="preserve">0% = na mínima de 52 semanas; 100% = na máxima.</t>
        </r>
      </text>
    </comment>
  </commentList>
</comments>
</file>

<file path=xl/sharedStrings.xml><?xml version="1.0" encoding="utf-8"?>
<sst xmlns="http://schemas.openxmlformats.org/spreadsheetml/2006/main" count="1795" uniqueCount="800">
  <si>
    <t xml:space="preserve">ETFs da B3 — levantamento BRAPI</t>
  </si>
  <si>
    <t xml:space="preserve">Fonte</t>
  </si>
  <si>
    <t xml:space="preserve">BRAPI (brapi.dev) — /api/v2/tickers?subType=etf e /api/v2/stocks/quote (1 ativo por chamada)</t>
  </si>
  <si>
    <t xml:space="preserve">Plano</t>
  </si>
  <si>
    <t xml:space="preserve">Gratuito (token do PrimeVest)</t>
  </si>
  <si>
    <t xml:space="preserve">Coletado em</t>
  </si>
  <si>
    <t xml:space="preserve">23/09/2026, após o fechamento</t>
  </si>
  <si>
    <t xml:space="preserve">Horário da cotação</t>
  </si>
  <si>
    <t xml:space="preserve">23/09/2026 18:31 (Brasília) — regularMarketTime 21:31:30 UTC, igual para todos</t>
  </si>
  <si>
    <t xml:space="preserve">Total na BRAPI</t>
  </si>
  <si>
    <t xml:space="preserve">257 marcados como ETF → 219 ETFs de fato + 38 excluídos (aba "Excluídos (38)")</t>
  </si>
  <si>
    <t xml:space="preserve">Categorias (decisão de 24/09/2026)</t>
  </si>
  <si>
    <t xml:space="preserve">description = tema · name = tema em MAIÚSCULAS sem acento (ex.: RENDA_FIXA_BRASIL) · asset_type = ETF · segment = Miscellaneous ou Indefinido (setor vazio na BRAPI). 12 linhas na aba "Categorias (12)"</t>
  </si>
  <si>
    <t xml:space="preserve">Como o tema foi atribuído</t>
  </si>
  <si>
    <t xml:space="preserve">Palavras-chave no nome do fundo (ex.: "Tesouro", "IMA-B" → Renda fixa Brasil; "Bitcoin" → Cripto). A BRAPI não informa categoria de ETF</t>
  </si>
  <si>
    <t xml:space="preserve">Não informado pela BRAPI</t>
  </si>
  <si>
    <t xml:space="preserve">Categoria, valor de mercado (vem nulo), subsetor, dividendos (plano pago)</t>
  </si>
  <si>
    <t xml:space="preserve">Resumo por categoria</t>
  </si>
  <si>
    <t xml:space="preserve">description</t>
  </si>
  <si>
    <t xml:space="preserve">Qtd. de ETFs</t>
  </si>
  <si>
    <t xml:space="preserve">Ações Brasil</t>
  </si>
  <si>
    <t xml:space="preserve">Renda fixa Brasil</t>
  </si>
  <si>
    <t xml:space="preserve">Ações internacionais</t>
  </si>
  <si>
    <t xml:space="preserve">Cripto</t>
  </si>
  <si>
    <t xml:space="preserve">Ouro, prata e commodities</t>
  </si>
  <si>
    <t xml:space="preserve">Renda fixa internacional</t>
  </si>
  <si>
    <t xml:space="preserve">Dólar / câmbio</t>
  </si>
  <si>
    <t xml:space="preserve">FIIs / imobiliário (índice)</t>
  </si>
  <si>
    <t xml:space="preserve">Outros / estratégia</t>
  </si>
  <si>
    <t xml:space="preserve">Total</t>
  </si>
  <si>
    <t xml:space="preserve">Ticker</t>
  </si>
  <si>
    <t xml:space="preserve">Nome (BRAPI)</t>
  </si>
  <si>
    <t xml:space="preserve">Categoria — description</t>
  </si>
  <si>
    <t xml:space="preserve">Categoria — name</t>
  </si>
  <si>
    <t xml:space="preserve">Categoria — segment</t>
  </si>
  <si>
    <t xml:space="preserve">Preço (R$)</t>
  </si>
  <si>
    <t xml:space="preserve">Variação (R$)</t>
  </si>
  <si>
    <t xml:space="preserve">Variação dia</t>
  </si>
  <si>
    <t xml:space="preserve">Abertura (R$)</t>
  </si>
  <si>
    <t xml:space="preserve">Mínima dia (R$)</t>
  </si>
  <si>
    <t xml:space="preserve">Máxima dia (R$)</t>
  </si>
  <si>
    <t xml:space="preserve">Fech. anterior (R$)</t>
  </si>
  <si>
    <t xml:space="preserve">Volume (cotas)</t>
  </si>
  <si>
    <t xml:space="preserve">Volume financeiro aprox. (R$)</t>
  </si>
  <si>
    <t xml:space="preserve">Mín. 52 semanas (R$)</t>
  </si>
  <si>
    <t xml:space="preserve">Máx. 52 semanas (R$)</t>
  </si>
  <si>
    <t xml:space="preserve">Posição na faixa 52s</t>
  </si>
  <si>
    <t xml:space="preserve">Distância da máx. 52s</t>
  </si>
  <si>
    <t xml:space="preserve">Setor (BRAPI)</t>
  </si>
  <si>
    <t xml:space="preserve">Logo (URL)</t>
  </si>
  <si>
    <t xml:space="preserve">Cotação em</t>
  </si>
  <si>
    <t xml:space="preserve">03BK11</t>
  </si>
  <si>
    <t xml:space="preserve">Galapagos Teva ITBR Tesouro IPCA 3 Anos Fundo de Indice ETF</t>
  </si>
  <si>
    <t xml:space="preserve">RENDA_FIXA_BRASIL</t>
  </si>
  <si>
    <t xml:space="preserve">Miscellaneous</t>
  </si>
  <si>
    <t xml:space="preserve">https://icons.brapi.dev/icons/03BK11.svg</t>
  </si>
  <si>
    <t xml:space="preserve">10BK11</t>
  </si>
  <si>
    <t xml:space="preserve">Galapagos Teva ITBR Tesouro IPCA 10 Anos Fundo de Indice</t>
  </si>
  <si>
    <t xml:space="preserve">https://icons.brapi.dev/icons/10BK11.svg</t>
  </si>
  <si>
    <t xml:space="preserve">3PRE11</t>
  </si>
  <si>
    <t xml:space="preserve">Galapagos Teva ITBR Tesouro Pre Fixado 3 Anos Fundo de Indice</t>
  </si>
  <si>
    <t xml:space="preserve">https://icons.brapi.dev/icons/3PRE11.svg</t>
  </si>
  <si>
    <t xml:space="preserve">5PRE11</t>
  </si>
  <si>
    <t xml:space="preserve">IT Now TEVA ITBR Pre 5 Anos Fundo de Indice Responsabilidade Limitada ETF</t>
  </si>
  <si>
    <t xml:space="preserve">https://icons.brapi.dev/icons/5PRE11.svg</t>
  </si>
  <si>
    <t xml:space="preserve">ABTC11</t>
  </si>
  <si>
    <t xml:space="preserve">BTG Pactual Teva AUVP Bitcoin Fear Arbitrage Fundo de Indice</t>
  </si>
  <si>
    <t xml:space="preserve">CRIPTO</t>
  </si>
  <si>
    <t xml:space="preserve">https://icons.brapi.dev/icons/ABTC11.svg</t>
  </si>
  <si>
    <t xml:space="preserve">ACWI11</t>
  </si>
  <si>
    <t xml:space="preserve">Trend ETF MSCI ACWI Fundo de Indice</t>
  </si>
  <si>
    <t xml:space="preserve">ACOES_INTERNACIONAIS</t>
  </si>
  <si>
    <t xml:space="preserve">https://icons.brapi.dev/icons/ACWI11.svg</t>
  </si>
  <si>
    <t xml:space="preserve">AGGX11</t>
  </si>
  <si>
    <t xml:space="preserve">Trend ETF Bloomberg Aggregate US Bonds Classe de Indice - Responsabilidade Limitada</t>
  </si>
  <si>
    <t xml:space="preserve">RENDA_FIXA_INTERNACIONAL</t>
  </si>
  <si>
    <t xml:space="preserve">https://icons.brapi.dev/icons/AGGX11.svg</t>
  </si>
  <si>
    <t xml:space="preserve">AGRI11</t>
  </si>
  <si>
    <t xml:space="preserve">Agri BB ETF Iagro FFS B3 Fundo de Indice ETF</t>
  </si>
  <si>
    <t xml:space="preserve">ACOES_BRASIL</t>
  </si>
  <si>
    <t xml:space="preserve">https://icons.brapi.dev/icons/AGRI11.svg</t>
  </si>
  <si>
    <t xml:space="preserve">ALUG11</t>
  </si>
  <si>
    <t xml:space="preserve">Investo MSCI US Real Estate ETF</t>
  </si>
  <si>
    <t xml:space="preserve">https://icons.brapi.dev/icons/ALUG11.svg</t>
  </si>
  <si>
    <t xml:space="preserve">AMAB11</t>
  </si>
  <si>
    <t xml:space="preserve">BTG Pactual Amazonia Para Todos Fundo de Indice</t>
  </si>
  <si>
    <t xml:space="preserve">Indefinido</t>
  </si>
  <si>
    <t xml:space="preserve">(vazio)</t>
  </si>
  <si>
    <t xml:space="preserve">https://icons.brapi.dev/icons/AMAB11.svg</t>
  </si>
  <si>
    <t xml:space="preserve">AREA11</t>
  </si>
  <si>
    <t xml:space="preserve">BTG Pactual Teva ITBR IPCA Rendimento Fundo de Indice</t>
  </si>
  <si>
    <t xml:space="preserve">https://icons.brapi.dev/icons/AREA11.svg</t>
  </si>
  <si>
    <t xml:space="preserve">ARGE11</t>
  </si>
  <si>
    <t xml:space="preserve">Investo Argentina Fundo de Indice</t>
  </si>
  <si>
    <t xml:space="preserve">https://icons.brapi.dev/icons/ARGE11.svg</t>
  </si>
  <si>
    <t xml:space="preserve">AUPO11</t>
  </si>
  <si>
    <t xml:space="preserve">BTG Pactual Teva AUVP ITBR Liquidez Fundo de Indice</t>
  </si>
  <si>
    <t xml:space="preserve">https://icons.brapi.dev/icons/AUPO11.svg</t>
  </si>
  <si>
    <t xml:space="preserve">AURO11</t>
  </si>
  <si>
    <t xml:space="preserve">Buena Vista Neos Gold High Income ETF</t>
  </si>
  <si>
    <t xml:space="preserve">OURO_PRATA_COMMODITIES</t>
  </si>
  <si>
    <t xml:space="preserve">https://icons.brapi.dev/icons/AURO11.svg</t>
  </si>
  <si>
    <t xml:space="preserve">AUVP11</t>
  </si>
  <si>
    <t xml:space="preserve">BTG Pactual Teva Auvp Acoes Fundamentos Fundo De Indice</t>
  </si>
  <si>
    <t xml:space="preserve">https://icons.brapi.dev/icons/AUVP11.svg</t>
  </si>
  <si>
    <t xml:space="preserve">B3BR11</t>
  </si>
  <si>
    <t xml:space="preserve">It Now Ibovespa B3 BR+ Fundo de Indice Responsabilidade Limitada</t>
  </si>
  <si>
    <t xml:space="preserve">https://icons.brapi.dev/icons/B3BR11.svg</t>
  </si>
  <si>
    <t xml:space="preserve">B5MB11</t>
  </si>
  <si>
    <t xml:space="preserve">FII - Classe de Investimento ETF Bradesco IMA-B5+ - RL</t>
  </si>
  <si>
    <t xml:space="preserve">https://icons.brapi.dev/icons/B5MB11.svg</t>
  </si>
  <si>
    <t xml:space="preserve">B5P211</t>
  </si>
  <si>
    <t xml:space="preserve">IT Now IMA-B5 P2 Fundo de Indice</t>
  </si>
  <si>
    <t xml:space="preserve">https://icons.brapi.dev/icons/B5P211.svg</t>
  </si>
  <si>
    <t xml:space="preserve">BBOI11</t>
  </si>
  <si>
    <t xml:space="preserve">BB ETF Indice Futuro de Boi Gordo B3 Fundo de Indice</t>
  </si>
  <si>
    <t xml:space="preserve">https://icons.brapi.dev/icons/BBOI11.svg</t>
  </si>
  <si>
    <t xml:space="preserve">BBOV11</t>
  </si>
  <si>
    <t xml:space="preserve">BB ETF Ibovespa Fun de Indice</t>
  </si>
  <si>
    <t xml:space="preserve">https://icons.brapi.dev/icons/BBOV11.svg</t>
  </si>
  <si>
    <t xml:space="preserve">BBSD11</t>
  </si>
  <si>
    <t xml:space="preserve">BB ETF S&amp;P Dividendos Brasil Fundo de Indice</t>
  </si>
  <si>
    <t xml:space="preserve">https://icons.brapi.dev/icons/BBSD11.svg</t>
  </si>
  <si>
    <t xml:space="preserve">BCIC11</t>
  </si>
  <si>
    <t xml:space="preserve">B Index Morningstar Setores Ciclicos Brasil Fundo de Indice</t>
  </si>
  <si>
    <t xml:space="preserve">https://icons.brapi.dev/icons/BCIC11.svg</t>
  </si>
  <si>
    <t xml:space="preserve">BDAP11</t>
  </si>
  <si>
    <t xml:space="preserve">BB ETF Indice DAP5 B3 Fundo de Indice</t>
  </si>
  <si>
    <t xml:space="preserve">https://icons.brapi.dev/icons/BDAP11.svg</t>
  </si>
  <si>
    <t xml:space="preserve">BDEF11</t>
  </si>
  <si>
    <t xml:space="preserve">B Index Morningstar Setores Defensivos Brasil Fundo de Indice</t>
  </si>
  <si>
    <t xml:space="preserve">https://icons.brapi.dev/icons/BDEF11.svg</t>
  </si>
  <si>
    <t xml:space="preserve">BDOM11</t>
  </si>
  <si>
    <t xml:space="preserve">Investo Marketvector Brazil Domestic Exposure ETF - Fundo de Investimento de Indice</t>
  </si>
  <si>
    <t xml:space="preserve">https://icons.brapi.dev/icons/BDOM11.svg</t>
  </si>
  <si>
    <t xml:space="preserve">BEST11</t>
  </si>
  <si>
    <t xml:space="preserve">Investo Brazil Besst Quality Fundo de Indice</t>
  </si>
  <si>
    <t xml:space="preserve">https://icons.brapi.dev/icons/BEST11.svg</t>
  </si>
  <si>
    <t xml:space="preserve">BITC11</t>
  </si>
  <si>
    <t xml:space="preserve">BTG Pactual Teva Bitcoin Fundo de Indice</t>
  </si>
  <si>
    <t xml:space="preserve">https://icons.brapi.dev/icons/BITC11.svg</t>
  </si>
  <si>
    <t xml:space="preserve">BITH11</t>
  </si>
  <si>
    <t xml:space="preserve">Hashdex Nasdaq Bitcoin Reference Rate Fundo de Indice</t>
  </si>
  <si>
    <t xml:space="preserve">https://icons.brapi.dev/icons/BITH11.svg</t>
  </si>
  <si>
    <t xml:space="preserve">BITI11</t>
  </si>
  <si>
    <t xml:space="preserve">IT Now Bloomberg Galaxy Bitcoin Fundo de Indice</t>
  </si>
  <si>
    <t xml:space="preserve">https://icons.brapi.dev/icons/BITI11.svg</t>
  </si>
  <si>
    <t xml:space="preserve">BIZD11</t>
  </si>
  <si>
    <t xml:space="preserve">Investo Mvisrus Business Development Companies Index ETF Fundo De Indice</t>
  </si>
  <si>
    <t xml:space="preserve">https://icons.brapi.dev/icons/BIZD11.svg</t>
  </si>
  <si>
    <t xml:space="preserve">BLFT11</t>
  </si>
  <si>
    <t xml:space="preserve">B-Index ETF TEVA LTF Curto Prazo Fundo de Indice - Responsabilidade Limitada ETF</t>
  </si>
  <si>
    <t xml:space="preserve">https://icons.brapi.dev/icons/BLFT11.svg</t>
  </si>
  <si>
    <t xml:space="preserve">BMMT11</t>
  </si>
  <si>
    <t xml:space="preserve">B Index Morningstar Brasil Momento Fundo de Indice</t>
  </si>
  <si>
    <t xml:space="preserve">https://icons.brapi.dev/icons/BMMT11.svg</t>
  </si>
  <si>
    <t xml:space="preserve">BNDX11</t>
  </si>
  <si>
    <t xml:space="preserve">Investo Bloomberg Global Bond ETF Fundo de Investimento de Indice - Investimento no Exterior</t>
  </si>
  <si>
    <t xml:space="preserve">https://icons.brapi.dev/icons/BNDX11.svg</t>
  </si>
  <si>
    <t xml:space="preserve">BNKS11</t>
  </si>
  <si>
    <t xml:space="preserve">Investo Brasil Bancos B3 Fundo de Indice</t>
  </si>
  <si>
    <t xml:space="preserve">https://icons.brapi.dev/icons/BNKS11.svg</t>
  </si>
  <si>
    <t xml:space="preserve">BOL511</t>
  </si>
  <si>
    <t xml:space="preserve">B-Index ETF IMA-B 5 P2 Fundo de Indice Responsabilidade Limitada</t>
  </si>
  <si>
    <t xml:space="preserve">https://icons.brapi.dev/icons/BOL511.svg</t>
  </si>
  <si>
    <t xml:space="preserve">BOVA11</t>
  </si>
  <si>
    <t xml:space="preserve">iShares Ibovespa Fundo de Indice</t>
  </si>
  <si>
    <t xml:space="preserve">https://icons.brapi.dev/icons/BOVA11.svg</t>
  </si>
  <si>
    <t xml:space="preserve">BOVB11</t>
  </si>
  <si>
    <t xml:space="preserve">BOVB - ETF Bradesco IBovespa Fundo De Indice</t>
  </si>
  <si>
    <t xml:space="preserve">https://icons.brapi.dev/icons/BOVB11.svg</t>
  </si>
  <si>
    <t xml:space="preserve">BOVS11</t>
  </si>
  <si>
    <t xml:space="preserve">Safra Ibovespa Fundo de Indice ETF</t>
  </si>
  <si>
    <t xml:space="preserve">https://icons.brapi.dev/icons/BOVS11.svg</t>
  </si>
  <si>
    <t xml:space="preserve">BOVV11</t>
  </si>
  <si>
    <t xml:space="preserve">IT Now Ibovespa Fundo de Indice Cotas</t>
  </si>
  <si>
    <t xml:space="preserve">https://icons.brapi.dev/icons/BOVV11.svg</t>
  </si>
  <si>
    <t xml:space="preserve">BOVX11</t>
  </si>
  <si>
    <t xml:space="preserve">Trend ETF Ibovespa Fundo de Indice</t>
  </si>
  <si>
    <t xml:space="preserve">https://icons.brapi.dev/icons/BOVX11.svg</t>
  </si>
  <si>
    <t xml:space="preserve">BPRE11</t>
  </si>
  <si>
    <t xml:space="preserve">B-Index ETF IRF-M P2 Fundo de Indice Responsabilidade Limitada</t>
  </si>
  <si>
    <t xml:space="preserve">https://icons.brapi.dev/icons/BPRE11.svg</t>
  </si>
  <si>
    <t xml:space="preserve">BRAX11</t>
  </si>
  <si>
    <t xml:space="preserve">iShares IBrX-Indice Brasil (IBrX-100) Fundo de Indice</t>
  </si>
  <si>
    <t xml:space="preserve">https://icons.brapi.dev/icons/BRAX11.svg</t>
  </si>
  <si>
    <t xml:space="preserve">BRAZ11</t>
  </si>
  <si>
    <t xml:space="preserve">Bb Etf Indice Bovespa B3 Br Fundo De Indice Responsabilidade Limitada</t>
  </si>
  <si>
    <t xml:space="preserve">https://icons.brapi.dev/icons/BRAZ11.svg</t>
  </si>
  <si>
    <t xml:space="preserve">BREW11</t>
  </si>
  <si>
    <t xml:space="preserve">B Index Morningstar Brasil Pesos Iguais Fundo de Indice</t>
  </si>
  <si>
    <t xml:space="preserve">https://icons.brapi.dev/icons/BREW11.svg</t>
  </si>
  <si>
    <t xml:space="preserve">BRIA11</t>
  </si>
  <si>
    <t xml:space="preserve">Bindex ETF FTSE AI Global Leaders Fundo de Indice Responsabilidade Limitada</t>
  </si>
  <si>
    <t xml:space="preserve">https://icons.brapi.dev/icons/BRIA11.svg</t>
  </si>
  <si>
    <t xml:space="preserve">BRXC11</t>
  </si>
  <si>
    <t xml:space="preserve">Btg Pactual Teva Iabr Selector Fundo De Indice Responsabilidade Limitada</t>
  </si>
  <si>
    <t xml:space="preserve">https://icons.brapi.dev/icons/BRXC11.svg</t>
  </si>
  <si>
    <t xml:space="preserve">BTER11</t>
  </si>
  <si>
    <t xml:space="preserve">Investo Brazil Besst Quality Acumulacao Fundo de Indice</t>
  </si>
  <si>
    <t xml:space="preserve">https://icons.brapi.dev/icons/BTER11.svg</t>
  </si>
  <si>
    <t xml:space="preserve">BVBR11</t>
  </si>
  <si>
    <t xml:space="preserve">Investo Constancia Fatores Defensividade Fundo De Indice</t>
  </si>
  <si>
    <t xml:space="preserve">https://icons.brapi.dev/icons/BVBR11.svg</t>
  </si>
  <si>
    <t xml:space="preserve">BXPO11</t>
  </si>
  <si>
    <t xml:space="preserve">Investo Marketvector Brazil Global Exposure ETF Fundo de Investimento de Indice</t>
  </si>
  <si>
    <t xml:space="preserve">https://icons.brapi.dev/icons/BXPO11.svg</t>
  </si>
  <si>
    <t xml:space="preserve">BZEQ11</t>
  </si>
  <si>
    <t xml:space="preserve">BTG Pactual Reference MSCI Brazil 25/50 Fundo de Indice</t>
  </si>
  <si>
    <t xml:space="preserve">https://icons.brapi.dev/icons/BZEQ11.svg</t>
  </si>
  <si>
    <t xml:space="preserve">CAPE11</t>
  </si>
  <si>
    <t xml:space="preserve">Ishares Bovespa Br Cap 5 Fundo De Indice</t>
  </si>
  <si>
    <t xml:space="preserve">https://icons.brapi.dev/icons/CAPE11.svg</t>
  </si>
  <si>
    <t xml:space="preserve">CASA11</t>
  </si>
  <si>
    <t xml:space="preserve">Buena Vista Vi Fundo De Indice</t>
  </si>
  <si>
    <t xml:space="preserve">https://icons.brapi.dev/icons/CASA11.svg</t>
  </si>
  <si>
    <t xml:space="preserve">CDIB11</t>
  </si>
  <si>
    <t xml:space="preserve">IT Now Teva ITBR Selic IPCA Target 800 Fundo de Indice Responsabilidade Limitada</t>
  </si>
  <si>
    <t xml:space="preserve">https://icons.brapi.dev/icons/CDIB11.svg</t>
  </si>
  <si>
    <t xml:space="preserve">CHIP11</t>
  </si>
  <si>
    <t xml:space="preserve">Investo ETF US Listed Semiconductor 25 Index Fundo de Indice - Investimento no Exterior</t>
  </si>
  <si>
    <t xml:space="preserve">https://icons.brapi.dev/icons/CHIP11.svg</t>
  </si>
  <si>
    <t xml:space="preserve">CLOB11</t>
  </si>
  <si>
    <t xml:space="preserve">BTG Pactual Dynamic Balanced Clo Fundo De Indice</t>
  </si>
  <si>
    <t xml:space="preserve">https://icons.brapi.dev/icons/CLOB11.svg</t>
  </si>
  <si>
    <t xml:space="preserve">CMDB11</t>
  </si>
  <si>
    <t xml:space="preserve">BTG Pactual Teva Acoes Commodities Brasil Fundo de Indice</t>
  </si>
  <si>
    <t xml:space="preserve">https://icons.brapi.dev/icons/CMDB11.svg</t>
  </si>
  <si>
    <t xml:space="preserve">COIN11</t>
  </si>
  <si>
    <t xml:space="preserve">Buena Vista Neos Bitcoin High Income Etf</t>
  </si>
  <si>
    <t xml:space="preserve">https://icons.brapi.dev/icons/COIN11.svg</t>
  </si>
  <si>
    <t xml:space="preserve">CORN11</t>
  </si>
  <si>
    <t xml:space="preserve">BB ETF Indice Futuro de Milho B3 Fundo de Indice</t>
  </si>
  <si>
    <t xml:space="preserve">https://icons.brapi.dev/icons/CORN11.svg</t>
  </si>
  <si>
    <t xml:space="preserve">CRPT11</t>
  </si>
  <si>
    <t xml:space="preserve">Empiricus Teva Criptomoedas TOP20 Fundo de Indice Investimento no Exterior</t>
  </si>
  <si>
    <t xml:space="preserve">https://icons.brapi.dev/icons/CRPT11.svg</t>
  </si>
  <si>
    <t xml:space="preserve">DEBB11</t>
  </si>
  <si>
    <t xml:space="preserve">BTG Pactual Teva Debentures DI Fundo de Indice ETF</t>
  </si>
  <si>
    <t xml:space="preserve">https://icons.brapi.dev/icons/DEBB11.svg</t>
  </si>
  <si>
    <t xml:space="preserve">DEFI11</t>
  </si>
  <si>
    <t xml:space="preserve">Hashdex Defi Index Fundo de Indice</t>
  </si>
  <si>
    <t xml:space="preserve">https://icons.brapi.dev/icons/DEFI11.svg</t>
  </si>
  <si>
    <t xml:space="preserve">DIGY11</t>
  </si>
  <si>
    <t xml:space="preserve">Oranjebtc Marketvector Bitcoin Treasury Preferred Equity BRL Hedged Index Fundo de Indice</t>
  </si>
  <si>
    <t xml:space="preserve">https://icons.brapi.dev/icons/DIGY11.svg</t>
  </si>
  <si>
    <t xml:space="preserve">DINF11</t>
  </si>
  <si>
    <t xml:space="preserve">BTG PACTUAL TEVA INFRAESTRUTURA HIBRIDO ETF</t>
  </si>
  <si>
    <t xml:space="preserve">https://icons.brapi.dev/icons/DINF11.svg</t>
  </si>
  <si>
    <t xml:space="preserve">DIVD11</t>
  </si>
  <si>
    <t xml:space="preserve">IT NOW IDIV Renda Dividendos Fundo de Indice - Responsabilidade Limitada</t>
  </si>
  <si>
    <t xml:space="preserve">https://icons.brapi.dev/icons/DIVD11.svg</t>
  </si>
  <si>
    <t xml:space="preserve">DIVO11</t>
  </si>
  <si>
    <t xml:space="preserve">IT NOW IDIV Fundo de Indice Cotas</t>
  </si>
  <si>
    <t xml:space="preserve">https://icons.brapi.dev/icons/DIVO11.svg</t>
  </si>
  <si>
    <t xml:space="preserve">DOLA11</t>
  </si>
  <si>
    <t xml:space="preserve">BB ETF Indice Futuro De Dolar S&amp;P/B3 Fundo De Indice Responsabilidade Limitada</t>
  </si>
  <si>
    <t xml:space="preserve">DOLAR_CAMBIO</t>
  </si>
  <si>
    <t xml:space="preserve">https://icons.brapi.dev/icons/DOLA11.svg</t>
  </si>
  <si>
    <t xml:space="preserve">DOLB11</t>
  </si>
  <si>
    <t xml:space="preserve">BTG Pactual Reference S&amp;P/B3 Cambial Fundo De Indice</t>
  </si>
  <si>
    <t xml:space="preserve">https://icons.brapi.dev/icons/DOLB11.svg</t>
  </si>
  <si>
    <t xml:space="preserve">DOLX11</t>
  </si>
  <si>
    <t xml:space="preserve">Trend ETF S&amp;P/B3 Dollar Classe De Indice - Responsabilidade Limitada</t>
  </si>
  <si>
    <t xml:space="preserve">https://icons.brapi.dev/icons/DOLX11.svg</t>
  </si>
  <si>
    <t xml:space="preserve">DVER11</t>
  </si>
  <si>
    <t xml:space="preserve">BB ETF Indice Diversidade B3 Investimento Sustentavel Fundo de Indice</t>
  </si>
  <si>
    <t xml:space="preserve">https://icons.brapi.dev/icons/DVER11.svg</t>
  </si>
  <si>
    <t xml:space="preserve">EBIT11</t>
  </si>
  <si>
    <t xml:space="preserve">Empiricus Teva Bitcoin Fundo De Indice - Responsabilidade Limitada</t>
  </si>
  <si>
    <t xml:space="preserve">https://icons.brapi.dev/icons/EBIT11.svg</t>
  </si>
  <si>
    <t xml:space="preserve">ECOO11</t>
  </si>
  <si>
    <t xml:space="preserve">iShares Indice Carbono Eficiente (ICO2) Brasil Fundo de Indice</t>
  </si>
  <si>
    <t xml:space="preserve">https://icons.brapi.dev/icons/ECOO11.svg</t>
  </si>
  <si>
    <t xml:space="preserve">EETH11</t>
  </si>
  <si>
    <t xml:space="preserve">BTG Pactual Teva Ethereum Fundo de Indice</t>
  </si>
  <si>
    <t xml:space="preserve">https://icons.brapi.dev/icons/EETH11.svg</t>
  </si>
  <si>
    <t xml:space="preserve">ELAS11</t>
  </si>
  <si>
    <t xml:space="preserve">Safra ETF Mulheres na Lideranca Fundo de Indice de Acoes</t>
  </si>
  <si>
    <t xml:space="preserve">https://icons.brapi.dev/icons/ELAS11.svg</t>
  </si>
  <si>
    <t xml:space="preserve">ESGB11</t>
  </si>
  <si>
    <t xml:space="preserve">BTG Pactual ESG Fundo de Indice SP Brazil ESG</t>
  </si>
  <si>
    <t xml:space="preserve">https://icons.brapi.dev/icons/ESGB11.svg</t>
  </si>
  <si>
    <t xml:space="preserve">ETHE11</t>
  </si>
  <si>
    <t xml:space="preserve">HASHDEX NASDAQ ETHEREUM REFERENCE PRICE ETF</t>
  </si>
  <si>
    <t xml:space="preserve">https://icons.brapi.dev/icons/ETHE11.svg</t>
  </si>
  <si>
    <t xml:space="preserve">ETHY11</t>
  </si>
  <si>
    <t xml:space="preserve">Buena Vista Dex Vettafi Neos Ethereum High Income Fundo de Indice de Responsabilidade Limitada</t>
  </si>
  <si>
    <t xml:space="preserve">https://icons.brapi.dev/icons/ETHY11.svg</t>
  </si>
  <si>
    <t xml:space="preserve">EUAT11</t>
  </si>
  <si>
    <t xml:space="preserve">Galapagos Morningstar US Total Market Acoes Fundo de Indice</t>
  </si>
  <si>
    <t xml:space="preserve">https://icons.brapi.dev/icons/EUAT11.svg</t>
  </si>
  <si>
    <t xml:space="preserve">EWBZ11</t>
  </si>
  <si>
    <t xml:space="preserve">Ishares Bovespa BR+ Equal Weight Classe De Indice - Responsabilidade Limitada</t>
  </si>
  <si>
    <t xml:space="preserve">https://icons.brapi.dev/icons/EWBZ11.svg</t>
  </si>
  <si>
    <t xml:space="preserve">FIND11</t>
  </si>
  <si>
    <t xml:space="preserve">IT Now IFNC Fundo de Indice</t>
  </si>
  <si>
    <t xml:space="preserve">https://icons.brapi.dev/icons/FIND11.svg</t>
  </si>
  <si>
    <t xml:space="preserve">FIXA11</t>
  </si>
  <si>
    <t xml:space="preserve">BB ETF Renda Fixa Pre Indice Futuro de Taxas de Juros S&amp;P/B3 Fundo de Indice</t>
  </si>
  <si>
    <t xml:space="preserve">https://icons.brapi.dev/icons/FIXA11.svg</t>
  </si>
  <si>
    <t xml:space="preserve">FIXX11</t>
  </si>
  <si>
    <t xml:space="preserve">Buena Vista NEOS Enhanced Income 1-3 Month T-Bill ETF</t>
  </si>
  <si>
    <t xml:space="preserve">https://icons.brapi.dev/icons/FIXX11.svg</t>
  </si>
  <si>
    <t xml:space="preserve">FOMO11</t>
  </si>
  <si>
    <t xml:space="preserve">Hashdex Momentum FI - Responsabilidade Limitada</t>
  </si>
  <si>
    <t xml:space="preserve">https://icons.brapi.dev/icons/FOMO11.svg</t>
  </si>
  <si>
    <t xml:space="preserve">GBIT11</t>
  </si>
  <si>
    <t xml:space="preserve">Galapagos Bitcoin CME CF Fundo de Indice ETF</t>
  </si>
  <si>
    <t xml:space="preserve">https://icons.brapi.dev/icons/GBIT11.svg</t>
  </si>
  <si>
    <t xml:space="preserve">GBTC11</t>
  </si>
  <si>
    <t xml:space="preserve">Buena Vista Hashdex Gold &amp; Bitcoin Fundo De Indice Responsabilidade Limitada</t>
  </si>
  <si>
    <t xml:space="preserve">https://icons.brapi.dev/icons/GBTC11.svg</t>
  </si>
  <si>
    <t xml:space="preserve">GDIV11</t>
  </si>
  <si>
    <t xml:space="preserve">Buena Vista Dex Neos International High Income Fundo de Indice de Responsabilidade Limitada</t>
  </si>
  <si>
    <t xml:space="preserve">https://icons.brapi.dev/icons/GDIV11.svg</t>
  </si>
  <si>
    <t xml:space="preserve">GENB11</t>
  </si>
  <si>
    <t xml:space="preserve">BTG Pactual SP B3 Ingenius Fundo de Indice</t>
  </si>
  <si>
    <t xml:space="preserve">https://icons.brapi.dev/icons/GENB11.svg</t>
  </si>
  <si>
    <t xml:space="preserve">GICP11</t>
  </si>
  <si>
    <t xml:space="preserve">Genial Teva Debentures DI Quality High Beta Fundo de Indice</t>
  </si>
  <si>
    <t xml:space="preserve">https://icons.brapi.dev/icons/GICP11.svg</t>
  </si>
  <si>
    <t xml:space="preserve">GLDI11</t>
  </si>
  <si>
    <t xml:space="preserve">IT Now Gold BRL Fundo de Indice Responsabilidade Limitada</t>
  </si>
  <si>
    <t xml:space="preserve">https://icons.brapi.dev/icons/GLDI11.svg</t>
  </si>
  <si>
    <t xml:space="preserve">GLDX11</t>
  </si>
  <si>
    <t xml:space="preserve">Investo ETF Global Agribusiness Fundo de Investimento de Indice</t>
  </si>
  <si>
    <t xml:space="preserve">https://icons.brapi.dev/icons/GLDX11.svg</t>
  </si>
  <si>
    <t xml:space="preserve">GLFT11</t>
  </si>
  <si>
    <t xml:space="preserve">Galapagos Teva Tesouro Selic Fundo de Indice</t>
  </si>
  <si>
    <t xml:space="preserve">https://icons.brapi.dev/icons/GLFT11.svg</t>
  </si>
  <si>
    <t xml:space="preserve">GLMP11</t>
  </si>
  <si>
    <t xml:space="preserve">Galapagos Teva Acoes Energia Limpa IS ESG Fundo de Indice</t>
  </si>
  <si>
    <t xml:space="preserve">https://icons.brapi.dev/icons/GLMP11.svg</t>
  </si>
  <si>
    <t xml:space="preserve">GOAT11</t>
  </si>
  <si>
    <t xml:space="preserve">IT Now S&amp;P IMA-B Fundo De Indice - Responsabilidade Limitada</t>
  </si>
  <si>
    <t xml:space="preserve">https://icons.brapi.dev/icons/GOAT11.svg</t>
  </si>
  <si>
    <t xml:space="preserve">GOLB11</t>
  </si>
  <si>
    <t xml:space="preserve">BTG Pactual Futuro de Ouro B3 Fundo de Indice</t>
  </si>
  <si>
    <t xml:space="preserve">https://icons.brapi.dev/icons/GOLB11.svg</t>
  </si>
  <si>
    <t xml:space="preserve">GOLD11</t>
  </si>
  <si>
    <t xml:space="preserve">Gold - Trend ETF LBMA Ouro Fundo Investimento Cotas de Fundo de Indice Investiment Exterior</t>
  </si>
  <si>
    <t xml:space="preserve">https://icons.brapi.dev/icons/GOLD11.svg</t>
  </si>
  <si>
    <t xml:space="preserve">GOLX11</t>
  </si>
  <si>
    <t xml:space="preserve">Trend ETF B3 Ouro Fundo de Indice</t>
  </si>
  <si>
    <t xml:space="preserve">https://icons.brapi.dev/icons/GOLX11.svg</t>
  </si>
  <si>
    <t xml:space="preserve">GOVE11</t>
  </si>
  <si>
    <t xml:space="preserve">IT Now IGCT Fundo De Indice</t>
  </si>
  <si>
    <t xml:space="preserve">https://icons.brapi.dev/icons/GOVE11.svg</t>
  </si>
  <si>
    <t xml:space="preserve">GPCA11</t>
  </si>
  <si>
    <t xml:space="preserve">Grao Teva ITBR Tesouro IPCA 2 Anos Fundo de Indice Responsabilidade Limitada</t>
  </si>
  <si>
    <t xml:space="preserve">https://icons.brapi.dev/icons/GPCA11.svg</t>
  </si>
  <si>
    <t xml:space="preserve">GPOS11</t>
  </si>
  <si>
    <t xml:space="preserve">CLASSE UNICA GRAO TEVA ITBR SELIC INTELIGENTE FUNDO DE INDICE - RESPONSABILIDADE LIMITADA</t>
  </si>
  <si>
    <t xml:space="preserve">https://icons.brapi.dev/icons/GPOS11.svg</t>
  </si>
  <si>
    <t xml:space="preserve">GPUS11</t>
  </si>
  <si>
    <t xml:space="preserve">Investo GP ETF S&amp;P 500 Fundo De Indice</t>
  </si>
  <si>
    <t xml:space="preserve">https://icons.brapi.dev/icons/GPUS11.svg</t>
  </si>
  <si>
    <t xml:space="preserve">GXUS11</t>
  </si>
  <si>
    <t xml:space="preserve">Galapagos FTSE Global Equities Ex US Fundo De Indice</t>
  </si>
  <si>
    <t xml:space="preserve">https://icons.brapi.dev/icons/GXUS11.svg</t>
  </si>
  <si>
    <t xml:space="preserve">HASH11</t>
  </si>
  <si>
    <t xml:space="preserve">Hashdex Nasdaq Crypto Index Fundo de Indice</t>
  </si>
  <si>
    <t xml:space="preserve">https://icons.brapi.dev/icons/HASH11.svg</t>
  </si>
  <si>
    <t xml:space="preserve">HERT11</t>
  </si>
  <si>
    <t xml:space="preserve">Hedge Brasil Equity Reits Fundo de Indice de Responsabilidade Limitada</t>
  </si>
  <si>
    <t xml:space="preserve">FIIS_IMOBILIARIO</t>
  </si>
  <si>
    <t xml:space="preserve">https://icons.brapi.dev/icons/HERT11.svg</t>
  </si>
  <si>
    <t xml:space="preserve">HIGH11</t>
  </si>
  <si>
    <t xml:space="preserve">NU Ibov Smart High Beta B3 Classe De Indice</t>
  </si>
  <si>
    <t xml:space="preserve">https://icons.brapi.dev/icons/HIGH11.svg</t>
  </si>
  <si>
    <t xml:space="preserve">HODL11</t>
  </si>
  <si>
    <t xml:space="preserve">Investo Etf Marketvector Bitcoin Benchmark</t>
  </si>
  <si>
    <t xml:space="preserve">https://icons.brapi.dev/icons/HODL11.svg</t>
  </si>
  <si>
    <t xml:space="preserve">HTEK11</t>
  </si>
  <si>
    <t xml:space="preserve">IT Now Morningstar XT US Healthcare Fundo de Indice</t>
  </si>
  <si>
    <t xml:space="preserve">https://icons.brapi.dev/icons/HTEK11.svg</t>
  </si>
  <si>
    <t xml:space="preserve">HYBR11</t>
  </si>
  <si>
    <t xml:space="preserve">Nu iBoxx High Yield Hedge Carry BRL ETF</t>
  </si>
  <si>
    <t xml:space="preserve">https://icons.brapi.dev/icons/HYBR11.svg</t>
  </si>
  <si>
    <t xml:space="preserve">IB5M11</t>
  </si>
  <si>
    <t xml:space="preserve">IT Now IMA-B5+ Fundo de Indice</t>
  </si>
  <si>
    <t xml:space="preserve">https://icons.brapi.dev/icons/IB5M11.svg</t>
  </si>
  <si>
    <t xml:space="preserve">IBOB11</t>
  </si>
  <si>
    <t xml:space="preserve">BTG Pactual B3 Ibovespa Fundo de Indice</t>
  </si>
  <si>
    <t xml:space="preserve">https://icons.brapi.dev/icons/IBOB11.svg</t>
  </si>
  <si>
    <t xml:space="preserve">IDKA11</t>
  </si>
  <si>
    <t xml:space="preserve">It Now IRFM P3 Fundo de Indice Responsabilidade Limitada</t>
  </si>
  <si>
    <t xml:space="preserve">https://icons.brapi.dev/icons/IDKA11.svg</t>
  </si>
  <si>
    <t xml:space="preserve">IMAB11</t>
  </si>
  <si>
    <t xml:space="preserve">IT NOW ID ETF IMA-B Fundo De Indice</t>
  </si>
  <si>
    <t xml:space="preserve">https://icons.brapi.dev/icons/IMAB11.svg</t>
  </si>
  <si>
    <t xml:space="preserve">IMBB11</t>
  </si>
  <si>
    <t xml:space="preserve">FII - Classe de Investimento ETF Bradesco IMA-B - RL</t>
  </si>
  <si>
    <t xml:space="preserve">https://icons.brapi.dev/icons/IMBB11.svg</t>
  </si>
  <si>
    <t xml:space="preserve">IRFM11</t>
  </si>
  <si>
    <t xml:space="preserve">IT Now IRFM P2 Fundo De indice</t>
  </si>
  <si>
    <t xml:space="preserve">https://icons.brapi.dev/icons/IRFM11.svg</t>
  </si>
  <si>
    <t xml:space="preserve">ISUS11</t>
  </si>
  <si>
    <t xml:space="preserve">IT Now ISE Fundo de Indice</t>
  </si>
  <si>
    <t xml:space="preserve">https://icons.brapi.dev/icons/ISUS11.svg</t>
  </si>
  <si>
    <t xml:space="preserve">IVVB11</t>
  </si>
  <si>
    <t xml:space="preserve">iShares S&amp;P 500 Fundo de Investimento em Cotas de Fundo de Indice - Investimento no Exterior</t>
  </si>
  <si>
    <t xml:space="preserve">https://icons.brapi.dev/icons/IVVB11.svg</t>
  </si>
  <si>
    <t xml:space="preserve">IVWO11</t>
  </si>
  <si>
    <t xml:space="preserve">Investo FTSE Emerging Markets All Cap China A Inclusion Limited Respons Index Class ETF</t>
  </si>
  <si>
    <t xml:space="preserve">https://icons.brapi.dev/icons/IVWO11.svg</t>
  </si>
  <si>
    <t xml:space="preserve">IWMI11</t>
  </si>
  <si>
    <t xml:space="preserve">Buena Vista Neos Russell 2000 High Income Etf</t>
  </si>
  <si>
    <t xml:space="preserve">https://icons.brapi.dev/icons/IWMI11.svg</t>
  </si>
  <si>
    <t xml:space="preserve">JOGO11</t>
  </si>
  <si>
    <t xml:space="preserve">Investo ETF Global Video Gaming &amp; Esports Fundo de Investimento de Indice IE</t>
  </si>
  <si>
    <t xml:space="preserve">https://icons.brapi.dev/icons/JOGO11.svg</t>
  </si>
  <si>
    <t xml:space="preserve">LFIN11</t>
  </si>
  <si>
    <t xml:space="preserve">BTG Pactual Teva Letras Financeiras di Qualidade Fundo de Indice ETF</t>
  </si>
  <si>
    <t xml:space="preserve">https://icons.brapi.dev/icons/LFIN11.svg</t>
  </si>
  <si>
    <t xml:space="preserve">LFIX11</t>
  </si>
  <si>
    <t xml:space="preserve">Investo V8 Letra Financeira B3 Fundo De Indice</t>
  </si>
  <si>
    <t xml:space="preserve">https://icons.brapi.dev/icons/LFIX11.svg</t>
  </si>
  <si>
    <t xml:space="preserve">LFTB11</t>
  </si>
  <si>
    <t xml:space="preserve">Investo ETF Marketvector Brazil Treasury 760 Day Target Duration Classe de Indice Responsabilidade Limitada</t>
  </si>
  <si>
    <t xml:space="preserve">https://icons.brapi.dev/icons/LFTB11.svg</t>
  </si>
  <si>
    <t xml:space="preserve">LFTI11</t>
  </si>
  <si>
    <t xml:space="preserve">IT Now Teva Tesouro SELIC Fundo de Indice Responsabilidade Limitada</t>
  </si>
  <si>
    <t xml:space="preserve">https://icons.brapi.dev/icons/LFTI11.svg</t>
  </si>
  <si>
    <t xml:space="preserve">LFTS11</t>
  </si>
  <si>
    <t xml:space="preserve">Investo Teva Tesouro Selic ETF</t>
  </si>
  <si>
    <t xml:space="preserve">https://icons.brapi.dev/icons/LFTS11.svg</t>
  </si>
  <si>
    <t xml:space="preserve">LFTX11</t>
  </si>
  <si>
    <t xml:space="preserve">Trend ETF B3 Tesouro SELIC Fundo de Indice - Responsabilidade Limitada</t>
  </si>
  <si>
    <t xml:space="preserve">https://icons.brapi.dev/icons/LFTX11.svg</t>
  </si>
  <si>
    <t xml:space="preserve">LIQB11</t>
  </si>
  <si>
    <t xml:space="preserve">BTG Pactual Teva ITBR Target 750 Indice ETF</t>
  </si>
  <si>
    <t xml:space="preserve">https://icons.brapi.dev/icons/LIQB11.svg</t>
  </si>
  <si>
    <t xml:space="preserve">LLFT11</t>
  </si>
  <si>
    <t xml:space="preserve">BTG Pactual Teva Tesouro Selic Fundo De Indice</t>
  </si>
  <si>
    <t xml:space="preserve">https://icons.brapi.dev/icons/LLFT11.svg</t>
  </si>
  <si>
    <t xml:space="preserve">LTBX11</t>
  </si>
  <si>
    <t xml:space="preserve">Trend ETF Teva ITBR SELIC Target 760 Classe de Indice - Responsabilidade Limitada</t>
  </si>
  <si>
    <t xml:space="preserve">https://icons.brapi.dev/icons/LTBX11.svg</t>
  </si>
  <si>
    <t xml:space="preserve">LTNB11</t>
  </si>
  <si>
    <t xml:space="preserve">BTG Pactual IRF-M P2 Fundo de Indice ETF</t>
  </si>
  <si>
    <t xml:space="preserve">https://icons.brapi.dev/icons/LTNB11.svg</t>
  </si>
  <si>
    <t xml:space="preserve">LVOL11</t>
  </si>
  <si>
    <t xml:space="preserve">NU Ibov Smart Low Volatility B3 Classe De Indice - Responsabilidade</t>
  </si>
  <si>
    <t xml:space="preserve">https://icons.brapi.dev/icons/LVOL11.svg</t>
  </si>
  <si>
    <t xml:space="preserve">MARG11</t>
  </si>
  <si>
    <t xml:space="preserve">BTG Pactual Margem Debentures Ultra Qualidade Di B3 Fundo De Indice</t>
  </si>
  <si>
    <t xml:space="preserve">https://icons.brapi.dev/icons/MARG11.svg</t>
  </si>
  <si>
    <t xml:space="preserve">MATB11</t>
  </si>
  <si>
    <t xml:space="preserve">IT NOW IMAT Fundo de Indice Cotas</t>
  </si>
  <si>
    <t xml:space="preserve">https://icons.brapi.dev/icons/MATB11.svg</t>
  </si>
  <si>
    <t xml:space="preserve">META11</t>
  </si>
  <si>
    <t xml:space="preserve">Hashdex Crypto Metaverse Index Fund</t>
  </si>
  <si>
    <t xml:space="preserve">https://icons.brapi.dev/icons/META11.svg</t>
  </si>
  <si>
    <t xml:space="preserve">MIDB11</t>
  </si>
  <si>
    <t xml:space="preserve">BTG Pactual Teva ITBR Tesouro IPCA 2035 Fundo de Indice</t>
  </si>
  <si>
    <t xml:space="preserve">https://icons.brapi.dev/icons/MIDB11.svg</t>
  </si>
  <si>
    <t xml:space="preserve">MILL11</t>
  </si>
  <si>
    <t xml:space="preserve">IT Now Morningstar Us Digital Lifestyle Fundo De Indice.</t>
  </si>
  <si>
    <t xml:space="preserve">https://icons.brapi.dev/icons/MILL11.svg</t>
  </si>
  <si>
    <t xml:space="preserve">NASD11</t>
  </si>
  <si>
    <t xml:space="preserve">Trend ETF Nasdaq 100 Fundo de Indice</t>
  </si>
  <si>
    <t xml:space="preserve">https://icons.brapi.dev/icons/NASD11.svg</t>
  </si>
  <si>
    <t xml:space="preserve">NBIT11</t>
  </si>
  <si>
    <t xml:space="preserve">Nu Nasdaq Brazil Bitcoin Carry Futures</t>
  </si>
  <si>
    <t xml:space="preserve">https://icons.brapi.dev/icons/NBIT11.svg</t>
  </si>
  <si>
    <t xml:space="preserve">NBOV11</t>
  </si>
  <si>
    <t xml:space="preserve">NU Ibovespa B3 BR+ Classe de Indice Responsabilidade Limitada</t>
  </si>
  <si>
    <t xml:space="preserve">https://icons.brapi.dev/icons/NBOV11.svg</t>
  </si>
  <si>
    <t xml:space="preserve">NDIV11</t>
  </si>
  <si>
    <t xml:space="preserve">NU Renda Ibov Smart Dividendos Fundo de Indice</t>
  </si>
  <si>
    <t xml:space="preserve">https://icons.brapi.dev/icons/NDIV11.svg</t>
  </si>
  <si>
    <t xml:space="preserve">NSDV11</t>
  </si>
  <si>
    <t xml:space="preserve">NU Ibov Smart Dividendos Fundo de Indice</t>
  </si>
  <si>
    <t xml:space="preserve">https://icons.brapi.dev/icons/NSDV11.svg</t>
  </si>
  <si>
    <t xml:space="preserve">NTNF11</t>
  </si>
  <si>
    <t xml:space="preserve">Investo V8 B3 Tesouro Prefixado Juros Fundo de Indice ETF</t>
  </si>
  <si>
    <t xml:space="preserve">https://icons.brapi.dev/icons/NTNF11.svg</t>
  </si>
  <si>
    <t xml:space="preserve">NTNS11</t>
  </si>
  <si>
    <t xml:space="preserve">Investo Teva Tesouro IPCA+ 0 A 4 Anos ETF Fundo de Investimento de Indice</t>
  </si>
  <si>
    <t xml:space="preserve">https://icons.brapi.dev/icons/NTNS11.svg</t>
  </si>
  <si>
    <t xml:space="preserve">NUCL11</t>
  </si>
  <si>
    <t xml:space="preserve">Investo MVIS Global Uranium &amp; Nuclear Energy ETF Fundo de Indice</t>
  </si>
  <si>
    <t xml:space="preserve">https://icons.brapi.dev/icons/NUCL11.svg</t>
  </si>
  <si>
    <t xml:space="preserve">OLEO11</t>
  </si>
  <si>
    <t xml:space="preserve">Investo Oil Services Fundo de Indice</t>
  </si>
  <si>
    <t xml:space="preserve">https://icons.brapi.dev/icons/OLEO11.svg</t>
  </si>
  <si>
    <t xml:space="preserve">OROF11</t>
  </si>
  <si>
    <t xml:space="preserve">Galapagos Ouro Fisico Dex Fundo de Indice</t>
  </si>
  <si>
    <t xml:space="preserve">https://icons.brapi.dev/icons/OROF11.svg</t>
  </si>
  <si>
    <t xml:space="preserve">OURO11</t>
  </si>
  <si>
    <t xml:space="preserve">B-index ETF OURO BRL B3 Fundo De Indice Responsabilidade Limitada</t>
  </si>
  <si>
    <t xml:space="preserve">https://icons.brapi.dev/icons/OURO11.svg</t>
  </si>
  <si>
    <t xml:space="preserve">PACB11</t>
  </si>
  <si>
    <t xml:space="preserve">BTG Pactual Teva Tesouro Ipca Ultra Longo Ce Fundo De Indice - Responsabilidade Limitada</t>
  </si>
  <si>
    <t xml:space="preserve">https://icons.brapi.dev/icons/PACB11.svg</t>
  </si>
  <si>
    <t xml:space="preserve">PACC11</t>
  </si>
  <si>
    <t xml:space="preserve">BTG Pactual IMA-B 5 P2 Fundo De Indice ETF</t>
  </si>
  <si>
    <t xml:space="preserve">https://icons.brapi.dev/icons/PACC11.svg</t>
  </si>
  <si>
    <t xml:space="preserve">PACG11</t>
  </si>
  <si>
    <t xml:space="preserve">BTG Pactual IMA-B Fundo De Indice</t>
  </si>
  <si>
    <t xml:space="preserve">https://icons.brapi.dev/icons/PACG11.svg</t>
  </si>
  <si>
    <t xml:space="preserve">PACL11</t>
  </si>
  <si>
    <t xml:space="preserve">BTG Pactual IMA-B 5+ Fundo de Indice</t>
  </si>
  <si>
    <t xml:space="preserve">https://icons.brapi.dev/icons/PACL11.svg</t>
  </si>
  <si>
    <t xml:space="preserve">PEVC11</t>
  </si>
  <si>
    <t xml:space="preserve">Investo BlueStar T10 US List. Alt. Asset Mngr. FII - Invt. NE</t>
  </si>
  <si>
    <t xml:space="preserve">https://icons.brapi.dev/icons/PEVC11.svg</t>
  </si>
  <si>
    <t xml:space="preserve">PFJR11</t>
  </si>
  <si>
    <t xml:space="preserve">BTG Pactual PF Teva ITBR Tesouro IPCA Fundo de Indice ETF</t>
  </si>
  <si>
    <t xml:space="preserve">https://icons.brapi.dev/icons/PFJR11.svg</t>
  </si>
  <si>
    <t xml:space="preserve">PHIP11</t>
  </si>
  <si>
    <t xml:space="preserve">Phronesis Teva Ipca Dynamic Yield Selection Fundo de Indice Responsabilidade Limitada</t>
  </si>
  <si>
    <t xml:space="preserve">https://icons.brapi.dev/icons/PHIP11.svg</t>
  </si>
  <si>
    <t xml:space="preserve">PIBB11</t>
  </si>
  <si>
    <t xml:space="preserve">It Now PIBB IBrX-50 Fundo de Indice</t>
  </si>
  <si>
    <t xml:space="preserve">https://icons.brapi.dev/icons/PIBB11.svg</t>
  </si>
  <si>
    <t xml:space="preserve">PIPE11</t>
  </si>
  <si>
    <t xml:space="preserve">Buena Vista DEX Vettafi Neos Energy Infrastructure High Income ETF</t>
  </si>
  <si>
    <t xml:space="preserve">https://icons.brapi.dev/icons/PIPE11.svg</t>
  </si>
  <si>
    <t xml:space="preserve">PKIN11</t>
  </si>
  <si>
    <t xml:space="preserve">Bindex ETF Connect China Universal CSI 300 Fundo De Indice Responsabilidade Limitada</t>
  </si>
  <si>
    <t xml:space="preserve">https://icons.brapi.dev/icons/PKIN11.svg</t>
  </si>
  <si>
    <t xml:space="preserve">POSB11</t>
  </si>
  <si>
    <t xml:space="preserve">Galapagos Teva Tesouro SELIC &amp; IPCA+ Fundo de Indice</t>
  </si>
  <si>
    <t xml:space="preserve">https://icons.brapi.dev/icons/POSB11.svg</t>
  </si>
  <si>
    <t xml:space="preserve">PRAF11</t>
  </si>
  <si>
    <t xml:space="preserve">Galapagos Prata Fisica Dex Fundo de Indice</t>
  </si>
  <si>
    <t xml:space="preserve">https://icons.brapi.dev/icons/PRAF11.svg</t>
  </si>
  <si>
    <t xml:space="preserve">PREX11</t>
  </si>
  <si>
    <t xml:space="preserve">Trend ETF IRF-M P2 Classe de Indice - Responsabilidade Limitada</t>
  </si>
  <si>
    <t xml:space="preserve">https://icons.brapi.dev/icons/PREX11.svg</t>
  </si>
  <si>
    <t xml:space="preserve">QBTC11</t>
  </si>
  <si>
    <t xml:space="preserve">QR CME CF Bitcoin Reference Rate Fundo de Indice Investimento no Exterior</t>
  </si>
  <si>
    <t xml:space="preserve">https://icons.brapi.dev/icons/QBTC11.svg</t>
  </si>
  <si>
    <t xml:space="preserve">QDFI11</t>
  </si>
  <si>
    <t xml:space="preserve">QR Bloomberg Defi Fundo de Indice Investimento no Exterior</t>
  </si>
  <si>
    <t xml:space="preserve">https://icons.brapi.dev/icons/QDFI11.svg</t>
  </si>
  <si>
    <t xml:space="preserve">QETH11</t>
  </si>
  <si>
    <t xml:space="preserve">QR CME CF ETHER REFERENCE RATE FUNDO DE INDICE - INVESTIMENTO NO EXTERIOR</t>
  </si>
  <si>
    <t xml:space="preserve">https://icons.brapi.dev/icons/QETH11.svg</t>
  </si>
  <si>
    <t xml:space="preserve">QLBR11</t>
  </si>
  <si>
    <t xml:space="preserve">Rio Bravo Investo Marketvector Brazil Multifactor Quality Fundo de Indice</t>
  </si>
  <si>
    <t xml:space="preserve">https://icons.brapi.dev/icons/QLBR11.svg</t>
  </si>
  <si>
    <t xml:space="preserve">QQQI11</t>
  </si>
  <si>
    <t xml:space="preserve">Buena Vista Nasdaq-100 Neos High Income Etf</t>
  </si>
  <si>
    <t xml:space="preserve">https://icons.brapi.dev/icons/QQQI11.svg</t>
  </si>
  <si>
    <t xml:space="preserve">QQQQ11</t>
  </si>
  <si>
    <t xml:space="preserve">Buena Vista Nasdaq-100 High Beta Etf</t>
  </si>
  <si>
    <t xml:space="preserve">https://icons.brapi.dev/icons/QQQQ11.svg</t>
  </si>
  <si>
    <t xml:space="preserve">QSOL11</t>
  </si>
  <si>
    <t xml:space="preserve">QR CME CF Solana Dollar Reference Rate Fundo De Indice Responsabilidade Limitada</t>
  </si>
  <si>
    <t xml:space="preserve">https://icons.brapi.dev/icons/QSOL11.svg</t>
  </si>
  <si>
    <t xml:space="preserve">RARA11</t>
  </si>
  <si>
    <t xml:space="preserve">Investo MVIS Global Rare Earth/Strategic Metals Fundo de Indice</t>
  </si>
  <si>
    <t xml:space="preserve">https://icons.brapi.dev/icons/RARA11.svg</t>
  </si>
  <si>
    <t xml:space="preserve">REVE11</t>
  </si>
  <si>
    <t xml:space="preserve">It Now Russell 1000 Green Revenues 50 Fundo de Indice</t>
  </si>
  <si>
    <t xml:space="preserve">https://icons.brapi.dev/icons/REVE11.svg</t>
  </si>
  <si>
    <t xml:space="preserve">RICO11</t>
  </si>
  <si>
    <t xml:space="preserve">Buena Vista Bloomberg Us Billionaires Investment Select Index Fundo De Indice - Resp Limitada</t>
  </si>
  <si>
    <t xml:space="preserve">https://icons.brapi.dev/icons/RICO11.svg</t>
  </si>
  <si>
    <t xml:space="preserve">RVDI11</t>
  </si>
  <si>
    <t xml:space="preserve">INVESTO B3 MARKET NEUTRAL CLASSE DE INDICE - RESPONSABILIDADE LIMITADA</t>
  </si>
  <si>
    <t xml:space="preserve">OUTROS_ESTRATEGIA</t>
  </si>
  <si>
    <t xml:space="preserve">https://icons.brapi.dev/icons/RVDI11.svg</t>
  </si>
  <si>
    <t xml:space="preserve">SCVB11</t>
  </si>
  <si>
    <t xml:space="preserve">Investo Marketvector Brazil Small Cap Value ETF Fundo de Investimento de Indice</t>
  </si>
  <si>
    <t xml:space="preserve">https://icons.brapi.dev/icons/SCVB11.svg</t>
  </si>
  <si>
    <t xml:space="preserve">SELI11</t>
  </si>
  <si>
    <t xml:space="preserve">BB ETF Tesouro Selic B3 Fundo de Indice Responsabilidade Limitada</t>
  </si>
  <si>
    <t xml:space="preserve">https://icons.brapi.dev/icons/SELI11.svg</t>
  </si>
  <si>
    <t xml:space="preserve">SFIX11</t>
  </si>
  <si>
    <t xml:space="preserve">BTG Pactual Teva ITBR IPCA 95-5 Fundo de Indice</t>
  </si>
  <si>
    <t xml:space="preserve">https://icons.brapi.dev/icons/SFIX11.svg</t>
  </si>
  <si>
    <t xml:space="preserve">SILK11</t>
  </si>
  <si>
    <t xml:space="preserve">It Now MSCI China A50 Fundo de Indice Responsabilidade Limitada</t>
  </si>
  <si>
    <t xml:space="preserve">https://icons.brapi.dev/icons/SILK11.svg</t>
  </si>
  <si>
    <t xml:space="preserve">SLVR11</t>
  </si>
  <si>
    <t xml:space="preserve">Trend ETF LBMA Prata Classe de Indice - Responsabilidade Limitada ETF</t>
  </si>
  <si>
    <t xml:space="preserve">https://icons.brapi.dev/icons/SLVR11.svg</t>
  </si>
  <si>
    <t xml:space="preserve">SMAB11</t>
  </si>
  <si>
    <t xml:space="preserve">BTG Pactual Smll B3 Fundo de Indice</t>
  </si>
  <si>
    <t xml:space="preserve">https://icons.brapi.dev/icons/SMAB11.svg</t>
  </si>
  <si>
    <t xml:space="preserve">SMAC11</t>
  </si>
  <si>
    <t xml:space="preserve">IT Now Small Cap Fundo de Indice</t>
  </si>
  <si>
    <t xml:space="preserve">https://icons.brapi.dev/icons/SMAC11.svg</t>
  </si>
  <si>
    <t xml:space="preserve">SMAL11</t>
  </si>
  <si>
    <t xml:space="preserve">iShares BM&amp;FBOVESPA Small Cap Index Fund</t>
  </si>
  <si>
    <t xml:space="preserve">https://icons.brapi.dev/icons/SMAL11.svg</t>
  </si>
  <si>
    <t xml:space="preserve">SOLH11</t>
  </si>
  <si>
    <t xml:space="preserve">Hashdex Nasdaq Solana Fundo De Indice</t>
  </si>
  <si>
    <t xml:space="preserve">https://icons.brapi.dev/icons/SOLH11.svg</t>
  </si>
  <si>
    <t xml:space="preserve">SPBZ11</t>
  </si>
  <si>
    <t xml:space="preserve">BTG Pactual S&amp;P 500 Futures Quanto BRL Fundo De Indice</t>
  </si>
  <si>
    <t xml:space="preserve">https://icons.brapi.dev/icons/SPBZ11.svg</t>
  </si>
  <si>
    <t xml:space="preserve">SPUB11</t>
  </si>
  <si>
    <t xml:space="preserve">Safra ETF Ibovespa Empresas Estatais Fundo de Indice Responsabilidade Limitada</t>
  </si>
  <si>
    <t xml:space="preserve">https://icons.brapi.dev/icons/SPUB11.svg</t>
  </si>
  <si>
    <t xml:space="preserve">SPVT11</t>
  </si>
  <si>
    <t xml:space="preserve">Safra ETF Ibovespa Empresas Privadas Fundo de Indice Responsabilidade Limitada</t>
  </si>
  <si>
    <t xml:space="preserve">https://icons.brapi.dev/icons/SPVT11.svg</t>
  </si>
  <si>
    <t xml:space="preserve">SPXB11</t>
  </si>
  <si>
    <t xml:space="preserve">BTG Pactual S&amp;P 500 Fundo de Indice</t>
  </si>
  <si>
    <t xml:space="preserve">https://icons.brapi.dev/icons/SPXB11.svg</t>
  </si>
  <si>
    <t xml:space="preserve">SPXH11</t>
  </si>
  <si>
    <t xml:space="preserve">Trend ETF S&amp;P 500 Quanto Classe de Indice - Responsabilidade Limitada</t>
  </si>
  <si>
    <t xml:space="preserve">https://icons.brapi.dev/icons/SPXH11.svg</t>
  </si>
  <si>
    <t xml:space="preserve">SPXI11</t>
  </si>
  <si>
    <t xml:space="preserve">It Now S&amp;P500 TRN Fundo de Indice</t>
  </si>
  <si>
    <t xml:space="preserve">https://icons.brapi.dev/icons/SPXI11.svg</t>
  </si>
  <si>
    <t xml:space="preserve">SPXR11</t>
  </si>
  <si>
    <t xml:space="preserve">It Now S&amp;P 500 Futures Quanto BRL Fundo de Indice Responsabilidade Limitada</t>
  </si>
  <si>
    <t xml:space="preserve">https://icons.brapi.dev/icons/SPXR11.svg</t>
  </si>
  <si>
    <t xml:space="preserve">SPXU11</t>
  </si>
  <si>
    <t xml:space="preserve">Trend ETF S&amp;P 500 Futures USD-BRL Fundo De Indice</t>
  </si>
  <si>
    <t xml:space="preserve">https://icons.brapi.dev/icons/SPXU11.svg</t>
  </si>
  <si>
    <t xml:space="preserve">SPYI11</t>
  </si>
  <si>
    <t xml:space="preserve">Buena Vista US High Income ETF</t>
  </si>
  <si>
    <t xml:space="preserve">https://icons.brapi.dev/icons/SPYI11.svg</t>
  </si>
  <si>
    <t xml:space="preserve">SPYR11</t>
  </si>
  <si>
    <t xml:space="preserve">B-INDEX ETF S&amp;P 500 BRL Fundo de Indice - Responsabilidade Limitada ETF</t>
  </si>
  <si>
    <t xml:space="preserve">https://icons.brapi.dev/icons/SPYR11.svg</t>
  </si>
  <si>
    <t xml:space="preserve">SVAL11</t>
  </si>
  <si>
    <t xml:space="preserve">Investo ETF S&amp;P Smallcap 600 Value FDI</t>
  </si>
  <si>
    <t xml:space="preserve">https://icons.brapi.dev/icons/SVAL11.svg</t>
  </si>
  <si>
    <t xml:space="preserve">T10R11</t>
  </si>
  <si>
    <t xml:space="preserve">It Now SP Tesouro Americano 10 Anos BRL Fundo De Indice Responsabilidade Limitada</t>
  </si>
  <si>
    <t xml:space="preserve">https://icons.brapi.dev/icons/T10R11.svg</t>
  </si>
  <si>
    <t xml:space="preserve">TD3511</t>
  </si>
  <si>
    <t xml:space="preserve">IT Now NTNB 2035 Fundo de Indice Responsabilidade Limitada</t>
  </si>
  <si>
    <t xml:space="preserve">https://icons.brapi.dev/icons/TD3511.svg</t>
  </si>
  <si>
    <t xml:space="preserve">TD5011</t>
  </si>
  <si>
    <t xml:space="preserve">IT Now NTNB 2050 Fundo de Indice Responsabilidade Limitada</t>
  </si>
  <si>
    <t xml:space="preserve">https://icons.brapi.dev/icons/TD5011.svg</t>
  </si>
  <si>
    <t xml:space="preserve">TD6011</t>
  </si>
  <si>
    <t xml:space="preserve">IT Now NTNB 2060 Fundo de Indice Responsabilidade Limitada</t>
  </si>
  <si>
    <t xml:space="preserve">https://icons.brapi.dev/icons/TD6011.svg</t>
  </si>
  <si>
    <t xml:space="preserve">TECK11</t>
  </si>
  <si>
    <t xml:space="preserve">IT Now NYSE Fang Fundo de Indice</t>
  </si>
  <si>
    <t xml:space="preserve">https://icons.brapi.dev/icons/TECK11.svg</t>
  </si>
  <si>
    <t xml:space="preserve">TECX11</t>
  </si>
  <si>
    <t xml:space="preserve">Bindex ETF Connect China AMC Chinext Fundo De Indice - Responsabilidade Limitada</t>
  </si>
  <si>
    <t xml:space="preserve">https://icons.brapi.dev/icons/TECX11.svg</t>
  </si>
  <si>
    <t xml:space="preserve">TOPY11</t>
  </si>
  <si>
    <t xml:space="preserve">Buena Vista Dex Vettafi Neos Multiestrategia High Income Fundo De Indice De Responsabilidade Limitada</t>
  </si>
  <si>
    <t xml:space="preserve">https://icons.brapi.dev/icons/TOPY11.svg</t>
  </si>
  <si>
    <t xml:space="preserve">TRIG11</t>
  </si>
  <si>
    <t xml:space="preserve">ETF Trigono Teva Acoes Micro CAP Small CAP Fundo de Indice</t>
  </si>
  <si>
    <t xml:space="preserve">https://icons.brapi.dev/icons/TRIG11.svg</t>
  </si>
  <si>
    <t xml:space="preserve">USDB11</t>
  </si>
  <si>
    <t xml:space="preserve">Investo Bloomberg US Bond ETF Fundo de Investimento de Indice - Investimento no Exterior</t>
  </si>
  <si>
    <t xml:space="preserve">https://icons.brapi.dev/icons/USDB11.svg</t>
  </si>
  <si>
    <t xml:space="preserve">USTK11</t>
  </si>
  <si>
    <t xml:space="preserve">Investo ETF MSCI US Technology Fundo de Investimento de Indice Investimento no Exterior</t>
  </si>
  <si>
    <t xml:space="preserve">https://icons.brapi.dev/icons/USTK11.svg</t>
  </si>
  <si>
    <t xml:space="preserve">UTEC11</t>
  </si>
  <si>
    <t xml:space="preserve">Trend ETF Bloomberg US 3000 Technology Classe De Indice - Responsabilidade Limitada</t>
  </si>
  <si>
    <t xml:space="preserve">https://icons.brapi.dev/icons/UTEC11.svg</t>
  </si>
  <si>
    <t xml:space="preserve">UTLI11</t>
  </si>
  <si>
    <t xml:space="preserve">IT Now Utilidade Publica Fundo de Indice Responsabilidade Limitad</t>
  </si>
  <si>
    <t xml:space="preserve">https://icons.brapi.dev/icons/UTLI11.svg</t>
  </si>
  <si>
    <t xml:space="preserve">UTLL11</t>
  </si>
  <si>
    <t xml:space="preserve">Investo B3 Utilidade Publica Fundo de Indice</t>
  </si>
  <si>
    <t xml:space="preserve">https://icons.brapi.dev/icons/UTLL11.svg</t>
  </si>
  <si>
    <t xml:space="preserve">VWRA11</t>
  </si>
  <si>
    <t xml:space="preserve">Investo FTSE All-World Fundo De Indice</t>
  </si>
  <si>
    <t xml:space="preserve">https://icons.brapi.dev/icons/VWRA11.svg</t>
  </si>
  <si>
    <t xml:space="preserve">WEB311</t>
  </si>
  <si>
    <t xml:space="preserve">Hashdex Smart Contract Platforms FI</t>
  </si>
  <si>
    <t xml:space="preserve">https://icons.brapi.dev/icons/WEB311.svg</t>
  </si>
  <si>
    <t xml:space="preserve">WEJR11</t>
  </si>
  <si>
    <t xml:space="preserve">BTG Pactual Teva ITBR IPCA Fundo de Indice ETF</t>
  </si>
  <si>
    <t xml:space="preserve">https://icons.brapi.dev/icons/WEJR11.svg</t>
  </si>
  <si>
    <t xml:space="preserve">WRLD11</t>
  </si>
  <si>
    <t xml:space="preserve">Investo FTSE Global Equities ETF</t>
  </si>
  <si>
    <t xml:space="preserve">https://icons.brapi.dev/icons/WRLD11.svg</t>
  </si>
  <si>
    <t xml:space="preserve">XB3011</t>
  </si>
  <si>
    <t xml:space="preserve">Trend ETF IDEX B30 Classe de Indice Responsabilidade Limitada</t>
  </si>
  <si>
    <t xml:space="preserve">https://icons.brapi.dev/icons/XB3011.svg</t>
  </si>
  <si>
    <t xml:space="preserve">XB3511</t>
  </si>
  <si>
    <t xml:space="preserve">Trend ETF IDEX B35 Classe de Indice Responsabilidade Limitada</t>
  </si>
  <si>
    <t xml:space="preserve">https://icons.brapi.dev/icons/XB3511.svg</t>
  </si>
  <si>
    <t xml:space="preserve">XB4511</t>
  </si>
  <si>
    <t xml:space="preserve">Trend ETF IDEX B45 Classe de Indice Responsabilidade Limitada</t>
  </si>
  <si>
    <t xml:space="preserve">https://icons.brapi.dev/icons/XB4511.svg</t>
  </si>
  <si>
    <t xml:space="preserve">XB5011</t>
  </si>
  <si>
    <t xml:space="preserve">Trend ETF IDEX B50 Classe de Indice Responsabilidade Limitada</t>
  </si>
  <si>
    <t xml:space="preserve">https://icons.brapi.dev/icons/XB5011.svg</t>
  </si>
  <si>
    <t xml:space="preserve">XB6011</t>
  </si>
  <si>
    <t xml:space="preserve">Trend ETF IDEX B60 Classe de Indice Responsabilidade Limitada</t>
  </si>
  <si>
    <t xml:space="preserve">https://icons.brapi.dev/icons/XB6011.svg</t>
  </si>
  <si>
    <t xml:space="preserve">XBCI11</t>
  </si>
  <si>
    <t xml:space="preserve">Buena Vista Dex Vettafi Neos Boosted Bitcoin High Income Index Fund</t>
  </si>
  <si>
    <t xml:space="preserve">https://icons.brapi.dev/icons/XBCI11.svg</t>
  </si>
  <si>
    <t xml:space="preserve">XBIT11</t>
  </si>
  <si>
    <t xml:space="preserve">Trend ETF Bloomberg Bitcoin Index Methodology Fundo de Indice</t>
  </si>
  <si>
    <t xml:space="preserve">https://icons.brapi.dev/icons/XBIT11.svg</t>
  </si>
  <si>
    <t xml:space="preserve">XBOV11</t>
  </si>
  <si>
    <t xml:space="preserve">Caixa ETF Ibovespa Fundo Indice Cotas</t>
  </si>
  <si>
    <t xml:space="preserve">https://icons.brapi.dev/icons/XBOV11.svg</t>
  </si>
  <si>
    <t xml:space="preserve">XCAP11</t>
  </si>
  <si>
    <t xml:space="preserve">Trend ETF Small Caps Smart Rebal B3 Classe de Indice Responsabilidade Limitada</t>
  </si>
  <si>
    <t xml:space="preserve">https://icons.brapi.dev/icons/XCAP11.svg</t>
  </si>
  <si>
    <t xml:space="preserve">XETH11</t>
  </si>
  <si>
    <t xml:space="preserve">Trend ETF Bloomberg Ethereum Fundo de Indice</t>
  </si>
  <si>
    <t xml:space="preserve">https://icons.brapi.dev/icons/XETH11.svg</t>
  </si>
  <si>
    <t xml:space="preserve">XFIX11</t>
  </si>
  <si>
    <t xml:space="preserve">Trend ETF IFIX Fundo de Indice</t>
  </si>
  <si>
    <t xml:space="preserve">https://icons.brapi.dev/icons/XFIX11.svg</t>
  </si>
  <si>
    <t xml:space="preserve">XINA11</t>
  </si>
  <si>
    <t xml:space="preserve">TREND ETF BLOOMBERG CHINA FUNDO DE INDICE -INVESTIMENTO NO EXTERIOR</t>
  </si>
  <si>
    <t xml:space="preserve">https://icons.brapi.dev/icons/XINA11.svg</t>
  </si>
  <si>
    <t xml:space="preserve">XRPH11</t>
  </si>
  <si>
    <t xml:space="preserve">Hashdex Nasdaq XRP Fundo De Indice</t>
  </si>
  <si>
    <t xml:space="preserve">https://icons.brapi.dev/icons/XRPH11.svg</t>
  </si>
  <si>
    <t xml:space="preserve">XSPI11</t>
  </si>
  <si>
    <t xml:space="preserve">BUENA VISTA DEX VETTAFI NEOS BOOSTED S&amp;P 500 HIGH INCOME FUNDO DE INDICE DE RESPONSABILIDADE LIMITAD</t>
  </si>
  <si>
    <t xml:space="preserve">https://icons.brapi.dev/icons/XSPI11.svg</t>
  </si>
  <si>
    <t xml:space="preserve">name</t>
  </si>
  <si>
    <t xml:space="preserve">asset_type</t>
  </si>
  <si>
    <t xml:space="preserve">segment</t>
  </si>
  <si>
    <t xml:space="preserve">ETF</t>
  </si>
  <si>
    <t xml:space="preserve">Último preço (R$)</t>
  </si>
  <si>
    <t xml:space="preserve">Motivo</t>
  </si>
  <si>
    <t xml:space="preserve">Explicação</t>
  </si>
  <si>
    <t xml:space="preserve">BBSD</t>
  </si>
  <si>
    <t xml:space="preserve">Sem sufixo 11</t>
  </si>
  <si>
    <t xml:space="preserve">Duplicata do mesmo fundo com sufixo 11 (ex.: BOVA × BOVA11). O ticker negociado é o com 11.</t>
  </si>
  <si>
    <t xml:space="preserve">BOVA</t>
  </si>
  <si>
    <t xml:space="preserve">BOVV</t>
  </si>
  <si>
    <t xml:space="preserve">DIVO</t>
  </si>
  <si>
    <t xml:space="preserve">ECOO</t>
  </si>
  <si>
    <t xml:space="preserve">FIND</t>
  </si>
  <si>
    <t xml:space="preserve">GOVE</t>
  </si>
  <si>
    <t xml:space="preserve">ISUS</t>
  </si>
  <si>
    <t xml:space="preserve">SCVB</t>
  </si>
  <si>
    <t xml:space="preserve">INVESTO MARKETVECTOR BRAZIL SMALL CAP VALUE ETF</t>
  </si>
  <si>
    <t xml:space="preserve">XBOV</t>
  </si>
  <si>
    <t xml:space="preserve">BDIF11</t>
  </si>
  <si>
    <t xml:space="preserve">BTG Pactual Divida Infra FI em Cotas de Fundos Incentivados de Investimento em Infra Rend Fix Cred Priv</t>
  </si>
  <si>
    <t xml:space="preserve">FI-Infra</t>
  </si>
  <si>
    <t xml:space="preserve">Fundo de debêntures incentivadas (FI-Infra/FIC). A BRAPI marca como ETF, mas não é fundo de índice.</t>
  </si>
  <si>
    <t xml:space="preserve">BIDB11</t>
  </si>
  <si>
    <t xml:space="preserve">Inter Infra Fundo de Investimento em Cotas de Fundos Incentivados de Investimento em Infraestrutura Ren Fix Cred Priv</t>
  </si>
  <si>
    <t xml:space="preserve">BINC11</t>
  </si>
  <si>
    <t xml:space="preserve">Brad FIC Firf Invest Infra CDI CP Resp Ltda</t>
  </si>
  <si>
    <t xml:space="preserve">BODB11</t>
  </si>
  <si>
    <t xml:space="preserve">Bocaina Infra Fundo de Investimento em Cotas de Fundos Incentivados de Investimento em Infraestrutura Renda Fix Cr Priv</t>
  </si>
  <si>
    <t xml:space="preserve">BODI11</t>
  </si>
  <si>
    <t xml:space="preserve">Bocaina Infra CDI FIC de Fundos Incetivados de Investimento em INFRA Renda Fixa Resp Limitada</t>
  </si>
  <si>
    <t xml:space="preserve">CDII11</t>
  </si>
  <si>
    <t xml:space="preserve">Sparta Infra CDI Fundo de Investimento em Cotas de Fundos Incentivados de Investimento em Infraestrutura RF Cred Priv</t>
  </si>
  <si>
    <t xml:space="preserve">CPDI11</t>
  </si>
  <si>
    <t xml:space="preserve">Capitania Infra CDI FIC de Fundos Incentivados de Investimento em Infraestrutura RF</t>
  </si>
  <si>
    <t xml:space="preserve">CPTI11</t>
  </si>
  <si>
    <t xml:space="preserve">Capitania Infra FIC FI Infra RF CP</t>
  </si>
  <si>
    <t xml:space="preserve">DIVS11</t>
  </si>
  <si>
    <t xml:space="preserve">Sparta Infra Inflacao Longa Infraestrutura Fundo de Investimento em Cotas De Fundos de Investimento em Infraestrutura RF</t>
  </si>
  <si>
    <t xml:space="preserve">IFRA11</t>
  </si>
  <si>
    <t xml:space="preserve">Itau Fundo de Investimento em Cotas de Fundos de Investimento em Direitos Creditorios de Infraestrutura</t>
  </si>
  <si>
    <t xml:space="preserve">IFRI11</t>
  </si>
  <si>
    <t xml:space="preserve">Itau Fundo de Investimento em Cotas de Fundos Incentivados de Investimento Financeiro em Infraestrutura CDI Renda Fixa</t>
  </si>
  <si>
    <t xml:space="preserve">ISEN11</t>
  </si>
  <si>
    <t xml:space="preserve">Itau Isento Marco 29 Fundo de Investimento em Cotas de Fundos Incentivados de Investimento Financeiro em Infraestr RF RL</t>
  </si>
  <si>
    <t xml:space="preserve">ISET11</t>
  </si>
  <si>
    <t xml:space="preserve">Itau Isento Set28 Fundo De Investimento Em Cotas De FII Financeiro Em Infraestrutura RF RL</t>
  </si>
  <si>
    <t xml:space="preserve">ISNN11</t>
  </si>
  <si>
    <t xml:space="preserve">Itau Isento Julho 28 FIC de Fundos Incentivados de Inv Financeiro em Infra RF Resp Limitada</t>
  </si>
  <si>
    <t xml:space="preserve">ISNT11</t>
  </si>
  <si>
    <t xml:space="preserve">Itau Isento Marco 28 Fundo de Investimento em Cotas de Fundos Incentivados de Investimento Financeiro em Infraestr RF</t>
  </si>
  <si>
    <t xml:space="preserve">ISTT11</t>
  </si>
  <si>
    <t xml:space="preserve">Itau Isento Setembro 29 FIC de Fundos Incentivados de Inv Financeiro em Infraestrutura Renda Fixa Resp Limitada</t>
  </si>
  <si>
    <t xml:space="preserve">KNDI11</t>
  </si>
  <si>
    <t xml:space="preserve">Kinea Estrategia Infra CDI Fundo de Investimento em Participacoes em Infraestrutura Responsabilidade Limitada</t>
  </si>
  <si>
    <t xml:space="preserve">PREE11</t>
  </si>
  <si>
    <t xml:space="preserve">Sparta Infra Estrategico Fundo de Investimento Financeiro em Cotas de Fundos Incentivados de Investimento Renda Fixa</t>
  </si>
  <si>
    <t xml:space="preserve">RBIF11</t>
  </si>
  <si>
    <t xml:space="preserve">Rio Bravo ESG Fundo de Investimento em Cotas de Fundos Incentivados de Investimento em Infraestr Renda Fixa Cred Priv</t>
  </si>
  <si>
    <t xml:space="preserve">SNID11</t>
  </si>
  <si>
    <t xml:space="preserve">Suno Infra Debentures Fundo de Investimento em Cotas de Fundos Incentivados de Investimento em Infraestr Renda Fixa</t>
  </si>
  <si>
    <t xml:space="preserve">XPID11</t>
  </si>
  <si>
    <t xml:space="preserve">XP Fundo de Investimento em Cotas de Fundos Incentivados de Investimento em Infraestrutura Renda Fixa</t>
  </si>
  <si>
    <t xml:space="preserve">BTAL11</t>
  </si>
  <si>
    <t xml:space="preserve">Fundo de Investimento Imobiliario BTG Pactual Agro Logistica</t>
  </si>
  <si>
    <t xml:space="preserve">Não é ETF</t>
  </si>
  <si>
    <t xml:space="preserve">Não é ETF: fundo fiscal antigo (FINAM/FINOR/FISET), empresa (Porto Sudeste) ou fundo imobiliário/agro.</t>
  </si>
  <si>
    <t xml:space="preserve">BTRA11</t>
  </si>
  <si>
    <t xml:space="preserve">Fundo de Investimento Imobiliario BTG Pactual Terras Agricolas</t>
  </si>
  <si>
    <t xml:space="preserve">FNAM11</t>
  </si>
  <si>
    <t xml:space="preserve">Fundo de Investimento da Amazonia Cotas</t>
  </si>
  <si>
    <t xml:space="preserve">FNOR11</t>
  </si>
  <si>
    <t xml:space="preserve">Finor Pfd</t>
  </si>
  <si>
    <t xml:space="preserve">FSPE11</t>
  </si>
  <si>
    <t xml:space="preserve">Fiset Pesca FISET FSPE Pfd</t>
  </si>
  <si>
    <t xml:space="preserve">FSRF11</t>
  </si>
  <si>
    <t xml:space="preserve">Fiset Fl Ref Pfd</t>
  </si>
  <si>
    <t xml:space="preserve">PSVM11</t>
  </si>
  <si>
    <t xml:space="preserve">Porto Sudeste VM SA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</si>
</sst>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.00;[RED]\-#,##0.00;\-"/>
    <numFmt numFmtId="167" formatCode="0.00%;[RED]\-0.00%;\-"/>
    <numFmt numFmtId="168" formatCode="#,##0"/>
    <numFmt numFmtId="169" formatCode="0%"/>
    <numFmt numFmtId="170" formatCode="0.0%;[RED]\-0.0%;\-"/>
    <numFmt numFmtId="171" formatCode="dd/mm/yyyy\ 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9A84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2" customFormat="false" ht="15" hidden="false" customHeight="false" outlineLevel="0" collapsed="false">
      <c r="A12" s="4" t="s">
        <v>17</v>
      </c>
    </row>
    <row r="13" customFormat="false" ht="18" hidden="false" customHeight="true" outlineLevel="0" collapsed="false">
      <c r="A13" s="5" t="s">
        <v>18</v>
      </c>
      <c r="B13" s="5" t="s">
        <v>19</v>
      </c>
    </row>
    <row r="14" customFormat="false" ht="15" hidden="false" customHeight="false" outlineLevel="0" collapsed="false">
      <c r="A14" s="6" t="s">
        <v>20</v>
      </c>
      <c r="B14" s="6" t="n">
        <f aca="false">COUNTIF('ETFs (219)'!$C$2:$C$220,A14)</f>
        <v>60</v>
      </c>
    </row>
    <row r="15" customFormat="false" ht="15" hidden="false" customHeight="false" outlineLevel="0" collapsed="false">
      <c r="A15" s="6" t="s">
        <v>21</v>
      </c>
      <c r="B15" s="6" t="n">
        <f aca="false">COUNTIF('ETFs (219)'!$C$2:$C$220,A15)</f>
        <v>59</v>
      </c>
    </row>
    <row r="16" customFormat="false" ht="15" hidden="false" customHeight="false" outlineLevel="0" collapsed="false">
      <c r="A16" s="6" t="s">
        <v>22</v>
      </c>
      <c r="B16" s="6" t="n">
        <f aca="false">COUNTIF('ETFs (219)'!$C$2:$C$220,A16)</f>
        <v>47</v>
      </c>
    </row>
    <row r="17" customFormat="false" ht="15" hidden="false" customHeight="false" outlineLevel="0" collapsed="false">
      <c r="A17" s="6" t="s">
        <v>23</v>
      </c>
      <c r="B17" s="6" t="n">
        <f aca="false">COUNTIF('ETFs (219)'!$C$2:$C$220,A17)</f>
        <v>29</v>
      </c>
    </row>
    <row r="18" customFormat="false" ht="15" hidden="false" customHeight="false" outlineLevel="0" collapsed="false">
      <c r="A18" s="6" t="s">
        <v>24</v>
      </c>
      <c r="B18" s="6" t="n">
        <f aca="false">COUNTIF('ETFs (219)'!$C$2:$C$220,A18)</f>
        <v>11</v>
      </c>
    </row>
    <row r="19" customFormat="false" ht="15" hidden="false" customHeight="false" outlineLevel="0" collapsed="false">
      <c r="A19" s="6" t="s">
        <v>25</v>
      </c>
      <c r="B19" s="6" t="n">
        <f aca="false">COUNTIF('ETFs (219)'!$C$2:$C$220,A19)</f>
        <v>7</v>
      </c>
    </row>
    <row r="20" customFormat="false" ht="15" hidden="false" customHeight="false" outlineLevel="0" collapsed="false">
      <c r="A20" s="6" t="s">
        <v>26</v>
      </c>
      <c r="B20" s="6" t="n">
        <f aca="false">COUNTIF('ETFs (219)'!$C$2:$C$220,A20)</f>
        <v>3</v>
      </c>
    </row>
    <row r="21" customFormat="false" ht="15" hidden="false" customHeight="false" outlineLevel="0" collapsed="false">
      <c r="A21" s="6" t="s">
        <v>27</v>
      </c>
      <c r="B21" s="6" t="n">
        <f aca="false">COUNTIF('ETFs (219)'!$C$2:$C$220,A21)</f>
        <v>2</v>
      </c>
    </row>
    <row r="22" customFormat="false" ht="15" hidden="false" customHeight="false" outlineLevel="0" collapsed="false">
      <c r="A22" s="6" t="s">
        <v>28</v>
      </c>
      <c r="B22" s="6" t="n">
        <f aca="false">COUNTIF('ETFs (219)'!$C$2:$C$220,A22)</f>
        <v>1</v>
      </c>
    </row>
    <row r="23" customFormat="false" ht="15" hidden="false" customHeight="false" outlineLevel="0" collapsed="false">
      <c r="A23" s="7" t="s">
        <v>29</v>
      </c>
      <c r="B23" s="7" t="n">
        <f aca="false">SUM(B14:B22)</f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11" min="9" style="0" width="11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6" min="15" style="0" width="13"/>
    <col collapsed="false" customWidth="true" hidden="false" outlineLevel="0" max="18" min="17" style="0" width="11"/>
    <col collapsed="false" customWidth="true" hidden="false" outlineLevel="0" max="19" min="19" style="0" width="14"/>
    <col collapsed="false" customWidth="true" hidden="false" outlineLevel="0" max="20" min="20" style="0" width="42"/>
    <col collapsed="false" customWidth="true" hidden="false" outlineLevel="0" max="21" min="21" style="0" width="16"/>
  </cols>
  <sheetData>
    <row r="1" customFormat="false" ht="42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</row>
    <row r="2" customFormat="false" ht="15" hidden="false" customHeight="false" outlineLevel="0" collapsed="false">
      <c r="A2" s="8" t="s">
        <v>51</v>
      </c>
      <c r="B2" s="8" t="s">
        <v>52</v>
      </c>
      <c r="C2" s="8" t="s">
        <v>21</v>
      </c>
      <c r="D2" s="8" t="s">
        <v>53</v>
      </c>
      <c r="E2" s="8" t="s">
        <v>54</v>
      </c>
      <c r="F2" s="9" t="n">
        <v>51.49</v>
      </c>
      <c r="G2" s="10" t="n">
        <v>-0.14</v>
      </c>
      <c r="H2" s="11" t="n">
        <v>-0.0027</v>
      </c>
      <c r="I2" s="9" t="n">
        <v>51.6</v>
      </c>
      <c r="J2" s="9" t="n">
        <v>51.49</v>
      </c>
      <c r="K2" s="9" t="n">
        <v>51.6</v>
      </c>
      <c r="L2" s="9" t="n">
        <v>51.6</v>
      </c>
      <c r="M2" s="12" t="n">
        <v>2</v>
      </c>
      <c r="N2" s="12" t="n">
        <f aca="false">F2*M2</f>
        <v>102.98</v>
      </c>
      <c r="O2" s="9" t="n">
        <v>49.97</v>
      </c>
      <c r="P2" s="9" t="n">
        <v>52.75</v>
      </c>
      <c r="Q2" s="13" t="n">
        <f aca="false">IF(P2-O2=0,"",(F2-O2)/(P2-O2))</f>
        <v>0.546762589928059</v>
      </c>
      <c r="R2" s="14" t="n">
        <f aca="false">IF(P2=0,"",F2/P2-1)</f>
        <v>-0.0238862559241706</v>
      </c>
      <c r="S2" s="8" t="s">
        <v>54</v>
      </c>
      <c r="T2" s="8" t="s">
        <v>55</v>
      </c>
      <c r="U2" s="15" t="n">
        <v>46288.771875</v>
      </c>
    </row>
    <row r="3" customFormat="false" ht="15" hidden="false" customHeight="false" outlineLevel="0" collapsed="false">
      <c r="A3" s="8" t="s">
        <v>56</v>
      </c>
      <c r="B3" s="8" t="s">
        <v>57</v>
      </c>
      <c r="C3" s="8" t="s">
        <v>21</v>
      </c>
      <c r="D3" s="8" t="s">
        <v>53</v>
      </c>
      <c r="E3" s="8" t="s">
        <v>54</v>
      </c>
      <c r="F3" s="9" t="n">
        <v>52.64</v>
      </c>
      <c r="G3" s="10" t="n">
        <v>0.13</v>
      </c>
      <c r="H3" s="11" t="n">
        <v>0.0025</v>
      </c>
      <c r="I3" s="9" t="n">
        <v>52.64</v>
      </c>
      <c r="J3" s="9" t="n">
        <v>52.64</v>
      </c>
      <c r="K3" s="9" t="n">
        <v>52.64</v>
      </c>
      <c r="L3" s="9" t="n">
        <v>52.64</v>
      </c>
      <c r="M3" s="12" t="n">
        <v>1</v>
      </c>
      <c r="N3" s="12" t="n">
        <f aca="false">F3*M3</f>
        <v>52.64</v>
      </c>
      <c r="O3" s="9" t="n">
        <v>50.03</v>
      </c>
      <c r="P3" s="9" t="n">
        <v>53.7</v>
      </c>
      <c r="Q3" s="13" t="n">
        <f aca="false">IF(P3-O3=0,"",(F3-O3)/(P3-O3))</f>
        <v>0.71117166212534</v>
      </c>
      <c r="R3" s="14" t="n">
        <f aca="false">IF(P3=0,"",F3/P3-1)</f>
        <v>-0.0197392923649907</v>
      </c>
      <c r="S3" s="8" t="s">
        <v>54</v>
      </c>
      <c r="T3" s="8" t="s">
        <v>58</v>
      </c>
      <c r="U3" s="15" t="n">
        <v>46288.771875</v>
      </c>
    </row>
    <row r="4" customFormat="false" ht="15" hidden="false" customHeight="false" outlineLevel="0" collapsed="false">
      <c r="A4" s="8" t="s">
        <v>59</v>
      </c>
      <c r="B4" s="8" t="s">
        <v>60</v>
      </c>
      <c r="C4" s="8" t="s">
        <v>21</v>
      </c>
      <c r="D4" s="8" t="s">
        <v>53</v>
      </c>
      <c r="E4" s="8" t="s">
        <v>54</v>
      </c>
      <c r="F4" s="9" t="n">
        <v>53.25</v>
      </c>
      <c r="G4" s="10" t="n">
        <v>-0.2</v>
      </c>
      <c r="H4" s="11" t="n">
        <v>-0.0037</v>
      </c>
      <c r="I4" s="9" t="n">
        <v>53.71</v>
      </c>
      <c r="J4" s="9" t="n">
        <v>53.18</v>
      </c>
      <c r="K4" s="9" t="n">
        <v>53.71</v>
      </c>
      <c r="L4" s="9" t="n">
        <v>53.31</v>
      </c>
      <c r="M4" s="12" t="n">
        <v>75</v>
      </c>
      <c r="N4" s="12" t="n">
        <f aca="false">F4*M4</f>
        <v>3993.75</v>
      </c>
      <c r="O4" s="9" t="n">
        <v>50.1</v>
      </c>
      <c r="P4" s="9" t="n">
        <v>54.12</v>
      </c>
      <c r="Q4" s="13" t="n">
        <f aca="false">IF(P4-O4=0,"",(F4-O4)/(P4-O4))</f>
        <v>0.783582089552239</v>
      </c>
      <c r="R4" s="14" t="n">
        <f aca="false">IF(P4=0,"",F4/P4-1)</f>
        <v>-0.0160753880266075</v>
      </c>
      <c r="S4" s="8" t="s">
        <v>54</v>
      </c>
      <c r="T4" s="8" t="s">
        <v>61</v>
      </c>
      <c r="U4" s="15" t="n">
        <v>46288.771875</v>
      </c>
    </row>
    <row r="5" customFormat="false" ht="15" hidden="false" customHeight="false" outlineLevel="0" collapsed="false">
      <c r="A5" s="8" t="s">
        <v>62</v>
      </c>
      <c r="B5" s="8" t="s">
        <v>63</v>
      </c>
      <c r="C5" s="8" t="s">
        <v>21</v>
      </c>
      <c r="D5" s="8" t="s">
        <v>53</v>
      </c>
      <c r="E5" s="8" t="s">
        <v>54</v>
      </c>
      <c r="F5" s="9" t="n">
        <v>52.26</v>
      </c>
      <c r="G5" s="10" t="n">
        <v>-0.15</v>
      </c>
      <c r="H5" s="11" t="n">
        <v>-0.0029</v>
      </c>
      <c r="I5" s="9" t="n">
        <v>52.41</v>
      </c>
      <c r="J5" s="9" t="n">
        <v>52.1</v>
      </c>
      <c r="K5" s="9" t="n">
        <v>52.5</v>
      </c>
      <c r="L5" s="9" t="n">
        <v>52.17</v>
      </c>
      <c r="M5" s="12" t="n">
        <v>16388</v>
      </c>
      <c r="N5" s="12" t="n">
        <f aca="false">F5*M5</f>
        <v>856436.88</v>
      </c>
      <c r="O5" s="9" t="n">
        <v>48.13</v>
      </c>
      <c r="P5" s="9" t="n">
        <v>52.52</v>
      </c>
      <c r="Q5" s="13" t="n">
        <f aca="false">IF(P5-O5=0,"",(F5-O5)/(P5-O5))</f>
        <v>0.940774487471525</v>
      </c>
      <c r="R5" s="14" t="n">
        <f aca="false">IF(P5=0,"",F5/P5-1)</f>
        <v>-0.00495049504950507</v>
      </c>
      <c r="S5" s="8" t="s">
        <v>54</v>
      </c>
      <c r="T5" s="8" t="s">
        <v>64</v>
      </c>
      <c r="U5" s="15" t="n">
        <v>46288.771875</v>
      </c>
    </row>
    <row r="6" customFormat="false" ht="15" hidden="false" customHeight="false" outlineLevel="0" collapsed="false">
      <c r="A6" s="8" t="s">
        <v>65</v>
      </c>
      <c r="B6" s="8" t="s">
        <v>66</v>
      </c>
      <c r="C6" s="8" t="s">
        <v>23</v>
      </c>
      <c r="D6" s="8" t="s">
        <v>67</v>
      </c>
      <c r="E6" s="8" t="s">
        <v>54</v>
      </c>
      <c r="F6" s="9" t="n">
        <v>128.34</v>
      </c>
      <c r="G6" s="10" t="n">
        <v>-1.1</v>
      </c>
      <c r="H6" s="11" t="n">
        <v>-0.0085</v>
      </c>
      <c r="I6" s="9" t="n">
        <v>131.52</v>
      </c>
      <c r="J6" s="9" t="n">
        <v>127.05</v>
      </c>
      <c r="K6" s="9" t="n">
        <v>135</v>
      </c>
      <c r="L6" s="9" t="n">
        <v>128.45</v>
      </c>
      <c r="M6" s="12" t="n">
        <v>5964</v>
      </c>
      <c r="N6" s="12" t="n">
        <f aca="false">F6*M6</f>
        <v>765419.76</v>
      </c>
      <c r="O6" s="9" t="n">
        <v>95</v>
      </c>
      <c r="P6" s="9" t="n">
        <v>135</v>
      </c>
      <c r="Q6" s="13" t="n">
        <f aca="false">IF(P6-O6=0,"",(F6-O6)/(P6-O6))</f>
        <v>0.8335</v>
      </c>
      <c r="R6" s="14" t="n">
        <f aca="false">IF(P6=0,"",F6/P6-1)</f>
        <v>-0.0493333333333333</v>
      </c>
      <c r="S6" s="8" t="s">
        <v>54</v>
      </c>
      <c r="T6" s="8" t="s">
        <v>68</v>
      </c>
      <c r="U6" s="15" t="n">
        <v>46288.771875</v>
      </c>
    </row>
    <row r="7" customFormat="false" ht="15" hidden="false" customHeight="false" outlineLevel="0" collapsed="false">
      <c r="A7" s="8" t="s">
        <v>69</v>
      </c>
      <c r="B7" s="8" t="s">
        <v>70</v>
      </c>
      <c r="C7" s="8" t="s">
        <v>22</v>
      </c>
      <c r="D7" s="8" t="s">
        <v>71</v>
      </c>
      <c r="E7" s="8" t="s">
        <v>54</v>
      </c>
      <c r="F7" s="9" t="n">
        <v>17.39</v>
      </c>
      <c r="G7" s="10" t="n">
        <v>0</v>
      </c>
      <c r="H7" s="11" t="n">
        <v>0</v>
      </c>
      <c r="I7" s="9" t="n">
        <v>17.41</v>
      </c>
      <c r="J7" s="9" t="n">
        <v>17.39</v>
      </c>
      <c r="K7" s="9" t="n">
        <v>17.56</v>
      </c>
      <c r="L7" s="9" t="n">
        <v>17.44</v>
      </c>
      <c r="M7" s="12" t="n">
        <v>187438</v>
      </c>
      <c r="N7" s="12" t="n">
        <f aca="false">F7*M7</f>
        <v>3259546.82</v>
      </c>
      <c r="O7" s="9" t="n">
        <v>14.76</v>
      </c>
      <c r="P7" s="9" t="n">
        <v>17.94</v>
      </c>
      <c r="Q7" s="13" t="n">
        <f aca="false">IF(P7-O7=0,"",(F7-O7)/(P7-O7))</f>
        <v>0.827044025157233</v>
      </c>
      <c r="R7" s="14" t="n">
        <f aca="false">IF(P7=0,"",F7/P7-1)</f>
        <v>-0.0306577480490524</v>
      </c>
      <c r="S7" s="8" t="s">
        <v>54</v>
      </c>
      <c r="T7" s="8" t="s">
        <v>72</v>
      </c>
      <c r="U7" s="15" t="n">
        <v>46288.771875</v>
      </c>
    </row>
    <row r="8" customFormat="false" ht="15" hidden="false" customHeight="false" outlineLevel="0" collapsed="false">
      <c r="A8" s="8" t="s">
        <v>73</v>
      </c>
      <c r="B8" s="8" t="s">
        <v>74</v>
      </c>
      <c r="C8" s="8" t="s">
        <v>25</v>
      </c>
      <c r="D8" s="8" t="s">
        <v>75</v>
      </c>
      <c r="E8" s="8" t="s">
        <v>54</v>
      </c>
      <c r="F8" s="9" t="n">
        <v>49.4</v>
      </c>
      <c r="G8" s="10" t="n">
        <v>0.12</v>
      </c>
      <c r="H8" s="11" t="n">
        <v>0.0024</v>
      </c>
      <c r="I8" s="9" t="n">
        <v>49.33</v>
      </c>
      <c r="J8" s="9" t="n">
        <v>49.04</v>
      </c>
      <c r="K8" s="9" t="n">
        <v>49.4</v>
      </c>
      <c r="L8" s="9" t="n">
        <v>49.36</v>
      </c>
      <c r="M8" s="12" t="n">
        <v>494</v>
      </c>
      <c r="N8" s="12" t="n">
        <f aca="false">F8*M8</f>
        <v>24403.6</v>
      </c>
      <c r="O8" s="9" t="n">
        <v>49.04</v>
      </c>
      <c r="P8" s="9" t="n">
        <v>49.95</v>
      </c>
      <c r="Q8" s="13" t="n">
        <f aca="false">IF(P8-O8=0,"",(F8-O8)/(P8-O8))</f>
        <v>0.395604395604393</v>
      </c>
      <c r="R8" s="14" t="n">
        <f aca="false">IF(P8=0,"",F8/P8-1)</f>
        <v>-0.0110110110110111</v>
      </c>
      <c r="S8" s="8" t="s">
        <v>54</v>
      </c>
      <c r="T8" s="8" t="s">
        <v>76</v>
      </c>
      <c r="U8" s="15" t="n">
        <v>46288.771875</v>
      </c>
    </row>
    <row r="9" customFormat="false" ht="15" hidden="false" customHeight="false" outlineLevel="0" collapsed="false">
      <c r="A9" s="8" t="s">
        <v>77</v>
      </c>
      <c r="B9" s="8" t="s">
        <v>78</v>
      </c>
      <c r="C9" s="8" t="s">
        <v>20</v>
      </c>
      <c r="D9" s="8" t="s">
        <v>79</v>
      </c>
      <c r="E9" s="8" t="s">
        <v>54</v>
      </c>
      <c r="F9" s="9" t="n">
        <v>42</v>
      </c>
      <c r="G9" s="10" t="n">
        <v>-0.12</v>
      </c>
      <c r="H9" s="11" t="n">
        <v>-0.0028</v>
      </c>
      <c r="I9" s="9" t="n">
        <v>42.52</v>
      </c>
      <c r="J9" s="9" t="n">
        <v>41.92</v>
      </c>
      <c r="K9" s="9" t="n">
        <v>42.52</v>
      </c>
      <c r="L9" s="9" t="n">
        <v>42</v>
      </c>
      <c r="M9" s="12" t="n">
        <v>99</v>
      </c>
      <c r="N9" s="12" t="n">
        <f aca="false">F9*M9</f>
        <v>4158</v>
      </c>
      <c r="O9" s="9" t="n">
        <v>36.06</v>
      </c>
      <c r="P9" s="9" t="n">
        <v>50.22</v>
      </c>
      <c r="Q9" s="13" t="n">
        <f aca="false">IF(P9-O9=0,"",(F9-O9)/(P9-O9))</f>
        <v>0.419491525423729</v>
      </c>
      <c r="R9" s="14" t="n">
        <f aca="false">IF(P9=0,"",F9/P9-1)</f>
        <v>-0.163679808841099</v>
      </c>
      <c r="S9" s="8" t="s">
        <v>54</v>
      </c>
      <c r="T9" s="8" t="s">
        <v>80</v>
      </c>
      <c r="U9" s="15" t="n">
        <v>46288.771875</v>
      </c>
    </row>
    <row r="10" customFormat="false" ht="15" hidden="false" customHeight="false" outlineLevel="0" collapsed="false">
      <c r="A10" s="8" t="s">
        <v>81</v>
      </c>
      <c r="B10" s="8" t="s">
        <v>82</v>
      </c>
      <c r="C10" s="8" t="s">
        <v>22</v>
      </c>
      <c r="D10" s="8" t="s">
        <v>71</v>
      </c>
      <c r="E10" s="8" t="s">
        <v>54</v>
      </c>
      <c r="F10" s="9" t="n">
        <v>40.68</v>
      </c>
      <c r="G10" s="10" t="n">
        <v>-0.21</v>
      </c>
      <c r="H10" s="11" t="n">
        <v>-0.0051</v>
      </c>
      <c r="I10" s="9" t="n">
        <v>40.71</v>
      </c>
      <c r="J10" s="9" t="n">
        <v>40.41</v>
      </c>
      <c r="K10" s="9" t="n">
        <v>41.11</v>
      </c>
      <c r="L10" s="9" t="n">
        <v>40.7</v>
      </c>
      <c r="M10" s="12" t="n">
        <v>12865</v>
      </c>
      <c r="N10" s="12" t="n">
        <f aca="false">F10*M10</f>
        <v>523348.2</v>
      </c>
      <c r="O10" s="9" t="n">
        <v>38.61</v>
      </c>
      <c r="P10" s="9" t="n">
        <v>44.49</v>
      </c>
      <c r="Q10" s="13" t="n">
        <f aca="false">IF(P10-O10=0,"",(F10-O10)/(P10-O10))</f>
        <v>0.352040816326531</v>
      </c>
      <c r="R10" s="14" t="n">
        <f aca="false">IF(P10=0,"",F10/P10-1)</f>
        <v>-0.0856372218476063</v>
      </c>
      <c r="S10" s="8" t="s">
        <v>54</v>
      </c>
      <c r="T10" s="8" t="s">
        <v>83</v>
      </c>
      <c r="U10" s="15" t="n">
        <v>46288.771875</v>
      </c>
    </row>
    <row r="11" customFormat="false" ht="15" hidden="false" customHeight="false" outlineLevel="0" collapsed="false">
      <c r="A11" s="8" t="s">
        <v>84</v>
      </c>
      <c r="B11" s="8" t="s">
        <v>85</v>
      </c>
      <c r="C11" s="8" t="s">
        <v>20</v>
      </c>
      <c r="D11" s="8" t="s">
        <v>79</v>
      </c>
      <c r="E11" s="8" t="s">
        <v>86</v>
      </c>
      <c r="F11" s="9" t="n">
        <v>10.16</v>
      </c>
      <c r="G11" s="10" t="n">
        <v>0</v>
      </c>
      <c r="H11" s="11" t="n">
        <v>0</v>
      </c>
      <c r="I11" s="9" t="n">
        <v>10.17</v>
      </c>
      <c r="J11" s="9" t="n">
        <v>10.16</v>
      </c>
      <c r="K11" s="9" t="n">
        <v>10.18</v>
      </c>
      <c r="L11" s="9" t="n">
        <v>10.18</v>
      </c>
      <c r="M11" s="12" t="n">
        <v>15</v>
      </c>
      <c r="N11" s="12" t="n">
        <f aca="false">F11*M11</f>
        <v>152.4</v>
      </c>
      <c r="O11" s="9" t="n">
        <v>9.99</v>
      </c>
      <c r="P11" s="9" t="n">
        <v>10.3</v>
      </c>
      <c r="Q11" s="13" t="n">
        <f aca="false">IF(P11-O11=0,"",(F11-O11)/(P11-O11))</f>
        <v>0.548387096774192</v>
      </c>
      <c r="R11" s="14" t="n">
        <f aca="false">IF(P11=0,"",F11/P11-1)</f>
        <v>-0.0135922330097088</v>
      </c>
      <c r="S11" s="8" t="s">
        <v>87</v>
      </c>
      <c r="T11" s="8" t="s">
        <v>88</v>
      </c>
      <c r="U11" s="15" t="n">
        <v>46288.771875</v>
      </c>
    </row>
    <row r="12" customFormat="false" ht="15" hidden="false" customHeight="false" outlineLevel="0" collapsed="false">
      <c r="A12" s="8" t="s">
        <v>89</v>
      </c>
      <c r="B12" s="8" t="s">
        <v>90</v>
      </c>
      <c r="C12" s="8" t="s">
        <v>21</v>
      </c>
      <c r="D12" s="8" t="s">
        <v>53</v>
      </c>
      <c r="E12" s="8" t="s">
        <v>54</v>
      </c>
      <c r="F12" s="9" t="n">
        <v>106.07</v>
      </c>
      <c r="G12" s="10" t="n">
        <v>-0.03</v>
      </c>
      <c r="H12" s="11" t="n">
        <v>-0.0003</v>
      </c>
      <c r="I12" s="9" t="n">
        <v>106.4</v>
      </c>
      <c r="J12" s="9" t="n">
        <v>105.88</v>
      </c>
      <c r="K12" s="9" t="n">
        <v>106.41</v>
      </c>
      <c r="L12" s="9" t="n">
        <v>106.3</v>
      </c>
      <c r="M12" s="12" t="n">
        <v>3061</v>
      </c>
      <c r="N12" s="12" t="n">
        <f aca="false">F12*M12</f>
        <v>324680.27</v>
      </c>
      <c r="O12" s="9" t="n">
        <v>99.33</v>
      </c>
      <c r="P12" s="9" t="n">
        <v>107.96</v>
      </c>
      <c r="Q12" s="13" t="n">
        <f aca="false">IF(P12-O12=0,"",(F12-O12)/(P12-O12))</f>
        <v>0.780996523754345</v>
      </c>
      <c r="R12" s="14" t="n">
        <f aca="false">IF(P12=0,"",F12/P12-1)</f>
        <v>-0.0175064838829196</v>
      </c>
      <c r="S12" s="8" t="s">
        <v>54</v>
      </c>
      <c r="T12" s="8" t="s">
        <v>91</v>
      </c>
      <c r="U12" s="15" t="n">
        <v>46288.771875</v>
      </c>
    </row>
    <row r="13" customFormat="false" ht="15" hidden="false" customHeight="false" outlineLevel="0" collapsed="false">
      <c r="A13" s="8" t="s">
        <v>92</v>
      </c>
      <c r="B13" s="8" t="s">
        <v>93</v>
      </c>
      <c r="C13" s="8" t="s">
        <v>22</v>
      </c>
      <c r="D13" s="8" t="s">
        <v>71</v>
      </c>
      <c r="E13" s="8" t="s">
        <v>54</v>
      </c>
      <c r="F13" s="9" t="n">
        <v>12.6</v>
      </c>
      <c r="G13" s="10" t="n">
        <v>0.01</v>
      </c>
      <c r="H13" s="11" t="n">
        <v>0.0008</v>
      </c>
      <c r="I13" s="9" t="n">
        <v>12.76</v>
      </c>
      <c r="J13" s="9" t="n">
        <v>12.6</v>
      </c>
      <c r="K13" s="9" t="n">
        <v>12.86</v>
      </c>
      <c r="L13" s="9" t="n">
        <v>12.67</v>
      </c>
      <c r="M13" s="12" t="n">
        <v>938</v>
      </c>
      <c r="N13" s="12" t="n">
        <f aca="false">F13*M13</f>
        <v>11818.8</v>
      </c>
      <c r="O13" s="9" t="n">
        <v>7.55</v>
      </c>
      <c r="P13" s="9" t="n">
        <v>14.7</v>
      </c>
      <c r="Q13" s="13" t="n">
        <f aca="false">IF(P13-O13=0,"",(F13-O13)/(P13-O13))</f>
        <v>0.706293706293706</v>
      </c>
      <c r="R13" s="14" t="n">
        <f aca="false">IF(P13=0,"",F13/P13-1)</f>
        <v>-0.142857142857143</v>
      </c>
      <c r="S13" s="8" t="s">
        <v>54</v>
      </c>
      <c r="T13" s="8" t="s">
        <v>94</v>
      </c>
      <c r="U13" s="15" t="n">
        <v>46288.771875</v>
      </c>
    </row>
    <row r="14" customFormat="false" ht="15" hidden="false" customHeight="false" outlineLevel="0" collapsed="false">
      <c r="A14" s="8" t="s">
        <v>95</v>
      </c>
      <c r="B14" s="8" t="s">
        <v>96</v>
      </c>
      <c r="C14" s="8" t="s">
        <v>21</v>
      </c>
      <c r="D14" s="8" t="s">
        <v>53</v>
      </c>
      <c r="E14" s="8" t="s">
        <v>54</v>
      </c>
      <c r="F14" s="9" t="n">
        <v>110.66</v>
      </c>
      <c r="G14" s="10" t="n">
        <v>0.11</v>
      </c>
      <c r="H14" s="11" t="n">
        <v>0.001</v>
      </c>
      <c r="I14" s="9" t="n">
        <v>110.69</v>
      </c>
      <c r="J14" s="9" t="n">
        <v>110.6</v>
      </c>
      <c r="K14" s="9" t="n">
        <v>110.7</v>
      </c>
      <c r="L14" s="9" t="n">
        <v>110.67</v>
      </c>
      <c r="M14" s="12" t="n">
        <v>111888</v>
      </c>
      <c r="N14" s="12" t="n">
        <f aca="false">F14*M14</f>
        <v>12381526.08</v>
      </c>
      <c r="O14" s="9" t="n">
        <v>100.09</v>
      </c>
      <c r="P14" s="9" t="n">
        <v>110.7</v>
      </c>
      <c r="Q14" s="13" t="n">
        <f aca="false">IF(P14-O14=0,"",(F14-O14)/(P14-O14))</f>
        <v>0.996229971724787</v>
      </c>
      <c r="R14" s="14" t="n">
        <f aca="false">IF(P14=0,"",F14/P14-1)</f>
        <v>-0.000361336946702817</v>
      </c>
      <c r="S14" s="8" t="s">
        <v>54</v>
      </c>
      <c r="T14" s="8" t="s">
        <v>97</v>
      </c>
      <c r="U14" s="15" t="n">
        <v>46288.771875</v>
      </c>
    </row>
    <row r="15" customFormat="false" ht="15" hidden="false" customHeight="false" outlineLevel="0" collapsed="false">
      <c r="A15" s="8" t="s">
        <v>98</v>
      </c>
      <c r="B15" s="8" t="s">
        <v>99</v>
      </c>
      <c r="C15" s="8" t="s">
        <v>24</v>
      </c>
      <c r="D15" s="8" t="s">
        <v>100</v>
      </c>
      <c r="E15" s="8" t="s">
        <v>54</v>
      </c>
      <c r="F15" s="9" t="n">
        <v>93.85</v>
      </c>
      <c r="G15" s="10" t="n">
        <v>-0.65</v>
      </c>
      <c r="H15" s="11" t="n">
        <v>-0.0069</v>
      </c>
      <c r="I15" s="9" t="n">
        <v>94.5</v>
      </c>
      <c r="J15" s="9" t="n">
        <v>93.34</v>
      </c>
      <c r="K15" s="9" t="n">
        <v>94.5</v>
      </c>
      <c r="L15" s="9" t="n">
        <v>93.85</v>
      </c>
      <c r="M15" s="12" t="n">
        <v>4510</v>
      </c>
      <c r="N15" s="12" t="n">
        <f aca="false">F15*M15</f>
        <v>423263.5</v>
      </c>
      <c r="O15" s="9" t="n">
        <v>89.99</v>
      </c>
      <c r="P15" s="9" t="n">
        <v>124.98</v>
      </c>
      <c r="Q15" s="13" t="n">
        <f aca="false">IF(P15-O15=0,"",(F15-O15)/(P15-O15))</f>
        <v>0.110317233495284</v>
      </c>
      <c r="R15" s="14" t="n">
        <f aca="false">IF(P15=0,"",F15/P15-1)</f>
        <v>-0.249079852776444</v>
      </c>
      <c r="S15" s="8" t="s">
        <v>54</v>
      </c>
      <c r="T15" s="8" t="s">
        <v>101</v>
      </c>
      <c r="U15" s="15" t="n">
        <v>46288.771875</v>
      </c>
    </row>
    <row r="16" customFormat="false" ht="15" hidden="false" customHeight="false" outlineLevel="0" collapsed="false">
      <c r="A16" s="8" t="s">
        <v>102</v>
      </c>
      <c r="B16" s="8" t="s">
        <v>103</v>
      </c>
      <c r="C16" s="8" t="s">
        <v>20</v>
      </c>
      <c r="D16" s="8" t="s">
        <v>79</v>
      </c>
      <c r="E16" s="8" t="s">
        <v>54</v>
      </c>
      <c r="F16" s="9" t="n">
        <v>131.45</v>
      </c>
      <c r="G16" s="10" t="n">
        <v>-0.73</v>
      </c>
      <c r="H16" s="11" t="n">
        <v>-0.0055</v>
      </c>
      <c r="I16" s="9" t="n">
        <v>130.61</v>
      </c>
      <c r="J16" s="9" t="n">
        <v>130.61</v>
      </c>
      <c r="K16" s="9" t="n">
        <v>133.73</v>
      </c>
      <c r="L16" s="9" t="n">
        <v>131.03</v>
      </c>
      <c r="M16" s="12" t="n">
        <v>12071</v>
      </c>
      <c r="N16" s="12" t="n">
        <f aca="false">F16*M16</f>
        <v>1586732.95</v>
      </c>
      <c r="O16" s="9" t="n">
        <v>99.74</v>
      </c>
      <c r="P16" s="9" t="n">
        <v>139.99</v>
      </c>
      <c r="Q16" s="13" t="n">
        <f aca="false">IF(P16-O16=0,"",(F16-O16)/(P16-O16))</f>
        <v>0.787826086956521</v>
      </c>
      <c r="R16" s="14" t="n">
        <f aca="false">IF(P16=0,"",F16/P16-1)</f>
        <v>-0.061004357454104</v>
      </c>
      <c r="S16" s="8" t="s">
        <v>54</v>
      </c>
      <c r="T16" s="8" t="s">
        <v>104</v>
      </c>
      <c r="U16" s="15" t="n">
        <v>46288.771875</v>
      </c>
    </row>
    <row r="17" customFormat="false" ht="15" hidden="false" customHeight="false" outlineLevel="0" collapsed="false">
      <c r="A17" s="8" t="s">
        <v>105</v>
      </c>
      <c r="B17" s="8" t="s">
        <v>106</v>
      </c>
      <c r="C17" s="8" t="s">
        <v>20</v>
      </c>
      <c r="D17" s="8" t="s">
        <v>79</v>
      </c>
      <c r="E17" s="8" t="s">
        <v>54</v>
      </c>
      <c r="F17" s="9" t="n">
        <v>63.35</v>
      </c>
      <c r="G17" s="10" t="n">
        <v>-0.15</v>
      </c>
      <c r="H17" s="11" t="n">
        <v>-0.0024</v>
      </c>
      <c r="I17" s="9" t="n">
        <v>63.94</v>
      </c>
      <c r="J17" s="9" t="n">
        <v>63.35</v>
      </c>
      <c r="K17" s="9" t="n">
        <v>63.94</v>
      </c>
      <c r="L17" s="9" t="n">
        <v>63.35</v>
      </c>
      <c r="M17" s="12" t="n">
        <v>115</v>
      </c>
      <c r="N17" s="12" t="n">
        <f aca="false">F17*M17</f>
        <v>7285.25</v>
      </c>
      <c r="O17" s="9" t="n">
        <v>52.92</v>
      </c>
      <c r="P17" s="9" t="n">
        <v>68.27</v>
      </c>
      <c r="Q17" s="13" t="n">
        <f aca="false">IF(P17-O17=0,"",(F17-O17)/(P17-O17))</f>
        <v>0.679478827361564</v>
      </c>
      <c r="R17" s="14" t="n">
        <f aca="false">IF(P17=0,"",F17/P17-1)</f>
        <v>-0.072066793613593</v>
      </c>
      <c r="S17" s="8" t="s">
        <v>54</v>
      </c>
      <c r="T17" s="8" t="s">
        <v>107</v>
      </c>
      <c r="U17" s="15" t="n">
        <v>46288.771875</v>
      </c>
    </row>
    <row r="18" customFormat="false" ht="15" hidden="false" customHeight="false" outlineLevel="0" collapsed="false">
      <c r="A18" s="8" t="s">
        <v>108</v>
      </c>
      <c r="B18" s="8" t="s">
        <v>109</v>
      </c>
      <c r="C18" s="8" t="s">
        <v>21</v>
      </c>
      <c r="D18" s="8" t="s">
        <v>53</v>
      </c>
      <c r="E18" s="8" t="s">
        <v>54</v>
      </c>
      <c r="F18" s="9" t="n">
        <v>134.96</v>
      </c>
      <c r="G18" s="10" t="n">
        <v>0.26</v>
      </c>
      <c r="H18" s="11" t="n">
        <v>0.0019</v>
      </c>
      <c r="I18" s="9" t="n">
        <v>134.99</v>
      </c>
      <c r="J18" s="9" t="n">
        <v>134.71</v>
      </c>
      <c r="K18" s="9" t="n">
        <v>135.28</v>
      </c>
      <c r="L18" s="9" t="n">
        <v>134.77</v>
      </c>
      <c r="M18" s="12" t="n">
        <v>4062</v>
      </c>
      <c r="N18" s="12" t="n">
        <f aca="false">F18*M18</f>
        <v>548207.52</v>
      </c>
      <c r="O18" s="9" t="n">
        <v>118.65</v>
      </c>
      <c r="P18" s="9" t="n">
        <v>135.28</v>
      </c>
      <c r="Q18" s="13" t="n">
        <f aca="false">IF(P18-O18=0,"",(F18-O18)/(P18-O18))</f>
        <v>0.980757666867108</v>
      </c>
      <c r="R18" s="14" t="n">
        <f aca="false">IF(P18=0,"",F18/P18-1)</f>
        <v>-0.00236546422235362</v>
      </c>
      <c r="S18" s="8" t="s">
        <v>54</v>
      </c>
      <c r="T18" s="8" t="s">
        <v>110</v>
      </c>
      <c r="U18" s="15" t="n">
        <v>46288.771875</v>
      </c>
    </row>
    <row r="19" customFormat="false" ht="15" hidden="false" customHeight="false" outlineLevel="0" collapsed="false">
      <c r="A19" s="8" t="s">
        <v>111</v>
      </c>
      <c r="B19" s="8" t="s">
        <v>112</v>
      </c>
      <c r="C19" s="8" t="s">
        <v>21</v>
      </c>
      <c r="D19" s="8" t="s">
        <v>53</v>
      </c>
      <c r="E19" s="8" t="s">
        <v>54</v>
      </c>
      <c r="F19" s="9" t="n">
        <v>112.4</v>
      </c>
      <c r="G19" s="10" t="n">
        <v>0</v>
      </c>
      <c r="H19" s="11" t="n">
        <v>0</v>
      </c>
      <c r="I19" s="9" t="n">
        <v>112.63</v>
      </c>
      <c r="J19" s="9" t="n">
        <v>112.38</v>
      </c>
      <c r="K19" s="9" t="n">
        <v>112.67</v>
      </c>
      <c r="L19" s="9" t="n">
        <v>112.44</v>
      </c>
      <c r="M19" s="12" t="n">
        <v>109661</v>
      </c>
      <c r="N19" s="12" t="n">
        <f aca="false">F19*M19</f>
        <v>12325896.4</v>
      </c>
      <c r="O19" s="9" t="n">
        <v>98.45</v>
      </c>
      <c r="P19" s="9" t="n">
        <v>112.76</v>
      </c>
      <c r="Q19" s="13" t="n">
        <f aca="false">IF(P19-O19=0,"",(F19-O19)/(P19-O19))</f>
        <v>0.974842767295598</v>
      </c>
      <c r="R19" s="14" t="n">
        <f aca="false">IF(P19=0,"",F19/P19-1)</f>
        <v>-0.00319262149698474</v>
      </c>
      <c r="S19" s="8" t="s">
        <v>54</v>
      </c>
      <c r="T19" s="8" t="s">
        <v>113</v>
      </c>
      <c r="U19" s="15" t="n">
        <v>46288.771875</v>
      </c>
    </row>
    <row r="20" customFormat="false" ht="15" hidden="false" customHeight="false" outlineLevel="0" collapsed="false">
      <c r="A20" s="8" t="s">
        <v>114</v>
      </c>
      <c r="B20" s="8" t="s">
        <v>115</v>
      </c>
      <c r="C20" s="8" t="s">
        <v>24</v>
      </c>
      <c r="D20" s="8" t="s">
        <v>100</v>
      </c>
      <c r="E20" s="8" t="s">
        <v>54</v>
      </c>
      <c r="F20" s="9" t="n">
        <v>11.93</v>
      </c>
      <c r="G20" s="10" t="n">
        <v>-0.07</v>
      </c>
      <c r="H20" s="11" t="n">
        <v>-0.0058</v>
      </c>
      <c r="I20" s="9" t="n">
        <v>12.15</v>
      </c>
      <c r="J20" s="9" t="n">
        <v>11.9</v>
      </c>
      <c r="K20" s="9" t="n">
        <v>12.19</v>
      </c>
      <c r="L20" s="9" t="n">
        <v>11.99</v>
      </c>
      <c r="M20" s="12" t="n">
        <v>12403</v>
      </c>
      <c r="N20" s="12" t="n">
        <f aca="false">F20*M20</f>
        <v>147967.79</v>
      </c>
      <c r="O20" s="9" t="n">
        <v>9.21</v>
      </c>
      <c r="P20" s="9" t="n">
        <v>12.99</v>
      </c>
      <c r="Q20" s="13" t="n">
        <f aca="false">IF(P20-O20=0,"",(F20-O20)/(P20-O20))</f>
        <v>0.719576719576719</v>
      </c>
      <c r="R20" s="14" t="n">
        <f aca="false">IF(P20=0,"",F20/P20-1)</f>
        <v>-0.0816012317167052</v>
      </c>
      <c r="S20" s="8" t="s">
        <v>54</v>
      </c>
      <c r="T20" s="8" t="s">
        <v>116</v>
      </c>
      <c r="U20" s="15" t="n">
        <v>46288.771875</v>
      </c>
    </row>
    <row r="21" customFormat="false" ht="15" hidden="false" customHeight="false" outlineLevel="0" collapsed="false">
      <c r="A21" s="8" t="s">
        <v>117</v>
      </c>
      <c r="B21" s="8" t="s">
        <v>118</v>
      </c>
      <c r="C21" s="8" t="s">
        <v>20</v>
      </c>
      <c r="D21" s="8" t="s">
        <v>79</v>
      </c>
      <c r="E21" s="8" t="s">
        <v>54</v>
      </c>
      <c r="F21" s="9" t="n">
        <v>97.8</v>
      </c>
      <c r="G21" s="10" t="n">
        <v>-0.83</v>
      </c>
      <c r="H21" s="11" t="n">
        <v>-0.0084</v>
      </c>
      <c r="I21" s="9" t="n">
        <v>97.5</v>
      </c>
      <c r="J21" s="9" t="n">
        <v>97.5</v>
      </c>
      <c r="K21" s="9" t="n">
        <v>99.12</v>
      </c>
      <c r="L21" s="9" t="n">
        <v>97.71</v>
      </c>
      <c r="M21" s="12" t="n">
        <v>47862</v>
      </c>
      <c r="N21" s="12" t="n">
        <f aca="false">F21*M21</f>
        <v>4680903.6</v>
      </c>
      <c r="O21" s="9" t="n">
        <v>73.32</v>
      </c>
      <c r="P21" s="9" t="n">
        <v>104.8</v>
      </c>
      <c r="Q21" s="13" t="n">
        <f aca="false">IF(P21-O21=0,"",(F21-O21)/(P21-O21))</f>
        <v>0.777636594663278</v>
      </c>
      <c r="R21" s="14" t="n">
        <f aca="false">IF(P21=0,"",F21/P21-1)</f>
        <v>-0.066793893129771</v>
      </c>
      <c r="S21" s="8" t="s">
        <v>54</v>
      </c>
      <c r="T21" s="8" t="s">
        <v>119</v>
      </c>
      <c r="U21" s="15" t="n">
        <v>46288.771875</v>
      </c>
    </row>
    <row r="22" customFormat="false" ht="15" hidden="false" customHeight="false" outlineLevel="0" collapsed="false">
      <c r="A22" s="8" t="s">
        <v>120</v>
      </c>
      <c r="B22" s="8" t="s">
        <v>121</v>
      </c>
      <c r="C22" s="8" t="s">
        <v>20</v>
      </c>
      <c r="D22" s="8" t="s">
        <v>79</v>
      </c>
      <c r="E22" s="8" t="s">
        <v>54</v>
      </c>
      <c r="F22" s="9" t="n">
        <v>135.47</v>
      </c>
      <c r="G22" s="10" t="n">
        <v>-1.13</v>
      </c>
      <c r="H22" s="11" t="n">
        <v>-0.0083</v>
      </c>
      <c r="I22" s="9" t="n">
        <v>133.87</v>
      </c>
      <c r="J22" s="9" t="n">
        <v>133.87</v>
      </c>
      <c r="K22" s="9" t="n">
        <v>137.02</v>
      </c>
      <c r="L22" s="9" t="n">
        <v>135.47</v>
      </c>
      <c r="M22" s="12" t="n">
        <v>11</v>
      </c>
      <c r="N22" s="12" t="n">
        <f aca="false">F22*M22</f>
        <v>1490.17</v>
      </c>
      <c r="O22" s="9" t="n">
        <v>114.72</v>
      </c>
      <c r="P22" s="9" t="n">
        <v>155.02</v>
      </c>
      <c r="Q22" s="13" t="n">
        <f aca="false">IF(P22-O22=0,"",(F22-O22)/(P22-O22))</f>
        <v>0.514888337468982</v>
      </c>
      <c r="R22" s="14" t="n">
        <f aca="false">IF(P22=0,"",F22/P22-1)</f>
        <v>-0.126112759643917</v>
      </c>
      <c r="S22" s="8" t="s">
        <v>54</v>
      </c>
      <c r="T22" s="8" t="s">
        <v>122</v>
      </c>
      <c r="U22" s="15" t="n">
        <v>46288.771875</v>
      </c>
    </row>
    <row r="23" customFormat="false" ht="15" hidden="false" customHeight="false" outlineLevel="0" collapsed="false">
      <c r="A23" s="8" t="s">
        <v>123</v>
      </c>
      <c r="B23" s="8" t="s">
        <v>124</v>
      </c>
      <c r="C23" s="8" t="s">
        <v>20</v>
      </c>
      <c r="D23" s="8" t="s">
        <v>79</v>
      </c>
      <c r="E23" s="8" t="s">
        <v>54</v>
      </c>
      <c r="F23" s="9" t="n">
        <v>137.47</v>
      </c>
      <c r="G23" s="10" t="n">
        <v>-1.44</v>
      </c>
      <c r="H23" s="11" t="n">
        <v>-0.0104</v>
      </c>
      <c r="I23" s="9" t="n">
        <v>137.8</v>
      </c>
      <c r="J23" s="9" t="n">
        <v>137.47</v>
      </c>
      <c r="K23" s="9" t="n">
        <v>137.8</v>
      </c>
      <c r="L23" s="9" t="n">
        <v>137.54</v>
      </c>
      <c r="M23" s="12" t="n">
        <v>105</v>
      </c>
      <c r="N23" s="12" t="n">
        <f aca="false">F23*M23</f>
        <v>14434.35</v>
      </c>
      <c r="O23" s="9" t="n">
        <v>118.49</v>
      </c>
      <c r="P23" s="9" t="n">
        <v>150.67</v>
      </c>
      <c r="Q23" s="13" t="n">
        <f aca="false">IF(P23-O23=0,"",(F23-O23)/(P23-O23))</f>
        <v>0.58980733374767</v>
      </c>
      <c r="R23" s="14" t="n">
        <f aca="false">IF(P23=0,"",F23/P23-1)</f>
        <v>-0.0876086812238667</v>
      </c>
      <c r="S23" s="8" t="s">
        <v>54</v>
      </c>
      <c r="T23" s="8" t="s">
        <v>125</v>
      </c>
      <c r="U23" s="15" t="n">
        <v>46288.771875</v>
      </c>
    </row>
    <row r="24" customFormat="false" ht="15" hidden="false" customHeight="false" outlineLevel="0" collapsed="false">
      <c r="A24" s="8" t="s">
        <v>126</v>
      </c>
      <c r="B24" s="8" t="s">
        <v>127</v>
      </c>
      <c r="C24" s="8" t="s">
        <v>21</v>
      </c>
      <c r="D24" s="8" t="s">
        <v>53</v>
      </c>
      <c r="E24" s="8" t="s">
        <v>54</v>
      </c>
      <c r="F24" s="9" t="n">
        <v>13.24</v>
      </c>
      <c r="G24" s="10" t="n">
        <v>0</v>
      </c>
      <c r="H24" s="11" t="n">
        <v>0</v>
      </c>
      <c r="I24" s="9" t="n">
        <v>13.18</v>
      </c>
      <c r="J24" s="9" t="n">
        <v>13.18</v>
      </c>
      <c r="K24" s="9" t="n">
        <v>13.25</v>
      </c>
      <c r="L24" s="9" t="n">
        <v>13.23</v>
      </c>
      <c r="M24" s="12" t="n">
        <v>1020</v>
      </c>
      <c r="N24" s="12" t="n">
        <f aca="false">F24*M24</f>
        <v>13504.8</v>
      </c>
      <c r="O24" s="9" t="n">
        <v>11.48</v>
      </c>
      <c r="P24" s="9" t="n">
        <v>13.31</v>
      </c>
      <c r="Q24" s="13" t="n">
        <f aca="false">IF(P24-O24=0,"",(F24-O24)/(P24-O24))</f>
        <v>0.961748633879781</v>
      </c>
      <c r="R24" s="14" t="n">
        <f aca="false">IF(P24=0,"",F24/P24-1)</f>
        <v>-0.00525920360631105</v>
      </c>
      <c r="S24" s="8" t="s">
        <v>54</v>
      </c>
      <c r="T24" s="8" t="s">
        <v>128</v>
      </c>
      <c r="U24" s="15" t="n">
        <v>46288.771875</v>
      </c>
    </row>
    <row r="25" customFormat="false" ht="15" hidden="false" customHeight="false" outlineLevel="0" collapsed="false">
      <c r="A25" s="8" t="s">
        <v>129</v>
      </c>
      <c r="B25" s="8" t="s">
        <v>130</v>
      </c>
      <c r="C25" s="8" t="s">
        <v>20</v>
      </c>
      <c r="D25" s="8" t="s">
        <v>79</v>
      </c>
      <c r="E25" s="8" t="s">
        <v>54</v>
      </c>
      <c r="F25" s="9" t="n">
        <v>168.54</v>
      </c>
      <c r="G25" s="10" t="n">
        <v>-2.86</v>
      </c>
      <c r="H25" s="11" t="n">
        <v>-0.0167</v>
      </c>
      <c r="I25" s="9" t="n">
        <v>168.54</v>
      </c>
      <c r="J25" s="9" t="n">
        <v>168.54</v>
      </c>
      <c r="K25" s="9" t="n">
        <v>168.54</v>
      </c>
      <c r="L25" s="9" t="n">
        <v>170.01</v>
      </c>
      <c r="M25" s="12" t="n">
        <v>100</v>
      </c>
      <c r="N25" s="12" t="n">
        <f aca="false">F25*M25</f>
        <v>16854</v>
      </c>
      <c r="O25" s="9" t="n">
        <v>138.94</v>
      </c>
      <c r="P25" s="9" t="n">
        <v>190.01</v>
      </c>
      <c r="Q25" s="13" t="n">
        <f aca="false">IF(P25-O25=0,"",(F25-O25)/(P25-O25))</f>
        <v>0.579596632073624</v>
      </c>
      <c r="R25" s="14" t="n">
        <f aca="false">IF(P25=0,"",F25/P25-1)</f>
        <v>-0.112994052944582</v>
      </c>
      <c r="S25" s="8" t="s">
        <v>54</v>
      </c>
      <c r="T25" s="8" t="s">
        <v>131</v>
      </c>
      <c r="U25" s="15" t="n">
        <v>46288.771875</v>
      </c>
    </row>
    <row r="26" customFormat="false" ht="15" hidden="false" customHeight="false" outlineLevel="0" collapsed="false">
      <c r="A26" s="8" t="s">
        <v>132</v>
      </c>
      <c r="B26" s="8" t="s">
        <v>133</v>
      </c>
      <c r="C26" s="8" t="s">
        <v>20</v>
      </c>
      <c r="D26" s="8" t="s">
        <v>79</v>
      </c>
      <c r="E26" s="8" t="s">
        <v>54</v>
      </c>
      <c r="F26" s="9" t="n">
        <v>139.08</v>
      </c>
      <c r="G26" s="10" t="n">
        <v>-1.48</v>
      </c>
      <c r="H26" s="11" t="n">
        <v>-0.0105</v>
      </c>
      <c r="I26" s="9" t="n">
        <v>141.39</v>
      </c>
      <c r="J26" s="9" t="n">
        <v>138.89</v>
      </c>
      <c r="K26" s="9" t="n">
        <v>141.39</v>
      </c>
      <c r="L26" s="9" t="n">
        <v>138.89</v>
      </c>
      <c r="M26" s="12" t="n">
        <v>91667</v>
      </c>
      <c r="N26" s="12" t="n">
        <f aca="false">F26*M26</f>
        <v>12749046.36</v>
      </c>
      <c r="O26" s="9" t="n">
        <v>118.25</v>
      </c>
      <c r="P26" s="9" t="n">
        <v>154.54</v>
      </c>
      <c r="Q26" s="13" t="n">
        <f aca="false">IF(P26-O26=0,"",(F26-O26)/(P26-O26))</f>
        <v>0.573987324331772</v>
      </c>
      <c r="R26" s="14" t="n">
        <f aca="false">IF(P26=0,"",F26/P26-1)</f>
        <v>-0.100038824899702</v>
      </c>
      <c r="S26" s="8" t="s">
        <v>54</v>
      </c>
      <c r="T26" s="8" t="s">
        <v>134</v>
      </c>
      <c r="U26" s="15" t="n">
        <v>46288.771875</v>
      </c>
    </row>
    <row r="27" customFormat="false" ht="15" hidden="false" customHeight="false" outlineLevel="0" collapsed="false">
      <c r="A27" s="8" t="s">
        <v>135</v>
      </c>
      <c r="B27" s="8" t="s">
        <v>136</v>
      </c>
      <c r="C27" s="8" t="s">
        <v>20</v>
      </c>
      <c r="D27" s="8" t="s">
        <v>79</v>
      </c>
      <c r="E27" s="8" t="s">
        <v>54</v>
      </c>
      <c r="F27" s="9" t="n">
        <v>116.6</v>
      </c>
      <c r="G27" s="10" t="n">
        <v>-1.94</v>
      </c>
      <c r="H27" s="11" t="n">
        <v>-0.0164</v>
      </c>
      <c r="I27" s="9" t="n">
        <v>117.9</v>
      </c>
      <c r="J27" s="9" t="n">
        <v>116.5</v>
      </c>
      <c r="K27" s="9" t="n">
        <v>118.61</v>
      </c>
      <c r="L27" s="9" t="n">
        <v>116.93</v>
      </c>
      <c r="M27" s="12" t="n">
        <v>2976</v>
      </c>
      <c r="N27" s="12" t="n">
        <f aca="false">F27*M27</f>
        <v>347001.6</v>
      </c>
      <c r="O27" s="9" t="n">
        <v>99.89</v>
      </c>
      <c r="P27" s="9" t="n">
        <v>134</v>
      </c>
      <c r="Q27" s="13" t="n">
        <f aca="false">IF(P27-O27=0,"",(F27-O27)/(P27-O27))</f>
        <v>0.489885664028144</v>
      </c>
      <c r="R27" s="14" t="n">
        <f aca="false">IF(P27=0,"",F27/P27-1)</f>
        <v>-0.129850746268657</v>
      </c>
      <c r="S27" s="8" t="s">
        <v>54</v>
      </c>
      <c r="T27" s="8" t="s">
        <v>137</v>
      </c>
      <c r="U27" s="15" t="n">
        <v>46288.771875</v>
      </c>
    </row>
    <row r="28" customFormat="false" ht="15" hidden="false" customHeight="false" outlineLevel="0" collapsed="false">
      <c r="A28" s="8" t="s">
        <v>138</v>
      </c>
      <c r="B28" s="8" t="s">
        <v>139</v>
      </c>
      <c r="C28" s="8" t="s">
        <v>23</v>
      </c>
      <c r="D28" s="8" t="s">
        <v>67</v>
      </c>
      <c r="E28" s="8" t="s">
        <v>54</v>
      </c>
      <c r="F28" s="9" t="n">
        <v>70.99</v>
      </c>
      <c r="G28" s="10" t="n">
        <v>-0.56</v>
      </c>
      <c r="H28" s="11" t="n">
        <v>-0.0078</v>
      </c>
      <c r="I28" s="9" t="n">
        <v>71.56</v>
      </c>
      <c r="J28" s="9" t="n">
        <v>70.62</v>
      </c>
      <c r="K28" s="9" t="n">
        <v>73.08</v>
      </c>
      <c r="L28" s="9" t="n">
        <v>73.08</v>
      </c>
      <c r="M28" s="12" t="n">
        <v>2366</v>
      </c>
      <c r="N28" s="12" t="n">
        <f aca="false">F28*M28</f>
        <v>167962.34</v>
      </c>
      <c r="O28" s="9" t="n">
        <v>49.45</v>
      </c>
      <c r="P28" s="9" t="n">
        <v>109.15</v>
      </c>
      <c r="Q28" s="13" t="n">
        <f aca="false">IF(P28-O28=0,"",(F28-O28)/(P28-O28))</f>
        <v>0.360804020100502</v>
      </c>
      <c r="R28" s="14" t="n">
        <f aca="false">IF(P28=0,"",F28/P28-1)</f>
        <v>-0.349610627576729</v>
      </c>
      <c r="S28" s="8" t="s">
        <v>54</v>
      </c>
      <c r="T28" s="8" t="s">
        <v>140</v>
      </c>
      <c r="U28" s="15" t="n">
        <v>46288.771875</v>
      </c>
    </row>
    <row r="29" customFormat="false" ht="15" hidden="false" customHeight="false" outlineLevel="0" collapsed="false">
      <c r="A29" s="8" t="s">
        <v>141</v>
      </c>
      <c r="B29" s="8" t="s">
        <v>142</v>
      </c>
      <c r="C29" s="8" t="s">
        <v>23</v>
      </c>
      <c r="D29" s="8" t="s">
        <v>67</v>
      </c>
      <c r="E29" s="8" t="s">
        <v>54</v>
      </c>
      <c r="F29" s="9" t="n">
        <v>97.61</v>
      </c>
      <c r="G29" s="10" t="n">
        <v>-1.93</v>
      </c>
      <c r="H29" s="11" t="n">
        <v>-0.0194</v>
      </c>
      <c r="I29" s="9" t="n">
        <v>98.75</v>
      </c>
      <c r="J29" s="9" t="n">
        <v>96.5</v>
      </c>
      <c r="K29" s="9" t="n">
        <v>98.99</v>
      </c>
      <c r="L29" s="9" t="n">
        <v>98.16</v>
      </c>
      <c r="M29" s="12" t="n">
        <v>83530</v>
      </c>
      <c r="N29" s="12" t="n">
        <f aca="false">F29*M29</f>
        <v>8153363.3</v>
      </c>
      <c r="O29" s="9" t="n">
        <v>67.85</v>
      </c>
      <c r="P29" s="9" t="n">
        <v>152.22</v>
      </c>
      <c r="Q29" s="13" t="n">
        <f aca="false">IF(P29-O29=0,"",(F29-O29)/(P29-O29))</f>
        <v>0.352732013748963</v>
      </c>
      <c r="R29" s="14" t="n">
        <f aca="false">IF(P29=0,"",F29/P29-1)</f>
        <v>-0.358757062146893</v>
      </c>
      <c r="S29" s="8" t="s">
        <v>54</v>
      </c>
      <c r="T29" s="8" t="s">
        <v>143</v>
      </c>
      <c r="U29" s="15" t="n">
        <v>46288.771875</v>
      </c>
    </row>
    <row r="30" customFormat="false" ht="15" hidden="false" customHeight="false" outlineLevel="0" collapsed="false">
      <c r="A30" s="8" t="s">
        <v>144</v>
      </c>
      <c r="B30" s="8" t="s">
        <v>145</v>
      </c>
      <c r="C30" s="8" t="s">
        <v>23</v>
      </c>
      <c r="D30" s="8" t="s">
        <v>67</v>
      </c>
      <c r="E30" s="8" t="s">
        <v>54</v>
      </c>
      <c r="F30" s="9" t="n">
        <v>38.93</v>
      </c>
      <c r="G30" s="10" t="n">
        <v>-0.39</v>
      </c>
      <c r="H30" s="11" t="n">
        <v>-0.0099</v>
      </c>
      <c r="I30" s="9" t="n">
        <v>38.64</v>
      </c>
      <c r="J30" s="9" t="n">
        <v>38.64</v>
      </c>
      <c r="K30" s="9" t="n">
        <v>39.35</v>
      </c>
      <c r="L30" s="9" t="n">
        <v>38.93</v>
      </c>
      <c r="M30" s="12" t="n">
        <v>6176</v>
      </c>
      <c r="N30" s="12" t="n">
        <f aca="false">F30*M30</f>
        <v>240431.68</v>
      </c>
      <c r="O30" s="9" t="n">
        <v>27.03</v>
      </c>
      <c r="P30" s="9" t="n">
        <v>60.49999939</v>
      </c>
      <c r="Q30" s="13" t="n">
        <f aca="false">IF(P30-O30=0,"",(F30-O30)/(P30-O30))</f>
        <v>0.355542283145527</v>
      </c>
      <c r="R30" s="14" t="n">
        <f aca="false">IF(P30=0,"",F30/P30-1)</f>
        <v>-0.356528919131945</v>
      </c>
      <c r="S30" s="8" t="s">
        <v>54</v>
      </c>
      <c r="T30" s="8" t="s">
        <v>146</v>
      </c>
      <c r="U30" s="15" t="n">
        <v>46288.771875</v>
      </c>
    </row>
    <row r="31" customFormat="false" ht="15" hidden="false" customHeight="false" outlineLevel="0" collapsed="false">
      <c r="A31" s="8" t="s">
        <v>147</v>
      </c>
      <c r="B31" s="8" t="s">
        <v>148</v>
      </c>
      <c r="C31" s="8" t="s">
        <v>22</v>
      </c>
      <c r="D31" s="8" t="s">
        <v>71</v>
      </c>
      <c r="E31" s="8" t="s">
        <v>54</v>
      </c>
      <c r="F31" s="9" t="n">
        <v>77.87</v>
      </c>
      <c r="G31" s="10" t="n">
        <v>0</v>
      </c>
      <c r="H31" s="11" t="n">
        <v>0</v>
      </c>
      <c r="I31" s="9" t="n">
        <v>78.11</v>
      </c>
      <c r="J31" s="9" t="n">
        <v>77.71</v>
      </c>
      <c r="K31" s="9" t="n">
        <v>78.2</v>
      </c>
      <c r="L31" s="9" t="n">
        <v>78.17</v>
      </c>
      <c r="M31" s="12" t="n">
        <v>46</v>
      </c>
      <c r="N31" s="12" t="n">
        <f aca="false">F31*M31</f>
        <v>3582.02</v>
      </c>
      <c r="O31" s="9" t="n">
        <v>69.81</v>
      </c>
      <c r="P31" s="9" t="n">
        <v>96.55</v>
      </c>
      <c r="Q31" s="13" t="n">
        <f aca="false">IF(P31-O31=0,"",(F31-O31)/(P31-O31))</f>
        <v>0.301421091997008</v>
      </c>
      <c r="R31" s="14" t="n">
        <f aca="false">IF(P31=0,"",F31/P31-1)</f>
        <v>-0.193474883480062</v>
      </c>
      <c r="S31" s="8" t="s">
        <v>54</v>
      </c>
      <c r="T31" s="8" t="s">
        <v>149</v>
      </c>
      <c r="U31" s="15" t="n">
        <v>46288.771875</v>
      </c>
    </row>
    <row r="32" customFormat="false" ht="15" hidden="false" customHeight="false" outlineLevel="0" collapsed="false">
      <c r="A32" s="8" t="s">
        <v>150</v>
      </c>
      <c r="B32" s="8" t="s">
        <v>151</v>
      </c>
      <c r="C32" s="8" t="s">
        <v>21</v>
      </c>
      <c r="D32" s="8" t="s">
        <v>53</v>
      </c>
      <c r="E32" s="8" t="s">
        <v>54</v>
      </c>
      <c r="F32" s="9" t="n">
        <v>113.31</v>
      </c>
      <c r="G32" s="10" t="n">
        <v>0.07</v>
      </c>
      <c r="H32" s="11" t="n">
        <v>0.0006</v>
      </c>
      <c r="I32" s="9" t="n">
        <v>112.94</v>
      </c>
      <c r="J32" s="9" t="n">
        <v>112.94</v>
      </c>
      <c r="K32" s="9" t="n">
        <v>113.97</v>
      </c>
      <c r="L32" s="9" t="n">
        <v>113.32</v>
      </c>
      <c r="M32" s="12" t="n">
        <v>7119</v>
      </c>
      <c r="N32" s="12" t="n">
        <f aca="false">F32*M32</f>
        <v>806653.89</v>
      </c>
      <c r="O32" s="9" t="n">
        <v>100.07</v>
      </c>
      <c r="P32" s="9" t="n">
        <v>114.75</v>
      </c>
      <c r="Q32" s="13" t="n">
        <f aca="false">IF(P32-O32=0,"",(F32-O32)/(P32-O32))</f>
        <v>0.901907356948229</v>
      </c>
      <c r="R32" s="14" t="n">
        <f aca="false">IF(P32=0,"",F32/P32-1)</f>
        <v>-0.0125490196078432</v>
      </c>
      <c r="S32" s="8" t="s">
        <v>54</v>
      </c>
      <c r="T32" s="8" t="s">
        <v>152</v>
      </c>
      <c r="U32" s="15" t="n">
        <v>46288.771875</v>
      </c>
    </row>
    <row r="33" customFormat="false" ht="15" hidden="false" customHeight="false" outlineLevel="0" collapsed="false">
      <c r="A33" s="8" t="s">
        <v>153</v>
      </c>
      <c r="B33" s="8" t="s">
        <v>154</v>
      </c>
      <c r="C33" s="8" t="s">
        <v>20</v>
      </c>
      <c r="D33" s="8" t="s">
        <v>79</v>
      </c>
      <c r="E33" s="8" t="s">
        <v>54</v>
      </c>
      <c r="F33" s="9" t="n">
        <v>163.47</v>
      </c>
      <c r="G33" s="10" t="n">
        <v>-1.51</v>
      </c>
      <c r="H33" s="11" t="n">
        <v>-0.0092</v>
      </c>
      <c r="I33" s="9" t="n">
        <v>166.63</v>
      </c>
      <c r="J33" s="9" t="n">
        <v>163.29</v>
      </c>
      <c r="K33" s="9" t="n">
        <v>166.9</v>
      </c>
      <c r="L33" s="9" t="n">
        <v>163.42</v>
      </c>
      <c r="M33" s="12" t="n">
        <v>2564</v>
      </c>
      <c r="N33" s="12" t="n">
        <f aca="false">F33*M33</f>
        <v>419137.08</v>
      </c>
      <c r="O33" s="9" t="n">
        <v>130.75</v>
      </c>
      <c r="P33" s="9" t="n">
        <v>172.45</v>
      </c>
      <c r="Q33" s="13" t="n">
        <f aca="false">IF(P33-O33=0,"",(F33-O33)/(P33-O33))</f>
        <v>0.784652278177458</v>
      </c>
      <c r="R33" s="14" t="n">
        <f aca="false">IF(P33=0,"",F33/P33-1)</f>
        <v>-0.0520730646564221</v>
      </c>
      <c r="S33" s="8" t="s">
        <v>54</v>
      </c>
      <c r="T33" s="8" t="s">
        <v>155</v>
      </c>
      <c r="U33" s="15" t="n">
        <v>46288.771875</v>
      </c>
    </row>
    <row r="34" customFormat="false" ht="15" hidden="false" customHeight="false" outlineLevel="0" collapsed="false">
      <c r="A34" s="8" t="s">
        <v>156</v>
      </c>
      <c r="B34" s="8" t="s">
        <v>157</v>
      </c>
      <c r="C34" s="8" t="s">
        <v>25</v>
      </c>
      <c r="D34" s="8" t="s">
        <v>75</v>
      </c>
      <c r="E34" s="8" t="s">
        <v>54</v>
      </c>
      <c r="F34" s="9" t="n">
        <v>96.93</v>
      </c>
      <c r="G34" s="10" t="n">
        <v>0.54</v>
      </c>
      <c r="H34" s="11" t="n">
        <v>0.0056</v>
      </c>
      <c r="I34" s="9" t="n">
        <v>96.77</v>
      </c>
      <c r="J34" s="9" t="n">
        <v>96.4</v>
      </c>
      <c r="K34" s="9" t="n">
        <v>97.38</v>
      </c>
      <c r="L34" s="9" t="n">
        <v>97.32</v>
      </c>
      <c r="M34" s="12" t="n">
        <v>1451</v>
      </c>
      <c r="N34" s="12" t="n">
        <f aca="false">F34*M34</f>
        <v>140645.43</v>
      </c>
      <c r="O34" s="9" t="n">
        <v>92.8</v>
      </c>
      <c r="P34" s="9" t="n">
        <v>108.43</v>
      </c>
      <c r="Q34" s="13" t="n">
        <f aca="false">IF(P34-O34=0,"",(F34-O34)/(P34-O34))</f>
        <v>0.26423544465771</v>
      </c>
      <c r="R34" s="14" t="n">
        <f aca="false">IF(P34=0,"",F34/P34-1)</f>
        <v>-0.106059208706078</v>
      </c>
      <c r="S34" s="8" t="s">
        <v>54</v>
      </c>
      <c r="T34" s="8" t="s">
        <v>158</v>
      </c>
      <c r="U34" s="15" t="n">
        <v>46288.771875</v>
      </c>
    </row>
    <row r="35" customFormat="false" ht="15" hidden="false" customHeight="false" outlineLevel="0" collapsed="false">
      <c r="A35" s="8" t="s">
        <v>159</v>
      </c>
      <c r="B35" s="8" t="s">
        <v>160</v>
      </c>
      <c r="C35" s="8" t="s">
        <v>20</v>
      </c>
      <c r="D35" s="8" t="s">
        <v>79</v>
      </c>
      <c r="E35" s="8" t="s">
        <v>54</v>
      </c>
      <c r="F35" s="9" t="n">
        <v>51.23</v>
      </c>
      <c r="G35" s="10" t="n">
        <v>-0.75</v>
      </c>
      <c r="H35" s="11" t="n">
        <v>-0.0144</v>
      </c>
      <c r="I35" s="9" t="n">
        <v>52.12</v>
      </c>
      <c r="J35" s="9" t="n">
        <v>51.23</v>
      </c>
      <c r="K35" s="9" t="n">
        <v>52.22</v>
      </c>
      <c r="L35" s="9" t="n">
        <v>51.32</v>
      </c>
      <c r="M35" s="12" t="n">
        <v>1291</v>
      </c>
      <c r="N35" s="12" t="n">
        <f aca="false">F35*M35</f>
        <v>66137.93</v>
      </c>
      <c r="O35" s="9" t="n">
        <v>43.87</v>
      </c>
      <c r="P35" s="9" t="n">
        <v>52.99</v>
      </c>
      <c r="Q35" s="13" t="n">
        <f aca="false">IF(P35-O35=0,"",(F35-O35)/(P35-O35))</f>
        <v>0.807017543859649</v>
      </c>
      <c r="R35" s="14" t="n">
        <f aca="false">IF(P35=0,"",F35/P35-1)</f>
        <v>-0.0332138139271562</v>
      </c>
      <c r="S35" s="8" t="s">
        <v>54</v>
      </c>
      <c r="T35" s="8" t="s">
        <v>161</v>
      </c>
      <c r="U35" s="15" t="n">
        <v>46288.771875</v>
      </c>
    </row>
    <row r="36" customFormat="false" ht="15" hidden="false" customHeight="false" outlineLevel="0" collapsed="false">
      <c r="A36" s="8" t="s">
        <v>162</v>
      </c>
      <c r="B36" s="8" t="s">
        <v>163</v>
      </c>
      <c r="C36" s="8" t="s">
        <v>21</v>
      </c>
      <c r="D36" s="8" t="s">
        <v>53</v>
      </c>
      <c r="E36" s="8" t="s">
        <v>54</v>
      </c>
      <c r="F36" s="9" t="n">
        <v>113.53</v>
      </c>
      <c r="G36" s="10" t="n">
        <v>0.02</v>
      </c>
      <c r="H36" s="11" t="n">
        <v>0.0002</v>
      </c>
      <c r="I36" s="9" t="n">
        <v>113.53</v>
      </c>
      <c r="J36" s="9" t="n">
        <v>113.53</v>
      </c>
      <c r="K36" s="9" t="n">
        <v>113.53</v>
      </c>
      <c r="L36" s="9" t="n">
        <v>113.45</v>
      </c>
      <c r="M36" s="12" t="n">
        <v>2500</v>
      </c>
      <c r="N36" s="12" t="n">
        <f aca="false">F36*M36</f>
        <v>283825</v>
      </c>
      <c r="O36" s="9" t="n">
        <v>100</v>
      </c>
      <c r="P36" s="9" t="n">
        <v>113.72</v>
      </c>
      <c r="Q36" s="13" t="n">
        <f aca="false">IF(P36-O36=0,"",(F36-O36)/(P36-O36))</f>
        <v>0.986151603498543</v>
      </c>
      <c r="R36" s="14" t="n">
        <f aca="false">IF(P36=0,"",F36/P36-1)</f>
        <v>-0.00167077031304963</v>
      </c>
      <c r="S36" s="8" t="s">
        <v>54</v>
      </c>
      <c r="T36" s="8" t="s">
        <v>164</v>
      </c>
      <c r="U36" s="15" t="n">
        <v>46288.771875</v>
      </c>
    </row>
    <row r="37" customFormat="false" ht="15" hidden="false" customHeight="false" outlineLevel="0" collapsed="false">
      <c r="A37" s="8" t="s">
        <v>165</v>
      </c>
      <c r="B37" s="8" t="s">
        <v>166</v>
      </c>
      <c r="C37" s="8" t="s">
        <v>20</v>
      </c>
      <c r="D37" s="8" t="s">
        <v>79</v>
      </c>
      <c r="E37" s="8" t="s">
        <v>54</v>
      </c>
      <c r="F37" s="9" t="n">
        <v>182.86</v>
      </c>
      <c r="G37" s="10" t="n">
        <v>-1.44</v>
      </c>
      <c r="H37" s="11" t="n">
        <v>-0.0078</v>
      </c>
      <c r="I37" s="9" t="n">
        <v>183.06</v>
      </c>
      <c r="J37" s="9" t="n">
        <v>182.71</v>
      </c>
      <c r="K37" s="9" t="n">
        <v>185.9</v>
      </c>
      <c r="L37" s="9" t="n">
        <v>182.79</v>
      </c>
      <c r="M37" s="12" t="n">
        <v>3053965</v>
      </c>
      <c r="N37" s="12" t="n">
        <f aca="false">F37*M37</f>
        <v>558448039.9</v>
      </c>
      <c r="O37" s="9" t="n">
        <v>137.3</v>
      </c>
      <c r="P37" s="9" t="n">
        <v>195.73</v>
      </c>
      <c r="Q37" s="13" t="n">
        <f aca="false">IF(P37-O37=0,"",(F37-O37)/(P37-O37))</f>
        <v>0.779736436761938</v>
      </c>
      <c r="R37" s="14" t="n">
        <f aca="false">IF(P37=0,"",F37/P37-1)</f>
        <v>-0.0657538445818218</v>
      </c>
      <c r="S37" s="8" t="s">
        <v>54</v>
      </c>
      <c r="T37" s="8" t="s">
        <v>167</v>
      </c>
      <c r="U37" s="15" t="n">
        <v>46288.771875</v>
      </c>
    </row>
    <row r="38" customFormat="false" ht="15" hidden="false" customHeight="false" outlineLevel="0" collapsed="false">
      <c r="A38" s="8" t="s">
        <v>168</v>
      </c>
      <c r="B38" s="8" t="s">
        <v>169</v>
      </c>
      <c r="C38" s="8" t="s">
        <v>20</v>
      </c>
      <c r="D38" s="8" t="s">
        <v>79</v>
      </c>
      <c r="E38" s="8" t="s">
        <v>54</v>
      </c>
      <c r="F38" s="9" t="n">
        <v>190.6</v>
      </c>
      <c r="G38" s="10" t="n">
        <v>-1.69</v>
      </c>
      <c r="H38" s="11" t="n">
        <v>-0.0088</v>
      </c>
      <c r="I38" s="9" t="n">
        <v>188.77</v>
      </c>
      <c r="J38" s="9" t="n">
        <v>188.77</v>
      </c>
      <c r="K38" s="9" t="n">
        <v>193.54</v>
      </c>
      <c r="L38" s="9" t="n">
        <v>190.65</v>
      </c>
      <c r="M38" s="12" t="n">
        <v>13655</v>
      </c>
      <c r="N38" s="12" t="n">
        <f aca="false">F38*M38</f>
        <v>2602643</v>
      </c>
      <c r="O38" s="9" t="n">
        <v>143.69</v>
      </c>
      <c r="P38" s="9" t="n">
        <v>203.69</v>
      </c>
      <c r="Q38" s="13" t="n">
        <f aca="false">IF(P38-O38=0,"",(F38-O38)/(P38-O38))</f>
        <v>0.781833333333333</v>
      </c>
      <c r="R38" s="14" t="n">
        <f aca="false">IF(P38=0,"",F38/P38-1)</f>
        <v>-0.0642643232362905</v>
      </c>
      <c r="S38" s="8" t="s">
        <v>54</v>
      </c>
      <c r="T38" s="8" t="s">
        <v>170</v>
      </c>
      <c r="U38" s="15" t="n">
        <v>46288.771875</v>
      </c>
    </row>
    <row r="39" customFormat="false" ht="15" hidden="false" customHeight="false" outlineLevel="0" collapsed="false">
      <c r="A39" s="8" t="s">
        <v>171</v>
      </c>
      <c r="B39" s="8" t="s">
        <v>172</v>
      </c>
      <c r="C39" s="8" t="s">
        <v>20</v>
      </c>
      <c r="D39" s="8" t="s">
        <v>79</v>
      </c>
      <c r="E39" s="8" t="s">
        <v>54</v>
      </c>
      <c r="F39" s="9" t="n">
        <v>143.19</v>
      </c>
      <c r="G39" s="10" t="n">
        <v>-1.21</v>
      </c>
      <c r="H39" s="11" t="n">
        <v>-0.0084</v>
      </c>
      <c r="I39" s="9" t="n">
        <v>143.19</v>
      </c>
      <c r="J39" s="9" t="n">
        <v>143.19</v>
      </c>
      <c r="K39" s="9" t="n">
        <v>143.19</v>
      </c>
      <c r="L39" s="9" t="n">
        <v>143.96</v>
      </c>
      <c r="M39" s="12" t="n">
        <v>1</v>
      </c>
      <c r="N39" s="12" t="n">
        <f aca="false">F39*M39</f>
        <v>143.19</v>
      </c>
      <c r="O39" s="9" t="n">
        <v>108.52</v>
      </c>
      <c r="P39" s="9" t="n">
        <v>155.47</v>
      </c>
      <c r="Q39" s="13" t="n">
        <f aca="false">IF(P39-O39=0,"",(F39-O39)/(P39-O39))</f>
        <v>0.738445154419595</v>
      </c>
      <c r="R39" s="14" t="n">
        <f aca="false">IF(P39=0,"",F39/P39-1)</f>
        <v>-0.0789862996076414</v>
      </c>
      <c r="S39" s="8" t="s">
        <v>54</v>
      </c>
      <c r="T39" s="8" t="s">
        <v>173</v>
      </c>
      <c r="U39" s="15" t="n">
        <v>46288.771875</v>
      </c>
    </row>
    <row r="40" customFormat="false" ht="15" hidden="false" customHeight="false" outlineLevel="0" collapsed="false">
      <c r="A40" s="8" t="s">
        <v>174</v>
      </c>
      <c r="B40" s="8" t="s">
        <v>175</v>
      </c>
      <c r="C40" s="8" t="s">
        <v>20</v>
      </c>
      <c r="D40" s="8" t="s">
        <v>79</v>
      </c>
      <c r="E40" s="8" t="s">
        <v>54</v>
      </c>
      <c r="F40" s="9" t="n">
        <v>191.9</v>
      </c>
      <c r="G40" s="10" t="n">
        <v>-1.7</v>
      </c>
      <c r="H40" s="11" t="n">
        <v>-0.0088</v>
      </c>
      <c r="I40" s="9" t="n">
        <v>192.96</v>
      </c>
      <c r="J40" s="9" t="n">
        <v>191.82</v>
      </c>
      <c r="K40" s="9" t="n">
        <v>194.9</v>
      </c>
      <c r="L40" s="9" t="n">
        <v>192.33</v>
      </c>
      <c r="M40" s="12" t="n">
        <v>248799</v>
      </c>
      <c r="N40" s="12" t="n">
        <f aca="false">F40*M40</f>
        <v>47744528.1</v>
      </c>
      <c r="O40" s="9" t="n">
        <v>143.99</v>
      </c>
      <c r="P40" s="9" t="n">
        <v>205.42</v>
      </c>
      <c r="Q40" s="13" t="n">
        <f aca="false">IF(P40-O40=0,"",(F40-O40)/(P40-O40))</f>
        <v>0.779912095067557</v>
      </c>
      <c r="R40" s="14" t="n">
        <f aca="false">IF(P40=0,"",F40/P40-1)</f>
        <v>-0.0658163762048485</v>
      </c>
      <c r="S40" s="8" t="s">
        <v>54</v>
      </c>
      <c r="T40" s="8" t="s">
        <v>176</v>
      </c>
      <c r="U40" s="15" t="n">
        <v>46288.771875</v>
      </c>
    </row>
    <row r="41" customFormat="false" ht="15" hidden="false" customHeight="false" outlineLevel="0" collapsed="false">
      <c r="A41" s="8" t="s">
        <v>177</v>
      </c>
      <c r="B41" s="8" t="s">
        <v>178</v>
      </c>
      <c r="C41" s="8" t="s">
        <v>20</v>
      </c>
      <c r="D41" s="8" t="s">
        <v>79</v>
      </c>
      <c r="E41" s="8" t="s">
        <v>54</v>
      </c>
      <c r="F41" s="9" t="n">
        <v>19.09</v>
      </c>
      <c r="G41" s="10" t="n">
        <v>-0.17</v>
      </c>
      <c r="H41" s="11" t="n">
        <v>-0.0088</v>
      </c>
      <c r="I41" s="9" t="n">
        <v>19.09</v>
      </c>
      <c r="J41" s="9" t="n">
        <v>19.08</v>
      </c>
      <c r="K41" s="9" t="n">
        <v>19.4</v>
      </c>
      <c r="L41" s="9" t="n">
        <v>19.15</v>
      </c>
      <c r="M41" s="12" t="n">
        <v>508177</v>
      </c>
      <c r="N41" s="12" t="n">
        <f aca="false">F41*M41</f>
        <v>9701098.93</v>
      </c>
      <c r="O41" s="9" t="n">
        <v>14.31</v>
      </c>
      <c r="P41" s="9" t="n">
        <v>20.48</v>
      </c>
      <c r="Q41" s="13" t="n">
        <f aca="false">IF(P41-O41=0,"",(F41-O41)/(P41-O41))</f>
        <v>0.774716369529984</v>
      </c>
      <c r="R41" s="14" t="n">
        <f aca="false">IF(P41=0,"",F41/P41-1)</f>
        <v>-0.06787109375</v>
      </c>
      <c r="S41" s="8" t="s">
        <v>54</v>
      </c>
      <c r="T41" s="8" t="s">
        <v>179</v>
      </c>
      <c r="U41" s="15" t="n">
        <v>46288.771875</v>
      </c>
    </row>
    <row r="42" customFormat="false" ht="15" hidden="false" customHeight="false" outlineLevel="0" collapsed="false">
      <c r="A42" s="8" t="s">
        <v>180</v>
      </c>
      <c r="B42" s="8" t="s">
        <v>181</v>
      </c>
      <c r="C42" s="8" t="s">
        <v>21</v>
      </c>
      <c r="D42" s="8" t="s">
        <v>53</v>
      </c>
      <c r="E42" s="8" t="s">
        <v>54</v>
      </c>
      <c r="F42" s="9" t="n">
        <v>111.84</v>
      </c>
      <c r="G42" s="10" t="n">
        <v>-0.16</v>
      </c>
      <c r="H42" s="11" t="n">
        <v>-0.0014</v>
      </c>
      <c r="I42" s="9" t="n">
        <v>111.98</v>
      </c>
      <c r="J42" s="9" t="n">
        <v>111.84</v>
      </c>
      <c r="K42" s="9" t="n">
        <v>111.98</v>
      </c>
      <c r="L42" s="9" t="n">
        <v>111.95</v>
      </c>
      <c r="M42" s="12" t="n">
        <v>1080</v>
      </c>
      <c r="N42" s="12" t="n">
        <f aca="false">F42*M42</f>
        <v>120787.2</v>
      </c>
      <c r="O42" s="9" t="n">
        <v>100.09</v>
      </c>
      <c r="P42" s="9" t="n">
        <v>112.12</v>
      </c>
      <c r="Q42" s="13" t="n">
        <f aca="false">IF(P42-O42=0,"",(F42-O42)/(P42-O42))</f>
        <v>0.976724854530341</v>
      </c>
      <c r="R42" s="14" t="n">
        <f aca="false">IF(P42=0,"",F42/P42-1)</f>
        <v>-0.00249732429539784</v>
      </c>
      <c r="S42" s="8" t="s">
        <v>54</v>
      </c>
      <c r="T42" s="8" t="s">
        <v>182</v>
      </c>
      <c r="U42" s="15" t="n">
        <v>46288.771875</v>
      </c>
    </row>
    <row r="43" customFormat="false" ht="15" hidden="false" customHeight="false" outlineLevel="0" collapsed="false">
      <c r="A43" s="8" t="s">
        <v>183</v>
      </c>
      <c r="B43" s="8" t="s">
        <v>184</v>
      </c>
      <c r="C43" s="8" t="s">
        <v>20</v>
      </c>
      <c r="D43" s="8" t="s">
        <v>79</v>
      </c>
      <c r="E43" s="8" t="s">
        <v>54</v>
      </c>
      <c r="F43" s="9" t="n">
        <v>155.64</v>
      </c>
      <c r="G43" s="10" t="n">
        <v>-0.82</v>
      </c>
      <c r="H43" s="11" t="n">
        <v>-0.0052</v>
      </c>
      <c r="I43" s="9" t="n">
        <v>155.44</v>
      </c>
      <c r="J43" s="9" t="n">
        <v>155.43</v>
      </c>
      <c r="K43" s="9" t="n">
        <v>157.86</v>
      </c>
      <c r="L43" s="9" t="n">
        <v>155.46</v>
      </c>
      <c r="M43" s="12" t="n">
        <v>3734</v>
      </c>
      <c r="N43" s="12" t="n">
        <f aca="false">F43*M43</f>
        <v>581159.76</v>
      </c>
      <c r="O43" s="9" t="n">
        <v>117.13</v>
      </c>
      <c r="P43" s="9" t="n">
        <v>168.2</v>
      </c>
      <c r="Q43" s="13" t="n">
        <f aca="false">IF(P43-O43=0,"",(F43-O43)/(P43-O43))</f>
        <v>0.754063050714705</v>
      </c>
      <c r="R43" s="14" t="n">
        <f aca="false">IF(P43=0,"",F43/P43-1)</f>
        <v>-0.0746730083234245</v>
      </c>
      <c r="S43" s="8" t="s">
        <v>54</v>
      </c>
      <c r="T43" s="8" t="s">
        <v>185</v>
      </c>
      <c r="U43" s="15" t="n">
        <v>46288.771875</v>
      </c>
    </row>
    <row r="44" customFormat="false" ht="15" hidden="false" customHeight="false" outlineLevel="0" collapsed="false">
      <c r="A44" s="8" t="s">
        <v>186</v>
      </c>
      <c r="B44" s="8" t="s">
        <v>187</v>
      </c>
      <c r="C44" s="8" t="s">
        <v>20</v>
      </c>
      <c r="D44" s="8" t="s">
        <v>79</v>
      </c>
      <c r="E44" s="8" t="s">
        <v>54</v>
      </c>
      <c r="F44" s="9" t="n">
        <v>12.61</v>
      </c>
      <c r="G44" s="10" t="n">
        <v>0.09</v>
      </c>
      <c r="H44" s="11" t="n">
        <v>0.0072</v>
      </c>
      <c r="I44" s="9" t="n">
        <v>12.69</v>
      </c>
      <c r="J44" s="9" t="n">
        <v>12.61</v>
      </c>
      <c r="K44" s="9" t="n">
        <v>12.69</v>
      </c>
      <c r="L44" s="9" t="n">
        <v>12.61</v>
      </c>
      <c r="M44" s="12" t="n">
        <v>6</v>
      </c>
      <c r="N44" s="12" t="n">
        <f aca="false">F44*M44</f>
        <v>75.66</v>
      </c>
      <c r="O44" s="9" t="n">
        <v>10.32</v>
      </c>
      <c r="P44" s="9" t="n">
        <v>13.58</v>
      </c>
      <c r="Q44" s="13" t="n">
        <f aca="false">IF(P44-O44=0,"",(F44-O44)/(P44-O44))</f>
        <v>0.702453987730061</v>
      </c>
      <c r="R44" s="14" t="n">
        <f aca="false">IF(P44=0,"",F44/P44-1)</f>
        <v>-0.0714285714285715</v>
      </c>
      <c r="S44" s="8" t="s">
        <v>54</v>
      </c>
      <c r="T44" s="8" t="s">
        <v>188</v>
      </c>
      <c r="U44" s="15" t="n">
        <v>46288.771875</v>
      </c>
    </row>
    <row r="45" customFormat="false" ht="15" hidden="false" customHeight="false" outlineLevel="0" collapsed="false">
      <c r="A45" s="8" t="s">
        <v>189</v>
      </c>
      <c r="B45" s="8" t="s">
        <v>190</v>
      </c>
      <c r="C45" s="8" t="s">
        <v>20</v>
      </c>
      <c r="D45" s="8" t="s">
        <v>79</v>
      </c>
      <c r="E45" s="8" t="s">
        <v>54</v>
      </c>
      <c r="F45" s="9" t="n">
        <v>147.13</v>
      </c>
      <c r="G45" s="10" t="n">
        <v>-1.85</v>
      </c>
      <c r="H45" s="11" t="n">
        <v>-0.0124</v>
      </c>
      <c r="I45" s="9" t="n">
        <v>147.58</v>
      </c>
      <c r="J45" s="9" t="n">
        <v>147.13</v>
      </c>
      <c r="K45" s="9" t="n">
        <v>149.85</v>
      </c>
      <c r="L45" s="9" t="n">
        <v>147.17</v>
      </c>
      <c r="M45" s="12" t="n">
        <v>186</v>
      </c>
      <c r="N45" s="12" t="n">
        <f aca="false">F45*M45</f>
        <v>27366.18</v>
      </c>
      <c r="O45" s="9" t="n">
        <v>125.24</v>
      </c>
      <c r="P45" s="9" t="n">
        <v>161.19</v>
      </c>
      <c r="Q45" s="13" t="n">
        <f aca="false">IF(P45-O45=0,"",(F45-O45)/(P45-O45))</f>
        <v>0.608901251738526</v>
      </c>
      <c r="R45" s="14" t="n">
        <f aca="false">IF(P45=0,"",F45/P45-1)</f>
        <v>-0.0872262547304423</v>
      </c>
      <c r="S45" s="8" t="s">
        <v>54</v>
      </c>
      <c r="T45" s="8" t="s">
        <v>191</v>
      </c>
      <c r="U45" s="15" t="n">
        <v>46288.771875</v>
      </c>
    </row>
    <row r="46" customFormat="false" ht="15" hidden="false" customHeight="false" outlineLevel="0" collapsed="false">
      <c r="A46" s="8" t="s">
        <v>192</v>
      </c>
      <c r="B46" s="8" t="s">
        <v>193</v>
      </c>
      <c r="C46" s="8" t="s">
        <v>22</v>
      </c>
      <c r="D46" s="8" t="s">
        <v>71</v>
      </c>
      <c r="E46" s="8" t="s">
        <v>54</v>
      </c>
      <c r="F46" s="9" t="n">
        <v>105.07</v>
      </c>
      <c r="G46" s="10" t="n">
        <v>0.47</v>
      </c>
      <c r="H46" s="11" t="n">
        <v>0.0045</v>
      </c>
      <c r="I46" s="9" t="n">
        <v>104.6</v>
      </c>
      <c r="J46" s="9" t="n">
        <v>104.6</v>
      </c>
      <c r="K46" s="9" t="n">
        <v>105.29</v>
      </c>
      <c r="L46" s="9" t="n">
        <v>105.29</v>
      </c>
      <c r="M46" s="12" t="n">
        <v>236</v>
      </c>
      <c r="N46" s="12" t="n">
        <f aca="false">F46*M46</f>
        <v>24796.52</v>
      </c>
      <c r="O46" s="9" t="n">
        <v>101.33</v>
      </c>
      <c r="P46" s="9" t="n">
        <v>110</v>
      </c>
      <c r="Q46" s="13" t="n">
        <f aca="false">IF(P46-O46=0,"",(F46-O46)/(P46-O46))</f>
        <v>0.431372549019607</v>
      </c>
      <c r="R46" s="14" t="n">
        <f aca="false">IF(P46=0,"",F46/P46-1)</f>
        <v>-0.0448181818181819</v>
      </c>
      <c r="S46" s="8" t="s">
        <v>54</v>
      </c>
      <c r="T46" s="8" t="s">
        <v>194</v>
      </c>
      <c r="U46" s="15" t="n">
        <v>46288.771875</v>
      </c>
    </row>
    <row r="47" customFormat="false" ht="15" hidden="false" customHeight="false" outlineLevel="0" collapsed="false">
      <c r="A47" s="8" t="s">
        <v>195</v>
      </c>
      <c r="B47" s="8" t="s">
        <v>196</v>
      </c>
      <c r="C47" s="8" t="s">
        <v>20</v>
      </c>
      <c r="D47" s="8" t="s">
        <v>79</v>
      </c>
      <c r="E47" s="8" t="s">
        <v>54</v>
      </c>
      <c r="F47" s="9" t="n">
        <v>140.01</v>
      </c>
      <c r="G47" s="10" t="n">
        <v>-1.86</v>
      </c>
      <c r="H47" s="11" t="n">
        <v>-0.0131</v>
      </c>
      <c r="I47" s="9" t="n">
        <v>141.34</v>
      </c>
      <c r="J47" s="9" t="n">
        <v>140.01</v>
      </c>
      <c r="K47" s="9" t="n">
        <v>141.34</v>
      </c>
      <c r="L47" s="9" t="n">
        <v>141.34</v>
      </c>
      <c r="M47" s="12" t="n">
        <v>37</v>
      </c>
      <c r="N47" s="12" t="n">
        <f aca="false">F47*M47</f>
        <v>5180.37</v>
      </c>
      <c r="O47" s="9" t="n">
        <v>118.94</v>
      </c>
      <c r="P47" s="9" t="n">
        <v>151.77</v>
      </c>
      <c r="Q47" s="13" t="n">
        <f aca="false">IF(P47-O47=0,"",(F47-O47)/(P47-O47))</f>
        <v>0.641791044776119</v>
      </c>
      <c r="R47" s="14" t="n">
        <f aca="false">IF(P47=0,"",F47/P47-1)</f>
        <v>-0.0774856691045662</v>
      </c>
      <c r="S47" s="8" t="s">
        <v>54</v>
      </c>
      <c r="T47" s="8" t="s">
        <v>197</v>
      </c>
      <c r="U47" s="15" t="n">
        <v>46288.771875</v>
      </c>
    </row>
    <row r="48" customFormat="false" ht="15" hidden="false" customHeight="false" outlineLevel="0" collapsed="false">
      <c r="A48" s="8" t="s">
        <v>198</v>
      </c>
      <c r="B48" s="8" t="s">
        <v>199</v>
      </c>
      <c r="C48" s="8" t="s">
        <v>20</v>
      </c>
      <c r="D48" s="8" t="s">
        <v>79</v>
      </c>
      <c r="E48" s="8" t="s">
        <v>54</v>
      </c>
      <c r="F48" s="9" t="n">
        <v>21.25</v>
      </c>
      <c r="G48" s="10" t="n">
        <v>-0.37</v>
      </c>
      <c r="H48" s="11" t="n">
        <v>-0.0171</v>
      </c>
      <c r="I48" s="9" t="n">
        <v>21.5</v>
      </c>
      <c r="J48" s="9" t="n">
        <v>21.25</v>
      </c>
      <c r="K48" s="9" t="n">
        <v>21.66</v>
      </c>
      <c r="L48" s="9" t="n">
        <v>21.31</v>
      </c>
      <c r="M48" s="12" t="n">
        <v>51629</v>
      </c>
      <c r="N48" s="12" t="n">
        <f aca="false">F48*M48</f>
        <v>1097116.25</v>
      </c>
      <c r="O48" s="9" t="n">
        <v>18.76</v>
      </c>
      <c r="P48" s="9" t="n">
        <v>23</v>
      </c>
      <c r="Q48" s="13" t="n">
        <f aca="false">IF(P48-O48=0,"",(F48-O48)/(P48-O48))</f>
        <v>0.587264150943396</v>
      </c>
      <c r="R48" s="14" t="n">
        <f aca="false">IF(P48=0,"",F48/P48-1)</f>
        <v>-0.0760869565217391</v>
      </c>
      <c r="S48" s="8" t="s">
        <v>54</v>
      </c>
      <c r="T48" s="8" t="s">
        <v>200</v>
      </c>
      <c r="U48" s="15" t="n">
        <v>46288.771875</v>
      </c>
    </row>
    <row r="49" customFormat="false" ht="15" hidden="false" customHeight="false" outlineLevel="0" collapsed="false">
      <c r="A49" s="8" t="s">
        <v>201</v>
      </c>
      <c r="B49" s="8" t="s">
        <v>202</v>
      </c>
      <c r="C49" s="8" t="s">
        <v>20</v>
      </c>
      <c r="D49" s="8" t="s">
        <v>79</v>
      </c>
      <c r="E49" s="8" t="s">
        <v>54</v>
      </c>
      <c r="F49" s="9" t="n">
        <v>22.74</v>
      </c>
      <c r="G49" s="10" t="n">
        <v>-0.21</v>
      </c>
      <c r="H49" s="11" t="n">
        <v>-0.0092</v>
      </c>
      <c r="I49" s="9" t="n">
        <v>23.08</v>
      </c>
      <c r="J49" s="9" t="n">
        <v>22.74</v>
      </c>
      <c r="K49" s="9" t="n">
        <v>23.08</v>
      </c>
      <c r="L49" s="9" t="n">
        <v>22.8</v>
      </c>
      <c r="M49" s="12" t="n">
        <v>8</v>
      </c>
      <c r="N49" s="12" t="n">
        <f aca="false">F49*M49</f>
        <v>181.92</v>
      </c>
      <c r="O49" s="9" t="n">
        <v>18.99</v>
      </c>
      <c r="P49" s="9" t="n">
        <v>24.73</v>
      </c>
      <c r="Q49" s="13" t="n">
        <f aca="false">IF(P49-O49=0,"",(F49-O49)/(P49-O49))</f>
        <v>0.653310104529617</v>
      </c>
      <c r="R49" s="14" t="n">
        <f aca="false">IF(P49=0,"",F49/P49-1)</f>
        <v>-0.080469065911848</v>
      </c>
      <c r="S49" s="8" t="s">
        <v>54</v>
      </c>
      <c r="T49" s="8" t="s">
        <v>203</v>
      </c>
      <c r="U49" s="15" t="n">
        <v>46288.771875</v>
      </c>
    </row>
    <row r="50" customFormat="false" ht="15" hidden="false" customHeight="false" outlineLevel="0" collapsed="false">
      <c r="A50" s="8" t="s">
        <v>204</v>
      </c>
      <c r="B50" s="8" t="s">
        <v>205</v>
      </c>
      <c r="C50" s="8" t="s">
        <v>20</v>
      </c>
      <c r="D50" s="8" t="s">
        <v>79</v>
      </c>
      <c r="E50" s="8" t="s">
        <v>54</v>
      </c>
      <c r="F50" s="9" t="n">
        <v>154.36</v>
      </c>
      <c r="G50" s="10" t="n">
        <v>-2.55</v>
      </c>
      <c r="H50" s="11" t="n">
        <v>-0.0163</v>
      </c>
      <c r="I50" s="9" t="n">
        <v>157.15</v>
      </c>
      <c r="J50" s="9" t="n">
        <v>154.36</v>
      </c>
      <c r="K50" s="9" t="n">
        <v>157.15</v>
      </c>
      <c r="L50" s="9" t="n">
        <v>154.44</v>
      </c>
      <c r="M50" s="12" t="n">
        <v>3018</v>
      </c>
      <c r="N50" s="12" t="n">
        <f aca="false">F50*M50</f>
        <v>465858.48</v>
      </c>
      <c r="O50" s="9" t="n">
        <v>125.22</v>
      </c>
      <c r="P50" s="9" t="n">
        <v>166.82</v>
      </c>
      <c r="Q50" s="13" t="n">
        <f aca="false">IF(P50-O50=0,"",(F50-O50)/(P50-O50))</f>
        <v>0.70048076923077</v>
      </c>
      <c r="R50" s="14" t="n">
        <f aca="false">IF(P50=0,"",F50/P50-1)</f>
        <v>-0.0746912840187026</v>
      </c>
      <c r="S50" s="8" t="s">
        <v>54</v>
      </c>
      <c r="T50" s="8" t="s">
        <v>206</v>
      </c>
      <c r="U50" s="15" t="n">
        <v>46288.771875</v>
      </c>
    </row>
    <row r="51" customFormat="false" ht="15" hidden="false" customHeight="false" outlineLevel="0" collapsed="false">
      <c r="A51" s="8" t="s">
        <v>207</v>
      </c>
      <c r="B51" s="8" t="s">
        <v>208</v>
      </c>
      <c r="C51" s="8" t="s">
        <v>20</v>
      </c>
      <c r="D51" s="8" t="s">
        <v>79</v>
      </c>
      <c r="E51" s="8" t="s">
        <v>54</v>
      </c>
      <c r="F51" s="9" t="n">
        <v>105.58</v>
      </c>
      <c r="G51" s="10" t="n">
        <v>-1.13</v>
      </c>
      <c r="H51" s="11" t="n">
        <v>-0.0106</v>
      </c>
      <c r="I51" s="9" t="n">
        <v>106.82</v>
      </c>
      <c r="J51" s="9" t="n">
        <v>105.58</v>
      </c>
      <c r="K51" s="9" t="n">
        <v>107</v>
      </c>
      <c r="L51" s="9" t="n">
        <v>105.93</v>
      </c>
      <c r="M51" s="12" t="n">
        <v>275509</v>
      </c>
      <c r="N51" s="12" t="n">
        <f aca="false">F51*M51</f>
        <v>29088240.22</v>
      </c>
      <c r="O51" s="9" t="n">
        <v>95.88</v>
      </c>
      <c r="P51" s="9" t="n">
        <v>108.35</v>
      </c>
      <c r="Q51" s="13" t="n">
        <f aca="false">IF(P51-O51=0,"",(F51-O51)/(P51-O51))</f>
        <v>0.777866880513232</v>
      </c>
      <c r="R51" s="14" t="n">
        <f aca="false">IF(P51=0,"",F51/P51-1)</f>
        <v>-0.0255652976465159</v>
      </c>
      <c r="S51" s="8" t="s">
        <v>54</v>
      </c>
      <c r="T51" s="8" t="s">
        <v>209</v>
      </c>
      <c r="U51" s="15" t="n">
        <v>46288.771875</v>
      </c>
    </row>
    <row r="52" customFormat="false" ht="15" hidden="false" customHeight="false" outlineLevel="0" collapsed="false">
      <c r="A52" s="8" t="s">
        <v>210</v>
      </c>
      <c r="B52" s="8" t="s">
        <v>211</v>
      </c>
      <c r="C52" s="8" t="s">
        <v>20</v>
      </c>
      <c r="D52" s="8" t="s">
        <v>79</v>
      </c>
      <c r="E52" s="8" t="s">
        <v>54</v>
      </c>
      <c r="F52" s="9" t="n">
        <v>148.75</v>
      </c>
      <c r="G52" s="10" t="n">
        <v>0.42</v>
      </c>
      <c r="H52" s="11" t="n">
        <v>0.0028</v>
      </c>
      <c r="I52" s="9" t="n">
        <v>148.75</v>
      </c>
      <c r="J52" s="9" t="n">
        <v>148.75</v>
      </c>
      <c r="K52" s="9" t="n">
        <v>148.75</v>
      </c>
      <c r="L52" s="9" t="n">
        <v>148.75</v>
      </c>
      <c r="M52" s="12" t="n">
        <v>34</v>
      </c>
      <c r="N52" s="12" t="n">
        <f aca="false">F52*M52</f>
        <v>5057.5</v>
      </c>
      <c r="O52" s="9" t="n">
        <v>120.79</v>
      </c>
      <c r="P52" s="9" t="n">
        <v>158.13</v>
      </c>
      <c r="Q52" s="13" t="n">
        <f aca="false">IF(P52-O52=0,"",(F52-O52)/(P52-O52))</f>
        <v>0.748794858061061</v>
      </c>
      <c r="R52" s="14" t="n">
        <f aca="false">IF(P52=0,"",F52/P52-1)</f>
        <v>-0.0593182824258521</v>
      </c>
      <c r="S52" s="8" t="s">
        <v>54</v>
      </c>
      <c r="T52" s="8" t="s">
        <v>212</v>
      </c>
      <c r="U52" s="15" t="n">
        <v>46288.771875</v>
      </c>
    </row>
    <row r="53" customFormat="false" ht="15" hidden="false" customHeight="false" outlineLevel="0" collapsed="false">
      <c r="A53" s="8" t="s">
        <v>213</v>
      </c>
      <c r="B53" s="8" t="s">
        <v>214</v>
      </c>
      <c r="C53" s="8" t="s">
        <v>20</v>
      </c>
      <c r="D53" s="8" t="s">
        <v>79</v>
      </c>
      <c r="E53" s="8" t="s">
        <v>54</v>
      </c>
      <c r="F53" s="9" t="n">
        <v>82.49</v>
      </c>
      <c r="G53" s="10" t="n">
        <v>-0.2</v>
      </c>
      <c r="H53" s="11" t="n">
        <v>-0.0024</v>
      </c>
      <c r="I53" s="9" t="n">
        <v>83.74</v>
      </c>
      <c r="J53" s="9" t="n">
        <v>82.42</v>
      </c>
      <c r="K53" s="9" t="n">
        <v>83.74</v>
      </c>
      <c r="L53" s="9" t="n">
        <v>82.49</v>
      </c>
      <c r="M53" s="12" t="n">
        <v>872</v>
      </c>
      <c r="N53" s="12" t="n">
        <f aca="false">F53*M53</f>
        <v>71931.28</v>
      </c>
      <c r="O53" s="9" t="n">
        <v>82.39</v>
      </c>
      <c r="P53" s="9" t="n">
        <v>97.75</v>
      </c>
      <c r="Q53" s="13" t="n">
        <f aca="false">IF(P53-O53=0,"",(F53-O53)/(P53-O53))</f>
        <v>0.0065104166666663</v>
      </c>
      <c r="R53" s="14" t="n">
        <f aca="false">IF(P53=0,"",F53/P53-1)</f>
        <v>-0.15611253196931</v>
      </c>
      <c r="S53" s="8" t="s">
        <v>54</v>
      </c>
      <c r="T53" s="8" t="s">
        <v>215</v>
      </c>
      <c r="U53" s="15" t="n">
        <v>46288.771875</v>
      </c>
    </row>
    <row r="54" customFormat="false" ht="15" hidden="false" customHeight="false" outlineLevel="0" collapsed="false">
      <c r="A54" s="8" t="s">
        <v>216</v>
      </c>
      <c r="B54" s="8" t="s">
        <v>217</v>
      </c>
      <c r="C54" s="8" t="s">
        <v>21</v>
      </c>
      <c r="D54" s="8" t="s">
        <v>53</v>
      </c>
      <c r="E54" s="8" t="s">
        <v>54</v>
      </c>
      <c r="F54" s="9" t="n">
        <v>52.18</v>
      </c>
      <c r="G54" s="10" t="n">
        <v>0.05</v>
      </c>
      <c r="H54" s="11" t="n">
        <v>0.001</v>
      </c>
      <c r="I54" s="9" t="n">
        <v>52.16</v>
      </c>
      <c r="J54" s="9" t="n">
        <v>52.16</v>
      </c>
      <c r="K54" s="9" t="n">
        <v>52.27</v>
      </c>
      <c r="L54" s="9" t="n">
        <v>52.18</v>
      </c>
      <c r="M54" s="12" t="n">
        <v>79238</v>
      </c>
      <c r="N54" s="12" t="n">
        <f aca="false">F54*M54</f>
        <v>4134638.84</v>
      </c>
      <c r="O54" s="9" t="n">
        <v>49.73</v>
      </c>
      <c r="P54" s="9" t="n">
        <v>52.27</v>
      </c>
      <c r="Q54" s="13" t="n">
        <f aca="false">IF(P54-O54=0,"",(F54-O54)/(P54-O54))</f>
        <v>0.964566929133857</v>
      </c>
      <c r="R54" s="14" t="n">
        <f aca="false">IF(P54=0,"",F54/P54-1)</f>
        <v>-0.00172182896498951</v>
      </c>
      <c r="S54" s="8" t="s">
        <v>54</v>
      </c>
      <c r="T54" s="8" t="s">
        <v>218</v>
      </c>
      <c r="U54" s="15" t="n">
        <v>46288.771875</v>
      </c>
    </row>
    <row r="55" customFormat="false" ht="15" hidden="false" customHeight="false" outlineLevel="0" collapsed="false">
      <c r="A55" s="8" t="s">
        <v>219</v>
      </c>
      <c r="B55" s="8" t="s">
        <v>220</v>
      </c>
      <c r="C55" s="8" t="s">
        <v>22</v>
      </c>
      <c r="D55" s="8" t="s">
        <v>71</v>
      </c>
      <c r="E55" s="8" t="s">
        <v>54</v>
      </c>
      <c r="F55" s="9" t="n">
        <v>38.2</v>
      </c>
      <c r="G55" s="10" t="n">
        <v>0</v>
      </c>
      <c r="H55" s="11" t="n">
        <v>0</v>
      </c>
      <c r="I55" s="9" t="n">
        <v>38.1</v>
      </c>
      <c r="J55" s="9" t="n">
        <v>37.57</v>
      </c>
      <c r="K55" s="9" t="n">
        <v>38.23</v>
      </c>
      <c r="L55" s="9" t="n">
        <v>38.12</v>
      </c>
      <c r="M55" s="12" t="n">
        <v>50410</v>
      </c>
      <c r="N55" s="12" t="n">
        <f aca="false">F55*M55</f>
        <v>1925662</v>
      </c>
      <c r="O55" s="9" t="n">
        <v>20.70166708</v>
      </c>
      <c r="P55" s="9" t="n">
        <v>43.67</v>
      </c>
      <c r="Q55" s="13" t="n">
        <f aca="false">IF(P55-O55=0,"",(F55-O55)/(P55-O55))</f>
        <v>0.761846015596678</v>
      </c>
      <c r="R55" s="14" t="n">
        <f aca="false">IF(P55=0,"",F55/P55-1)</f>
        <v>-0.125257613922601</v>
      </c>
      <c r="S55" s="8" t="s">
        <v>54</v>
      </c>
      <c r="T55" s="8" t="s">
        <v>221</v>
      </c>
      <c r="U55" s="15" t="n">
        <v>46288.771875</v>
      </c>
    </row>
    <row r="56" customFormat="false" ht="15" hidden="false" customHeight="false" outlineLevel="0" collapsed="false">
      <c r="A56" s="8" t="s">
        <v>222</v>
      </c>
      <c r="B56" s="8" t="s">
        <v>223</v>
      </c>
      <c r="C56" s="8" t="s">
        <v>25</v>
      </c>
      <c r="D56" s="8" t="s">
        <v>75</v>
      </c>
      <c r="E56" s="8" t="s">
        <v>54</v>
      </c>
      <c r="F56" s="9" t="n">
        <v>95.64</v>
      </c>
      <c r="G56" s="10" t="n">
        <v>1.15</v>
      </c>
      <c r="H56" s="11" t="n">
        <v>0.0122</v>
      </c>
      <c r="I56" s="9" t="n">
        <v>95.52</v>
      </c>
      <c r="J56" s="9" t="n">
        <v>95.52</v>
      </c>
      <c r="K56" s="9" t="n">
        <v>95.64</v>
      </c>
      <c r="L56" s="9" t="n">
        <v>95.52</v>
      </c>
      <c r="M56" s="12" t="n">
        <v>6</v>
      </c>
      <c r="N56" s="12" t="n">
        <f aca="false">F56*M56</f>
        <v>573.84</v>
      </c>
      <c r="O56" s="9" t="n">
        <v>84.55</v>
      </c>
      <c r="P56" s="9" t="n">
        <v>102.67</v>
      </c>
      <c r="Q56" s="13" t="n">
        <f aca="false">IF(P56-O56=0,"",(F56-O56)/(P56-O56))</f>
        <v>0.612030905077263</v>
      </c>
      <c r="R56" s="14" t="n">
        <f aca="false">IF(P56=0,"",F56/P56-1)</f>
        <v>-0.0684718028635434</v>
      </c>
      <c r="S56" s="8" t="s">
        <v>54</v>
      </c>
      <c r="T56" s="8" t="s">
        <v>224</v>
      </c>
      <c r="U56" s="15" t="n">
        <v>46288.771875</v>
      </c>
    </row>
    <row r="57" customFormat="false" ht="15" hidden="false" customHeight="false" outlineLevel="0" collapsed="false">
      <c r="A57" s="8" t="s">
        <v>225</v>
      </c>
      <c r="B57" s="8" t="s">
        <v>226</v>
      </c>
      <c r="C57" s="8" t="s">
        <v>20</v>
      </c>
      <c r="D57" s="8" t="s">
        <v>79</v>
      </c>
      <c r="E57" s="8" t="s">
        <v>54</v>
      </c>
      <c r="F57" s="9" t="n">
        <v>17.41</v>
      </c>
      <c r="G57" s="10" t="n">
        <v>-0.1</v>
      </c>
      <c r="H57" s="11" t="n">
        <v>-0.0057</v>
      </c>
      <c r="I57" s="9" t="n">
        <v>17.23</v>
      </c>
      <c r="J57" s="9" t="n">
        <v>17.23</v>
      </c>
      <c r="K57" s="9" t="n">
        <v>17.63</v>
      </c>
      <c r="L57" s="9" t="n">
        <v>17.35</v>
      </c>
      <c r="M57" s="12" t="n">
        <v>2776</v>
      </c>
      <c r="N57" s="12" t="n">
        <f aca="false">F57*M57</f>
        <v>48330.16</v>
      </c>
      <c r="O57" s="9" t="n">
        <v>12.69</v>
      </c>
      <c r="P57" s="9" t="n">
        <v>18.37</v>
      </c>
      <c r="Q57" s="13" t="n">
        <f aca="false">IF(P57-O57=0,"",(F57-O57)/(P57-O57))</f>
        <v>0.830985915492958</v>
      </c>
      <c r="R57" s="14" t="n">
        <f aca="false">IF(P57=0,"",F57/P57-1)</f>
        <v>-0.0522591181273816</v>
      </c>
      <c r="S57" s="8" t="s">
        <v>54</v>
      </c>
      <c r="T57" s="8" t="s">
        <v>227</v>
      </c>
      <c r="U57" s="15" t="n">
        <v>46288.771875</v>
      </c>
    </row>
    <row r="58" customFormat="false" ht="15" hidden="false" customHeight="false" outlineLevel="0" collapsed="false">
      <c r="A58" s="8" t="s">
        <v>228</v>
      </c>
      <c r="B58" s="8" t="s">
        <v>229</v>
      </c>
      <c r="C58" s="8" t="s">
        <v>23</v>
      </c>
      <c r="D58" s="8" t="s">
        <v>67</v>
      </c>
      <c r="E58" s="8" t="s">
        <v>54</v>
      </c>
      <c r="F58" s="9" t="n">
        <v>45.8</v>
      </c>
      <c r="G58" s="10" t="n">
        <v>-0.2</v>
      </c>
      <c r="H58" s="11" t="n">
        <v>-0.0043</v>
      </c>
      <c r="I58" s="9" t="n">
        <v>46</v>
      </c>
      <c r="J58" s="9" t="n">
        <v>45.33</v>
      </c>
      <c r="K58" s="9" t="n">
        <v>46.13</v>
      </c>
      <c r="L58" s="9" t="n">
        <v>45.79</v>
      </c>
      <c r="M58" s="12" t="n">
        <v>31690</v>
      </c>
      <c r="N58" s="12" t="n">
        <f aca="false">F58*M58</f>
        <v>1451402</v>
      </c>
      <c r="O58" s="9" t="n">
        <v>36.31</v>
      </c>
      <c r="P58" s="9" t="n">
        <v>89.79</v>
      </c>
      <c r="Q58" s="13" t="n">
        <f aca="false">IF(P58-O58=0,"",(F58-O58)/(P58-O58))</f>
        <v>0.177449513836948</v>
      </c>
      <c r="R58" s="14" t="n">
        <f aca="false">IF(P58=0,"",F58/P58-1)</f>
        <v>-0.489920926606526</v>
      </c>
      <c r="S58" s="8" t="s">
        <v>54</v>
      </c>
      <c r="T58" s="8" t="s">
        <v>230</v>
      </c>
      <c r="U58" s="15" t="n">
        <v>46288.771875</v>
      </c>
    </row>
    <row r="59" customFormat="false" ht="15" hidden="false" customHeight="false" outlineLevel="0" collapsed="false">
      <c r="A59" s="8" t="s">
        <v>231</v>
      </c>
      <c r="B59" s="8" t="s">
        <v>232</v>
      </c>
      <c r="C59" s="8" t="s">
        <v>24</v>
      </c>
      <c r="D59" s="8" t="s">
        <v>100</v>
      </c>
      <c r="E59" s="8" t="s">
        <v>54</v>
      </c>
      <c r="F59" s="9" t="n">
        <v>7.57</v>
      </c>
      <c r="G59" s="10" t="n">
        <v>0.09</v>
      </c>
      <c r="H59" s="11" t="n">
        <v>0.012</v>
      </c>
      <c r="I59" s="9" t="n">
        <v>7.69</v>
      </c>
      <c r="J59" s="9" t="n">
        <v>7.53</v>
      </c>
      <c r="K59" s="9" t="n">
        <v>7.69</v>
      </c>
      <c r="L59" s="9" t="n">
        <v>7.57</v>
      </c>
      <c r="M59" s="12" t="n">
        <v>3503</v>
      </c>
      <c r="N59" s="12" t="n">
        <f aca="false">F59*M59</f>
        <v>26517.71</v>
      </c>
      <c r="O59" s="9" t="n">
        <v>6.7</v>
      </c>
      <c r="P59" s="9" t="n">
        <v>9.15</v>
      </c>
      <c r="Q59" s="13" t="n">
        <f aca="false">IF(P59-O59=0,"",(F59-O59)/(P59-O59))</f>
        <v>0.355102040816327</v>
      </c>
      <c r="R59" s="14" t="n">
        <f aca="false">IF(P59=0,"",F59/P59-1)</f>
        <v>-0.172677595628415</v>
      </c>
      <c r="S59" s="8" t="s">
        <v>54</v>
      </c>
      <c r="T59" s="8" t="s">
        <v>233</v>
      </c>
      <c r="U59" s="15" t="n">
        <v>46288.771875</v>
      </c>
    </row>
    <row r="60" customFormat="false" ht="15" hidden="false" customHeight="false" outlineLevel="0" collapsed="false">
      <c r="A60" s="8" t="s">
        <v>234</v>
      </c>
      <c r="B60" s="8" t="s">
        <v>235</v>
      </c>
      <c r="C60" s="8" t="s">
        <v>23</v>
      </c>
      <c r="D60" s="8" t="s">
        <v>67</v>
      </c>
      <c r="E60" s="8" t="s">
        <v>54</v>
      </c>
      <c r="F60" s="9" t="n">
        <v>14.13</v>
      </c>
      <c r="G60" s="10" t="n">
        <v>0.77</v>
      </c>
      <c r="H60" s="11" t="n">
        <v>0.0576</v>
      </c>
      <c r="I60" s="9" t="n">
        <v>13.36</v>
      </c>
      <c r="J60" s="9" t="n">
        <v>13.05</v>
      </c>
      <c r="K60" s="9" t="n">
        <v>14.44</v>
      </c>
      <c r="L60" s="9" t="n">
        <v>14.13</v>
      </c>
      <c r="M60" s="12" t="n">
        <v>22868</v>
      </c>
      <c r="N60" s="12" t="n">
        <f aca="false">F60*M60</f>
        <v>323124.84</v>
      </c>
      <c r="O60" s="9" t="n">
        <v>10.06</v>
      </c>
      <c r="P60" s="9" t="n">
        <v>25.1</v>
      </c>
      <c r="Q60" s="13" t="n">
        <f aca="false">IF(P60-O60=0,"",(F60-O60)/(P60-O60))</f>
        <v>0.27061170212766</v>
      </c>
      <c r="R60" s="14" t="n">
        <f aca="false">IF(P60=0,"",F60/P60-1)</f>
        <v>-0.437051792828685</v>
      </c>
      <c r="S60" s="8" t="s">
        <v>54</v>
      </c>
      <c r="T60" s="8" t="s">
        <v>236</v>
      </c>
      <c r="U60" s="15" t="n">
        <v>46288.771875</v>
      </c>
    </row>
    <row r="61" customFormat="false" ht="15" hidden="false" customHeight="false" outlineLevel="0" collapsed="false">
      <c r="A61" s="8" t="s">
        <v>237</v>
      </c>
      <c r="B61" s="8" t="s">
        <v>238</v>
      </c>
      <c r="C61" s="8" t="s">
        <v>21</v>
      </c>
      <c r="D61" s="8" t="s">
        <v>53</v>
      </c>
      <c r="E61" s="8" t="s">
        <v>54</v>
      </c>
      <c r="F61" s="9" t="n">
        <v>17.18</v>
      </c>
      <c r="G61" s="10" t="n">
        <v>0.01</v>
      </c>
      <c r="H61" s="11" t="n">
        <v>0.0006</v>
      </c>
      <c r="I61" s="9" t="n">
        <v>17.17</v>
      </c>
      <c r="J61" s="9" t="n">
        <v>17.16</v>
      </c>
      <c r="K61" s="9" t="n">
        <v>17.19</v>
      </c>
      <c r="L61" s="9" t="n">
        <v>17.17</v>
      </c>
      <c r="M61" s="12" t="n">
        <v>162820</v>
      </c>
      <c r="N61" s="12" t="n">
        <f aca="false">F61*M61</f>
        <v>2797247.6</v>
      </c>
      <c r="O61" s="9" t="n">
        <v>15.05</v>
      </c>
      <c r="P61" s="9" t="n">
        <v>17.19</v>
      </c>
      <c r="Q61" s="13" t="n">
        <f aca="false">IF(P61-O61=0,"",(F61-O61)/(P61-O61))</f>
        <v>0.995327102803738</v>
      </c>
      <c r="R61" s="14" t="n">
        <f aca="false">IF(P61=0,"",F61/P61-1)</f>
        <v>-0.000581733566026865</v>
      </c>
      <c r="S61" s="8" t="s">
        <v>54</v>
      </c>
      <c r="T61" s="8" t="s">
        <v>239</v>
      </c>
      <c r="U61" s="15" t="n">
        <v>46288.771875</v>
      </c>
    </row>
    <row r="62" customFormat="false" ht="15" hidden="false" customHeight="false" outlineLevel="0" collapsed="false">
      <c r="A62" s="8" t="s">
        <v>240</v>
      </c>
      <c r="B62" s="8" t="s">
        <v>241</v>
      </c>
      <c r="C62" s="8" t="s">
        <v>23</v>
      </c>
      <c r="D62" s="8" t="s">
        <v>67</v>
      </c>
      <c r="E62" s="8" t="s">
        <v>54</v>
      </c>
      <c r="F62" s="9" t="n">
        <v>19.49</v>
      </c>
      <c r="G62" s="10" t="n">
        <v>-0.16</v>
      </c>
      <c r="H62" s="11" t="n">
        <v>-0.0081</v>
      </c>
      <c r="I62" s="9" t="n">
        <v>19.95</v>
      </c>
      <c r="J62" s="9" t="n">
        <v>19.29</v>
      </c>
      <c r="K62" s="9" t="n">
        <v>19.95</v>
      </c>
      <c r="L62" s="9" t="n">
        <v>19.49</v>
      </c>
      <c r="M62" s="12" t="n">
        <v>14503</v>
      </c>
      <c r="N62" s="12" t="n">
        <f aca="false">F62*M62</f>
        <v>282663.47</v>
      </c>
      <c r="O62" s="9" t="n">
        <v>10.13</v>
      </c>
      <c r="P62" s="9" t="n">
        <v>35.66</v>
      </c>
      <c r="Q62" s="13" t="n">
        <f aca="false">IF(P62-O62=0,"",(F62-O62)/(P62-O62))</f>
        <v>0.36662749706228</v>
      </c>
      <c r="R62" s="14" t="n">
        <f aca="false">IF(P62=0,"",F62/P62-1)</f>
        <v>-0.453449242849131</v>
      </c>
      <c r="S62" s="8" t="s">
        <v>54</v>
      </c>
      <c r="T62" s="8" t="s">
        <v>242</v>
      </c>
      <c r="U62" s="15" t="n">
        <v>46288.771875</v>
      </c>
    </row>
    <row r="63" customFormat="false" ht="15" hidden="false" customHeight="false" outlineLevel="0" collapsed="false">
      <c r="A63" s="8" t="s">
        <v>243</v>
      </c>
      <c r="B63" s="8" t="s">
        <v>244</v>
      </c>
      <c r="C63" s="8" t="s">
        <v>23</v>
      </c>
      <c r="D63" s="8" t="s">
        <v>67</v>
      </c>
      <c r="E63" s="8" t="s">
        <v>86</v>
      </c>
      <c r="F63" s="9" t="n">
        <v>10.1</v>
      </c>
      <c r="G63" s="10" t="n">
        <v>-0.01</v>
      </c>
      <c r="H63" s="11" t="n">
        <v>-0.001</v>
      </c>
      <c r="I63" s="9" t="n">
        <v>10.14</v>
      </c>
      <c r="J63" s="9" t="n">
        <v>10.09</v>
      </c>
      <c r="K63" s="9" t="n">
        <v>10.14</v>
      </c>
      <c r="L63" s="9" t="n">
        <v>10.1</v>
      </c>
      <c r="M63" s="12" t="n">
        <v>32636</v>
      </c>
      <c r="N63" s="12" t="n">
        <f aca="false">F63*M63</f>
        <v>329623.6</v>
      </c>
      <c r="O63" s="9" t="n">
        <v>9.5</v>
      </c>
      <c r="P63" s="9" t="n">
        <v>10.14</v>
      </c>
      <c r="Q63" s="13" t="n">
        <f aca="false">IF(P63-O63=0,"",(F63-O63)/(P63-O63))</f>
        <v>0.937499999999999</v>
      </c>
      <c r="R63" s="14" t="n">
        <f aca="false">IF(P63=0,"",F63/P63-1)</f>
        <v>-0.00394477317554254</v>
      </c>
      <c r="S63" s="8" t="s">
        <v>87</v>
      </c>
      <c r="T63" s="8" t="s">
        <v>245</v>
      </c>
      <c r="U63" s="15" t="n">
        <v>46288.771875</v>
      </c>
    </row>
    <row r="64" customFormat="false" ht="15" hidden="false" customHeight="false" outlineLevel="0" collapsed="false">
      <c r="A64" s="8" t="s">
        <v>246</v>
      </c>
      <c r="B64" s="8" t="s">
        <v>247</v>
      </c>
      <c r="C64" s="8" t="s">
        <v>21</v>
      </c>
      <c r="D64" s="8" t="s">
        <v>53</v>
      </c>
      <c r="E64" s="8" t="s">
        <v>54</v>
      </c>
      <c r="F64" s="9" t="n">
        <v>10.31</v>
      </c>
      <c r="G64" s="10" t="n">
        <v>-0.12</v>
      </c>
      <c r="H64" s="11" t="n">
        <v>-0.0115</v>
      </c>
      <c r="I64" s="9" t="n">
        <v>10.4</v>
      </c>
      <c r="J64" s="9" t="n">
        <v>10.31</v>
      </c>
      <c r="K64" s="9" t="n">
        <v>10.42</v>
      </c>
      <c r="L64" s="9" t="n">
        <v>10.33</v>
      </c>
      <c r="M64" s="12" t="n">
        <v>817</v>
      </c>
      <c r="N64" s="12" t="n">
        <f aca="false">F64*M64</f>
        <v>8423.27</v>
      </c>
      <c r="O64" s="9" t="n">
        <v>10.16</v>
      </c>
      <c r="P64" s="9" t="n">
        <v>10.77</v>
      </c>
      <c r="Q64" s="13" t="n">
        <f aca="false">IF(P64-O64=0,"",(F64-O64)/(P64-O64))</f>
        <v>0.245901639344263</v>
      </c>
      <c r="R64" s="14" t="n">
        <f aca="false">IF(P64=0,"",F64/P64-1)</f>
        <v>-0.042711234911792</v>
      </c>
      <c r="S64" s="8" t="s">
        <v>54</v>
      </c>
      <c r="T64" s="8" t="s">
        <v>248</v>
      </c>
      <c r="U64" s="15" t="n">
        <v>46288.771875</v>
      </c>
    </row>
    <row r="65" customFormat="false" ht="15" hidden="false" customHeight="false" outlineLevel="0" collapsed="false">
      <c r="A65" s="8" t="s">
        <v>249</v>
      </c>
      <c r="B65" s="8" t="s">
        <v>250</v>
      </c>
      <c r="C65" s="8" t="s">
        <v>20</v>
      </c>
      <c r="D65" s="8" t="s">
        <v>79</v>
      </c>
      <c r="E65" s="8" t="s">
        <v>54</v>
      </c>
      <c r="F65" s="9" t="n">
        <v>63.8</v>
      </c>
      <c r="G65" s="10" t="n">
        <v>-0.53</v>
      </c>
      <c r="H65" s="11" t="n">
        <v>-0.0082</v>
      </c>
      <c r="I65" s="9" t="n">
        <v>63.95</v>
      </c>
      <c r="J65" s="9" t="n">
        <v>63.72</v>
      </c>
      <c r="K65" s="9" t="n">
        <v>64.87</v>
      </c>
      <c r="L65" s="9" t="n">
        <v>63.75</v>
      </c>
      <c r="M65" s="12" t="n">
        <v>26498</v>
      </c>
      <c r="N65" s="12" t="n">
        <f aca="false">F65*M65</f>
        <v>1690572.4</v>
      </c>
      <c r="O65" s="9" t="n">
        <v>53.68</v>
      </c>
      <c r="P65" s="9" t="n">
        <v>70.95</v>
      </c>
      <c r="Q65" s="13" t="n">
        <f aca="false">IF(P65-O65=0,"",(F65-O65)/(P65-O65))</f>
        <v>0.585987261146497</v>
      </c>
      <c r="R65" s="14" t="n">
        <f aca="false">IF(P65=0,"",F65/P65-1)</f>
        <v>-0.10077519379845</v>
      </c>
      <c r="S65" s="8" t="s">
        <v>54</v>
      </c>
      <c r="T65" s="8" t="s">
        <v>251</v>
      </c>
      <c r="U65" s="15" t="n">
        <v>46288.771875</v>
      </c>
    </row>
    <row r="66" customFormat="false" ht="15" hidden="false" customHeight="false" outlineLevel="0" collapsed="false">
      <c r="A66" s="8" t="s">
        <v>252</v>
      </c>
      <c r="B66" s="8" t="s">
        <v>253</v>
      </c>
      <c r="C66" s="8" t="s">
        <v>20</v>
      </c>
      <c r="D66" s="8" t="s">
        <v>79</v>
      </c>
      <c r="E66" s="8" t="s">
        <v>54</v>
      </c>
      <c r="F66" s="9" t="n">
        <v>131.89</v>
      </c>
      <c r="G66" s="10" t="n">
        <v>-1.5</v>
      </c>
      <c r="H66" s="11" t="n">
        <v>-0.0112</v>
      </c>
      <c r="I66" s="9" t="n">
        <v>132.09</v>
      </c>
      <c r="J66" s="9" t="n">
        <v>131.7</v>
      </c>
      <c r="K66" s="9" t="n">
        <v>133.99</v>
      </c>
      <c r="L66" s="9" t="n">
        <v>131.9</v>
      </c>
      <c r="M66" s="12" t="n">
        <v>96416</v>
      </c>
      <c r="N66" s="12" t="n">
        <f aca="false">F66*M66</f>
        <v>12716306.24</v>
      </c>
      <c r="O66" s="9" t="n">
        <v>103.28</v>
      </c>
      <c r="P66" s="9" t="n">
        <v>142.37</v>
      </c>
      <c r="Q66" s="13" t="n">
        <f aca="false">IF(P66-O66=0,"",(F66-O66)/(P66-O66))</f>
        <v>0.731900741877718</v>
      </c>
      <c r="R66" s="14" t="n">
        <f aca="false">IF(P66=0,"",F66/P66-1)</f>
        <v>-0.0736110135562269</v>
      </c>
      <c r="S66" s="8" t="s">
        <v>54</v>
      </c>
      <c r="T66" s="8" t="s">
        <v>254</v>
      </c>
      <c r="U66" s="15" t="n">
        <v>46288.771875</v>
      </c>
    </row>
    <row r="67" customFormat="false" ht="15" hidden="false" customHeight="false" outlineLevel="0" collapsed="false">
      <c r="A67" s="8" t="s">
        <v>255</v>
      </c>
      <c r="B67" s="8" t="s">
        <v>256</v>
      </c>
      <c r="C67" s="8" t="s">
        <v>26</v>
      </c>
      <c r="D67" s="8" t="s">
        <v>257</v>
      </c>
      <c r="E67" s="8" t="s">
        <v>54</v>
      </c>
      <c r="F67" s="9" t="n">
        <v>10.25</v>
      </c>
      <c r="G67" s="10" t="n">
        <v>0.11</v>
      </c>
      <c r="H67" s="11" t="n">
        <v>0.0108</v>
      </c>
      <c r="I67" s="9" t="n">
        <v>10.18</v>
      </c>
      <c r="J67" s="9" t="n">
        <v>10.18</v>
      </c>
      <c r="K67" s="9" t="n">
        <v>10.29</v>
      </c>
      <c r="L67" s="9" t="n">
        <v>10.28</v>
      </c>
      <c r="M67" s="12" t="n">
        <v>1374515</v>
      </c>
      <c r="N67" s="12" t="n">
        <f aca="false">F67*M67</f>
        <v>14088778.75</v>
      </c>
      <c r="O67" s="9" t="n">
        <v>9.54</v>
      </c>
      <c r="P67" s="9" t="n">
        <v>10.76</v>
      </c>
      <c r="Q67" s="13" t="n">
        <f aca="false">IF(P67-O67=0,"",(F67-O67)/(P67-O67))</f>
        <v>0.581967213114755</v>
      </c>
      <c r="R67" s="14" t="n">
        <f aca="false">IF(P67=0,"",F67/P67-1)</f>
        <v>-0.0473977695167286</v>
      </c>
      <c r="S67" s="8" t="s">
        <v>54</v>
      </c>
      <c r="T67" s="8" t="s">
        <v>258</v>
      </c>
      <c r="U67" s="15" t="n">
        <v>46288.771875</v>
      </c>
    </row>
    <row r="68" customFormat="false" ht="15" hidden="false" customHeight="false" outlineLevel="0" collapsed="false">
      <c r="A68" s="8" t="s">
        <v>259</v>
      </c>
      <c r="B68" s="8" t="s">
        <v>260</v>
      </c>
      <c r="C68" s="8" t="s">
        <v>26</v>
      </c>
      <c r="D68" s="8" t="s">
        <v>257</v>
      </c>
      <c r="E68" s="8" t="s">
        <v>54</v>
      </c>
      <c r="F68" s="9" t="n">
        <v>97.66</v>
      </c>
      <c r="G68" s="10" t="n">
        <v>1.16</v>
      </c>
      <c r="H68" s="11" t="n">
        <v>0.012</v>
      </c>
      <c r="I68" s="9" t="n">
        <v>96.47</v>
      </c>
      <c r="J68" s="9" t="n">
        <v>96.47</v>
      </c>
      <c r="K68" s="9" t="n">
        <v>97.75</v>
      </c>
      <c r="L68" s="9" t="n">
        <v>97.46</v>
      </c>
      <c r="M68" s="12" t="n">
        <v>29709</v>
      </c>
      <c r="N68" s="12" t="n">
        <f aca="false">F68*M68</f>
        <v>2901380.94</v>
      </c>
      <c r="O68" s="9" t="n">
        <v>85.69</v>
      </c>
      <c r="P68" s="9" t="n">
        <v>102.11</v>
      </c>
      <c r="Q68" s="13" t="n">
        <f aca="false">IF(P68-O68=0,"",(F68-O68)/(P68-O68))</f>
        <v>0.728989037758831</v>
      </c>
      <c r="R68" s="14" t="n">
        <f aca="false">IF(P68=0,"",F68/P68-1)</f>
        <v>-0.0435804524532367</v>
      </c>
      <c r="S68" s="8" t="s">
        <v>54</v>
      </c>
      <c r="T68" s="8" t="s">
        <v>261</v>
      </c>
      <c r="U68" s="15" t="n">
        <v>46288.771875</v>
      </c>
    </row>
    <row r="69" customFormat="false" ht="15" hidden="false" customHeight="false" outlineLevel="0" collapsed="false">
      <c r="A69" s="8" t="s">
        <v>262</v>
      </c>
      <c r="B69" s="8" t="s">
        <v>263</v>
      </c>
      <c r="C69" s="8" t="s">
        <v>26</v>
      </c>
      <c r="D69" s="8" t="s">
        <v>257</v>
      </c>
      <c r="E69" s="8" t="s">
        <v>54</v>
      </c>
      <c r="F69" s="9" t="n">
        <v>48</v>
      </c>
      <c r="G69" s="10" t="n">
        <v>0.59</v>
      </c>
      <c r="H69" s="11" t="n">
        <v>0.0124</v>
      </c>
      <c r="I69" s="9" t="n">
        <v>47.41</v>
      </c>
      <c r="J69" s="9" t="n">
        <v>47.41</v>
      </c>
      <c r="K69" s="9" t="n">
        <v>48.04</v>
      </c>
      <c r="L69" s="9" t="n">
        <v>48</v>
      </c>
      <c r="M69" s="12" t="n">
        <v>9315</v>
      </c>
      <c r="N69" s="12" t="n">
        <f aca="false">F69*M69</f>
        <v>447120</v>
      </c>
      <c r="O69" s="9" t="n">
        <v>44.26</v>
      </c>
      <c r="P69" s="9" t="n">
        <v>50.2</v>
      </c>
      <c r="Q69" s="13" t="n">
        <f aca="false">IF(P69-O69=0,"",(F69-O69)/(P69-O69))</f>
        <v>0.629629629629629</v>
      </c>
      <c r="R69" s="14" t="n">
        <f aca="false">IF(P69=0,"",F69/P69-1)</f>
        <v>-0.0438247011952192</v>
      </c>
      <c r="S69" s="8" t="s">
        <v>54</v>
      </c>
      <c r="T69" s="8" t="s">
        <v>264</v>
      </c>
      <c r="U69" s="15" t="n">
        <v>46288.771875</v>
      </c>
    </row>
    <row r="70" customFormat="false" ht="15" hidden="false" customHeight="false" outlineLevel="0" collapsed="false">
      <c r="A70" s="8" t="s">
        <v>265</v>
      </c>
      <c r="B70" s="8" t="s">
        <v>266</v>
      </c>
      <c r="C70" s="8" t="s">
        <v>20</v>
      </c>
      <c r="D70" s="8" t="s">
        <v>79</v>
      </c>
      <c r="E70" s="8" t="s">
        <v>54</v>
      </c>
      <c r="F70" s="9" t="n">
        <v>13.35</v>
      </c>
      <c r="G70" s="10" t="n">
        <v>-0.2</v>
      </c>
      <c r="H70" s="11" t="n">
        <v>-0.0148</v>
      </c>
      <c r="I70" s="9" t="n">
        <v>13.31</v>
      </c>
      <c r="J70" s="9" t="n">
        <v>13.31</v>
      </c>
      <c r="K70" s="9" t="n">
        <v>13.35</v>
      </c>
      <c r="L70" s="9" t="n">
        <v>13.31</v>
      </c>
      <c r="M70" s="12" t="n">
        <v>5001</v>
      </c>
      <c r="N70" s="12" t="n">
        <f aca="false">F70*M70</f>
        <v>66763.35</v>
      </c>
      <c r="O70" s="9" t="n">
        <v>11.17</v>
      </c>
      <c r="P70" s="9" t="n">
        <v>14.54</v>
      </c>
      <c r="Q70" s="13" t="n">
        <f aca="false">IF(P70-O70=0,"",(F70-O70)/(P70-O70))</f>
        <v>0.646884272997033</v>
      </c>
      <c r="R70" s="14" t="n">
        <f aca="false">IF(P70=0,"",F70/P70-1)</f>
        <v>-0.0818431911966987</v>
      </c>
      <c r="S70" s="8" t="s">
        <v>54</v>
      </c>
      <c r="T70" s="8" t="s">
        <v>267</v>
      </c>
      <c r="U70" s="15" t="n">
        <v>46288.771875</v>
      </c>
    </row>
    <row r="71" customFormat="false" ht="15" hidden="false" customHeight="false" outlineLevel="0" collapsed="false">
      <c r="A71" s="8" t="s">
        <v>268</v>
      </c>
      <c r="B71" s="8" t="s">
        <v>269</v>
      </c>
      <c r="C71" s="8" t="s">
        <v>23</v>
      </c>
      <c r="D71" s="8" t="s">
        <v>67</v>
      </c>
      <c r="E71" s="8" t="s">
        <v>54</v>
      </c>
      <c r="F71" s="9" t="n">
        <v>72.36</v>
      </c>
      <c r="G71" s="10" t="n">
        <v>-0.87</v>
      </c>
      <c r="H71" s="11" t="n">
        <v>-0.0119</v>
      </c>
      <c r="I71" s="9" t="n">
        <v>75.86</v>
      </c>
      <c r="J71" s="9" t="n">
        <v>72.36</v>
      </c>
      <c r="K71" s="9" t="n">
        <v>75.86</v>
      </c>
      <c r="L71" s="9" t="n">
        <v>72.36</v>
      </c>
      <c r="M71" s="12" t="n">
        <v>2</v>
      </c>
      <c r="N71" s="12" t="n">
        <f aca="false">F71*M71</f>
        <v>144.72</v>
      </c>
      <c r="O71" s="9" t="n">
        <v>50.25</v>
      </c>
      <c r="P71" s="9" t="n">
        <v>111.43</v>
      </c>
      <c r="Q71" s="13" t="n">
        <f aca="false">IF(P71-O71=0,"",(F71-O71)/(P71-O71))</f>
        <v>0.361392611964694</v>
      </c>
      <c r="R71" s="14" t="n">
        <f aca="false">IF(P71=0,"",F71/P71-1)</f>
        <v>-0.350623709952437</v>
      </c>
      <c r="S71" s="8" t="s">
        <v>54</v>
      </c>
      <c r="T71" s="8" t="s">
        <v>270</v>
      </c>
      <c r="U71" s="15" t="n">
        <v>46288.771875</v>
      </c>
    </row>
    <row r="72" customFormat="false" ht="15" hidden="false" customHeight="false" outlineLevel="0" collapsed="false">
      <c r="A72" s="8" t="s">
        <v>271</v>
      </c>
      <c r="B72" s="8" t="s">
        <v>272</v>
      </c>
      <c r="C72" s="8" t="s">
        <v>20</v>
      </c>
      <c r="D72" s="8" t="s">
        <v>79</v>
      </c>
      <c r="E72" s="8" t="s">
        <v>54</v>
      </c>
      <c r="F72" s="9" t="n">
        <v>154.98</v>
      </c>
      <c r="G72" s="10" t="n">
        <v>-1.31</v>
      </c>
      <c r="H72" s="11" t="n">
        <v>-0.0084</v>
      </c>
      <c r="I72" s="9" t="n">
        <v>157.22</v>
      </c>
      <c r="J72" s="9" t="n">
        <v>154.98</v>
      </c>
      <c r="K72" s="9" t="n">
        <v>157.22</v>
      </c>
      <c r="L72" s="9" t="n">
        <v>154.98</v>
      </c>
      <c r="M72" s="12" t="n">
        <v>4</v>
      </c>
      <c r="N72" s="12" t="n">
        <f aca="false">F72*M72</f>
        <v>619.92</v>
      </c>
      <c r="O72" s="9" t="n">
        <v>123.35</v>
      </c>
      <c r="P72" s="9" t="n">
        <v>168.65</v>
      </c>
      <c r="Q72" s="13" t="n">
        <f aca="false">IF(P72-O72=0,"",(F72-O72)/(P72-O72))</f>
        <v>0.698233995584989</v>
      </c>
      <c r="R72" s="14" t="n">
        <f aca="false">IF(P72=0,"",F72/P72-1)</f>
        <v>-0.0810554402608954</v>
      </c>
      <c r="S72" s="8" t="s">
        <v>54</v>
      </c>
      <c r="T72" s="8" t="s">
        <v>273</v>
      </c>
      <c r="U72" s="15" t="n">
        <v>46288.771875</v>
      </c>
    </row>
    <row r="73" customFormat="false" ht="15" hidden="false" customHeight="false" outlineLevel="0" collapsed="false">
      <c r="A73" s="8" t="s">
        <v>274</v>
      </c>
      <c r="B73" s="8" t="s">
        <v>275</v>
      </c>
      <c r="C73" s="8" t="s">
        <v>23</v>
      </c>
      <c r="D73" s="8" t="s">
        <v>67</v>
      </c>
      <c r="E73" s="8" t="s">
        <v>54</v>
      </c>
      <c r="F73" s="9" t="n">
        <v>55.77</v>
      </c>
      <c r="G73" s="10" t="n">
        <v>-0.95</v>
      </c>
      <c r="H73" s="11" t="n">
        <v>-0.0167</v>
      </c>
      <c r="I73" s="9" t="n">
        <v>56.34</v>
      </c>
      <c r="J73" s="9" t="n">
        <v>55.21</v>
      </c>
      <c r="K73" s="9" t="n">
        <v>56.36</v>
      </c>
      <c r="L73" s="9" t="n">
        <v>55.55</v>
      </c>
      <c r="M73" s="12" t="n">
        <v>44</v>
      </c>
      <c r="N73" s="12" t="n">
        <f aca="false">F73*M73</f>
        <v>2453.88</v>
      </c>
      <c r="O73" s="9" t="n">
        <v>30</v>
      </c>
      <c r="P73" s="9" t="n">
        <v>104.3</v>
      </c>
      <c r="Q73" s="13" t="n">
        <f aca="false">IF(P73-O73=0,"",(F73-O73)/(P73-O73))</f>
        <v>0.346837146702557</v>
      </c>
      <c r="R73" s="14" t="n">
        <f aca="false">IF(P73=0,"",F73/P73-1)</f>
        <v>-0.46529242569511</v>
      </c>
      <c r="S73" s="8" t="s">
        <v>54</v>
      </c>
      <c r="T73" s="8" t="s">
        <v>276</v>
      </c>
      <c r="U73" s="15" t="n">
        <v>46288.771875</v>
      </c>
    </row>
    <row r="74" customFormat="false" ht="15" hidden="false" customHeight="false" outlineLevel="0" collapsed="false">
      <c r="A74" s="8" t="s">
        <v>277</v>
      </c>
      <c r="B74" s="8" t="s">
        <v>278</v>
      </c>
      <c r="C74" s="8" t="s">
        <v>20</v>
      </c>
      <c r="D74" s="8" t="s">
        <v>79</v>
      </c>
      <c r="E74" s="8" t="s">
        <v>54</v>
      </c>
      <c r="F74" s="9" t="n">
        <v>185.85</v>
      </c>
      <c r="G74" s="10" t="n">
        <v>-2.15</v>
      </c>
      <c r="H74" s="11" t="n">
        <v>-0.0114</v>
      </c>
      <c r="I74" s="9" t="n">
        <v>183.02</v>
      </c>
      <c r="J74" s="9" t="n">
        <v>183.02</v>
      </c>
      <c r="K74" s="9" t="n">
        <v>186.95</v>
      </c>
      <c r="L74" s="9" t="n">
        <v>186.95</v>
      </c>
      <c r="M74" s="12" t="n">
        <v>1646</v>
      </c>
      <c r="N74" s="12" t="n">
        <f aca="false">F74*M74</f>
        <v>305909.1</v>
      </c>
      <c r="O74" s="9" t="n">
        <v>135.7</v>
      </c>
      <c r="P74" s="9" t="n">
        <v>194.16</v>
      </c>
      <c r="Q74" s="13" t="n">
        <f aca="false">IF(P74-O74=0,"",(F74-O74)/(P74-O74))</f>
        <v>0.857851522408484</v>
      </c>
      <c r="R74" s="14" t="n">
        <f aca="false">IF(P74=0,"",F74/P74-1)</f>
        <v>-0.0427997527812114</v>
      </c>
      <c r="S74" s="8" t="s">
        <v>54</v>
      </c>
      <c r="T74" s="8" t="s">
        <v>279</v>
      </c>
      <c r="U74" s="15" t="n">
        <v>46288.771875</v>
      </c>
    </row>
    <row r="75" customFormat="false" ht="15" hidden="false" customHeight="false" outlineLevel="0" collapsed="false">
      <c r="A75" s="8" t="s">
        <v>280</v>
      </c>
      <c r="B75" s="8" t="s">
        <v>281</v>
      </c>
      <c r="C75" s="8" t="s">
        <v>20</v>
      </c>
      <c r="D75" s="8" t="s">
        <v>79</v>
      </c>
      <c r="E75" s="8" t="s">
        <v>54</v>
      </c>
      <c r="F75" s="9" t="n">
        <v>121.45</v>
      </c>
      <c r="G75" s="10" t="n">
        <v>-1.54</v>
      </c>
      <c r="H75" s="11" t="n">
        <v>-0.0125</v>
      </c>
      <c r="I75" s="9" t="n">
        <v>123.05</v>
      </c>
      <c r="J75" s="9" t="n">
        <v>121.45</v>
      </c>
      <c r="K75" s="9" t="n">
        <v>123.05</v>
      </c>
      <c r="L75" s="9" t="n">
        <v>121.45</v>
      </c>
      <c r="M75" s="12" t="n">
        <v>57</v>
      </c>
      <c r="N75" s="12" t="n">
        <f aca="false">F75*M75</f>
        <v>6922.65</v>
      </c>
      <c r="O75" s="9" t="n">
        <v>105.89</v>
      </c>
      <c r="P75" s="9" t="n">
        <v>136.63</v>
      </c>
      <c r="Q75" s="13" t="n">
        <f aca="false">IF(P75-O75=0,"",(F75-O75)/(P75-O75))</f>
        <v>0.506180871828237</v>
      </c>
      <c r="R75" s="14" t="n">
        <f aca="false">IF(P75=0,"",F75/P75-1)</f>
        <v>-0.111102978847984</v>
      </c>
      <c r="S75" s="8" t="s">
        <v>54</v>
      </c>
      <c r="T75" s="8" t="s">
        <v>282</v>
      </c>
      <c r="U75" s="15" t="n">
        <v>46288.771875</v>
      </c>
    </row>
    <row r="76" customFormat="false" ht="15" hidden="false" customHeight="false" outlineLevel="0" collapsed="false">
      <c r="A76" s="8" t="s">
        <v>283</v>
      </c>
      <c r="B76" s="8" t="s">
        <v>284</v>
      </c>
      <c r="C76" s="8" t="s">
        <v>23</v>
      </c>
      <c r="D76" s="8" t="s">
        <v>67</v>
      </c>
      <c r="E76" s="8" t="s">
        <v>54</v>
      </c>
      <c r="F76" s="9" t="n">
        <v>39.72</v>
      </c>
      <c r="G76" s="10" t="n">
        <v>-0.73</v>
      </c>
      <c r="H76" s="11" t="n">
        <v>-0.018</v>
      </c>
      <c r="I76" s="9" t="n">
        <v>40.2</v>
      </c>
      <c r="J76" s="9" t="n">
        <v>39.23</v>
      </c>
      <c r="K76" s="9" t="n">
        <v>40.4</v>
      </c>
      <c r="L76" s="9" t="n">
        <v>39.99</v>
      </c>
      <c r="M76" s="12" t="n">
        <v>149004</v>
      </c>
      <c r="N76" s="12" t="n">
        <f aca="false">F76*M76</f>
        <v>5918438.88</v>
      </c>
      <c r="O76" s="9" t="n">
        <v>22.82</v>
      </c>
      <c r="P76" s="9" t="n">
        <v>73.54</v>
      </c>
      <c r="Q76" s="13" t="n">
        <f aca="false">IF(P76-O76=0,"",(F76-O76)/(P76-O76))</f>
        <v>0.333201892744479</v>
      </c>
      <c r="R76" s="14" t="n">
        <f aca="false">IF(P76=0,"",F76/P76-1)</f>
        <v>-0.459885776448192</v>
      </c>
      <c r="S76" s="8" t="s">
        <v>54</v>
      </c>
      <c r="T76" s="8" t="s">
        <v>285</v>
      </c>
      <c r="U76" s="15" t="n">
        <v>46288.771875</v>
      </c>
    </row>
    <row r="77" customFormat="false" ht="15" hidden="false" customHeight="false" outlineLevel="0" collapsed="false">
      <c r="A77" s="8" t="s">
        <v>286</v>
      </c>
      <c r="B77" s="8" t="s">
        <v>287</v>
      </c>
      <c r="C77" s="8" t="s">
        <v>23</v>
      </c>
      <c r="D77" s="8" t="s">
        <v>67</v>
      </c>
      <c r="E77" s="8" t="s">
        <v>54</v>
      </c>
      <c r="F77" s="9" t="n">
        <v>63.89</v>
      </c>
      <c r="G77" s="10" t="n">
        <v>-0.33</v>
      </c>
      <c r="H77" s="11" t="n">
        <v>-0.0051</v>
      </c>
      <c r="I77" s="9" t="n">
        <v>62.93</v>
      </c>
      <c r="J77" s="9" t="n">
        <v>62.8</v>
      </c>
      <c r="K77" s="9" t="n">
        <v>64.65</v>
      </c>
      <c r="L77" s="9" t="n">
        <v>63.46</v>
      </c>
      <c r="M77" s="12" t="n">
        <v>2979</v>
      </c>
      <c r="N77" s="12" t="n">
        <f aca="false">F77*M77</f>
        <v>190328.31</v>
      </c>
      <c r="O77" s="9" t="n">
        <v>43.91</v>
      </c>
      <c r="P77" s="9" t="n">
        <v>112</v>
      </c>
      <c r="Q77" s="13" t="n">
        <f aca="false">IF(P77-O77=0,"",(F77-O77)/(P77-O77))</f>
        <v>0.293435159347922</v>
      </c>
      <c r="R77" s="14" t="n">
        <f aca="false">IF(P77=0,"",F77/P77-1)</f>
        <v>-0.429553571428571</v>
      </c>
      <c r="S77" s="8" t="s">
        <v>54</v>
      </c>
      <c r="T77" s="8" t="s">
        <v>288</v>
      </c>
      <c r="U77" s="15" t="n">
        <v>46288.771875</v>
      </c>
    </row>
    <row r="78" customFormat="false" ht="15" hidden="false" customHeight="false" outlineLevel="0" collapsed="false">
      <c r="A78" s="8" t="s">
        <v>289</v>
      </c>
      <c r="B78" s="8" t="s">
        <v>290</v>
      </c>
      <c r="C78" s="8" t="s">
        <v>22</v>
      </c>
      <c r="D78" s="8" t="s">
        <v>71</v>
      </c>
      <c r="E78" s="8" t="s">
        <v>54</v>
      </c>
      <c r="F78" s="9" t="n">
        <v>99.26</v>
      </c>
      <c r="G78" s="10" t="n">
        <v>0.59</v>
      </c>
      <c r="H78" s="11" t="n">
        <v>0.006</v>
      </c>
      <c r="I78" s="9" t="n">
        <v>99.05</v>
      </c>
      <c r="J78" s="9" t="n">
        <v>99.01</v>
      </c>
      <c r="K78" s="9" t="n">
        <v>99.26</v>
      </c>
      <c r="L78" s="9" t="n">
        <v>99.26</v>
      </c>
      <c r="M78" s="12" t="n">
        <v>5</v>
      </c>
      <c r="N78" s="12" t="n">
        <f aca="false">F78*M78</f>
        <v>496.3</v>
      </c>
      <c r="O78" s="9" t="n">
        <v>96.57</v>
      </c>
      <c r="P78" s="9" t="n">
        <v>102.9</v>
      </c>
      <c r="Q78" s="13" t="n">
        <f aca="false">IF(P78-O78=0,"",(F78-O78)/(P78-O78))</f>
        <v>0.424960505529227</v>
      </c>
      <c r="R78" s="14" t="n">
        <f aca="false">IF(P78=0,"",F78/P78-1)</f>
        <v>-0.035374149659864</v>
      </c>
      <c r="S78" s="8" t="s">
        <v>54</v>
      </c>
      <c r="T78" s="8" t="s">
        <v>291</v>
      </c>
      <c r="U78" s="15" t="n">
        <v>46288.771875</v>
      </c>
    </row>
    <row r="79" customFormat="false" ht="15" hidden="false" customHeight="false" outlineLevel="0" collapsed="false">
      <c r="A79" s="8" t="s">
        <v>292</v>
      </c>
      <c r="B79" s="8" t="s">
        <v>293</v>
      </c>
      <c r="C79" s="8" t="s">
        <v>20</v>
      </c>
      <c r="D79" s="8" t="s">
        <v>79</v>
      </c>
      <c r="E79" s="8" t="s">
        <v>54</v>
      </c>
      <c r="F79" s="9" t="n">
        <v>131.35</v>
      </c>
      <c r="G79" s="10" t="n">
        <v>-0.66</v>
      </c>
      <c r="H79" s="11" t="n">
        <v>-0.005</v>
      </c>
      <c r="I79" s="9" t="n">
        <v>132.9</v>
      </c>
      <c r="J79" s="9" t="n">
        <v>131.35</v>
      </c>
      <c r="K79" s="9" t="n">
        <v>132.9</v>
      </c>
      <c r="L79" s="9" t="n">
        <v>131.35</v>
      </c>
      <c r="M79" s="12" t="n">
        <v>34</v>
      </c>
      <c r="N79" s="12" t="n">
        <f aca="false">F79*M79</f>
        <v>4465.9</v>
      </c>
      <c r="O79" s="9" t="n">
        <v>117.19</v>
      </c>
      <c r="P79" s="9" t="n">
        <v>147.21</v>
      </c>
      <c r="Q79" s="13" t="n">
        <f aca="false">IF(P79-O79=0,"",(F79-O79)/(P79-O79))</f>
        <v>0.471685542971352</v>
      </c>
      <c r="R79" s="14" t="n">
        <f aca="false">IF(P79=0,"",F79/P79-1)</f>
        <v>-0.107737246110998</v>
      </c>
      <c r="S79" s="8" t="s">
        <v>54</v>
      </c>
      <c r="T79" s="8" t="s">
        <v>294</v>
      </c>
      <c r="U79" s="15" t="n">
        <v>46288.771875</v>
      </c>
    </row>
    <row r="80" customFormat="false" ht="15" hidden="false" customHeight="false" outlineLevel="0" collapsed="false">
      <c r="A80" s="8" t="s">
        <v>295</v>
      </c>
      <c r="B80" s="8" t="s">
        <v>296</v>
      </c>
      <c r="C80" s="8" t="s">
        <v>20</v>
      </c>
      <c r="D80" s="8" t="s">
        <v>79</v>
      </c>
      <c r="E80" s="8" t="s">
        <v>54</v>
      </c>
      <c r="F80" s="9" t="n">
        <v>191.17</v>
      </c>
      <c r="G80" s="10" t="n">
        <v>-2.47</v>
      </c>
      <c r="H80" s="11" t="n">
        <v>-0.0128</v>
      </c>
      <c r="I80" s="9" t="n">
        <v>192</v>
      </c>
      <c r="J80" s="9" t="n">
        <v>190.83</v>
      </c>
      <c r="K80" s="9" t="n">
        <v>194.71</v>
      </c>
      <c r="L80" s="9" t="n">
        <v>191.44</v>
      </c>
      <c r="M80" s="12" t="n">
        <v>16341</v>
      </c>
      <c r="N80" s="12" t="n">
        <f aca="false">F80*M80</f>
        <v>3123908.97</v>
      </c>
      <c r="O80" s="9" t="n">
        <v>148.17</v>
      </c>
      <c r="P80" s="9" t="n">
        <v>205.98</v>
      </c>
      <c r="Q80" s="13" t="n">
        <f aca="false">IF(P80-O80=0,"",(F80-O80)/(P80-O80))</f>
        <v>0.743815948797786</v>
      </c>
      <c r="R80" s="14" t="n">
        <f aca="false">IF(P80=0,"",F80/P80-1)</f>
        <v>-0.0719001844839305</v>
      </c>
      <c r="S80" s="8" t="s">
        <v>54</v>
      </c>
      <c r="T80" s="8" t="s">
        <v>297</v>
      </c>
      <c r="U80" s="15" t="n">
        <v>46288.771875</v>
      </c>
    </row>
    <row r="81" customFormat="false" ht="15" hidden="false" customHeight="false" outlineLevel="0" collapsed="false">
      <c r="A81" s="8" t="s">
        <v>298</v>
      </c>
      <c r="B81" s="8" t="s">
        <v>299</v>
      </c>
      <c r="C81" s="8" t="s">
        <v>21</v>
      </c>
      <c r="D81" s="8" t="s">
        <v>53</v>
      </c>
      <c r="E81" s="8" t="s">
        <v>54</v>
      </c>
      <c r="F81" s="9" t="n">
        <v>19.95</v>
      </c>
      <c r="G81" s="10" t="n">
        <v>-0.05</v>
      </c>
      <c r="H81" s="11" t="n">
        <v>-0.0025</v>
      </c>
      <c r="I81" s="9" t="n">
        <v>19.95</v>
      </c>
      <c r="J81" s="9" t="n">
        <v>19.95</v>
      </c>
      <c r="K81" s="9" t="n">
        <v>19.98</v>
      </c>
      <c r="L81" s="9" t="n">
        <v>19.95</v>
      </c>
      <c r="M81" s="12" t="n">
        <v>7333</v>
      </c>
      <c r="N81" s="12" t="n">
        <f aca="false">F81*M81</f>
        <v>146293.35</v>
      </c>
      <c r="O81" s="9" t="n">
        <v>17.81</v>
      </c>
      <c r="P81" s="9" t="n">
        <v>20</v>
      </c>
      <c r="Q81" s="13" t="n">
        <f aca="false">IF(P81-O81=0,"",(F81-O81)/(P81-O81))</f>
        <v>0.977168949771689</v>
      </c>
      <c r="R81" s="14" t="n">
        <f aca="false">IF(P81=0,"",F81/P81-1)</f>
        <v>-0.00250000000000006</v>
      </c>
      <c r="S81" s="8" t="s">
        <v>54</v>
      </c>
      <c r="T81" s="8" t="s">
        <v>300</v>
      </c>
      <c r="U81" s="15" t="n">
        <v>46288.771875</v>
      </c>
    </row>
    <row r="82" customFormat="false" ht="15" hidden="false" customHeight="false" outlineLevel="0" collapsed="false">
      <c r="A82" s="8" t="s">
        <v>301</v>
      </c>
      <c r="B82" s="8" t="s">
        <v>302</v>
      </c>
      <c r="C82" s="8" t="s">
        <v>25</v>
      </c>
      <c r="D82" s="8" t="s">
        <v>75</v>
      </c>
      <c r="E82" s="8" t="s">
        <v>54</v>
      </c>
      <c r="F82" s="9" t="n">
        <v>94.82</v>
      </c>
      <c r="G82" s="10" t="n">
        <v>1.2</v>
      </c>
      <c r="H82" s="11" t="n">
        <v>0.0128</v>
      </c>
      <c r="I82" s="9" t="n">
        <v>93.55</v>
      </c>
      <c r="J82" s="9" t="n">
        <v>93.55</v>
      </c>
      <c r="K82" s="9" t="n">
        <v>94.91</v>
      </c>
      <c r="L82" s="9" t="n">
        <v>94.82</v>
      </c>
      <c r="M82" s="12" t="n">
        <v>1123</v>
      </c>
      <c r="N82" s="12" t="n">
        <f aca="false">F82*M82</f>
        <v>106482.86</v>
      </c>
      <c r="O82" s="9" t="n">
        <v>88</v>
      </c>
      <c r="P82" s="9" t="n">
        <v>102.7</v>
      </c>
      <c r="Q82" s="13" t="n">
        <f aca="false">IF(P82-O82=0,"",(F82-O82)/(P82-O82))</f>
        <v>0.463945578231292</v>
      </c>
      <c r="R82" s="14" t="n">
        <f aca="false">IF(P82=0,"",F82/P82-1)</f>
        <v>-0.0767283349561831</v>
      </c>
      <c r="S82" s="8" t="s">
        <v>54</v>
      </c>
      <c r="T82" s="8" t="s">
        <v>303</v>
      </c>
      <c r="U82" s="15" t="n">
        <v>46288.771875</v>
      </c>
    </row>
    <row r="83" customFormat="false" ht="15" hidden="false" customHeight="false" outlineLevel="0" collapsed="false">
      <c r="A83" s="8" t="s">
        <v>304</v>
      </c>
      <c r="B83" s="8" t="s">
        <v>305</v>
      </c>
      <c r="C83" s="8" t="s">
        <v>23</v>
      </c>
      <c r="D83" s="8" t="s">
        <v>67</v>
      </c>
      <c r="E83" s="8" t="s">
        <v>54</v>
      </c>
      <c r="F83" s="9" t="n">
        <v>22.98</v>
      </c>
      <c r="G83" s="10" t="n">
        <v>-0.29</v>
      </c>
      <c r="H83" s="11" t="n">
        <v>-0.0125</v>
      </c>
      <c r="I83" s="9" t="n">
        <v>23.17</v>
      </c>
      <c r="J83" s="9" t="n">
        <v>22.76</v>
      </c>
      <c r="K83" s="9" t="n">
        <v>23.57</v>
      </c>
      <c r="L83" s="9" t="n">
        <v>22.98</v>
      </c>
      <c r="M83" s="12" t="n">
        <v>993</v>
      </c>
      <c r="N83" s="12" t="n">
        <f aca="false">F83*M83</f>
        <v>22819.14</v>
      </c>
      <c r="O83" s="9" t="n">
        <v>16.12</v>
      </c>
      <c r="P83" s="9" t="n">
        <v>40.92</v>
      </c>
      <c r="Q83" s="13" t="n">
        <f aca="false">IF(P83-O83=0,"",(F83-O83)/(P83-O83))</f>
        <v>0.276612903225806</v>
      </c>
      <c r="R83" s="14" t="n">
        <f aca="false">IF(P83=0,"",F83/P83-1)</f>
        <v>-0.43841642228739</v>
      </c>
      <c r="S83" s="8" t="s">
        <v>54</v>
      </c>
      <c r="T83" s="8" t="s">
        <v>306</v>
      </c>
      <c r="U83" s="15" t="n">
        <v>46288.771875</v>
      </c>
    </row>
    <row r="84" customFormat="false" ht="15" hidden="false" customHeight="false" outlineLevel="0" collapsed="false">
      <c r="A84" s="8" t="s">
        <v>307</v>
      </c>
      <c r="B84" s="8" t="s">
        <v>308</v>
      </c>
      <c r="C84" s="8" t="s">
        <v>23</v>
      </c>
      <c r="D84" s="8" t="s">
        <v>67</v>
      </c>
      <c r="E84" s="8" t="s">
        <v>54</v>
      </c>
      <c r="F84" s="9" t="n">
        <v>84.6</v>
      </c>
      <c r="G84" s="10" t="n">
        <v>0</v>
      </c>
      <c r="H84" s="11" t="n">
        <v>0</v>
      </c>
      <c r="I84" s="9" t="n">
        <v>84.6</v>
      </c>
      <c r="J84" s="9" t="n">
        <v>84.6</v>
      </c>
      <c r="K84" s="9" t="n">
        <v>84.6</v>
      </c>
      <c r="L84" s="9" t="n">
        <v>84.6</v>
      </c>
      <c r="M84" s="12" t="n">
        <v>14</v>
      </c>
      <c r="N84" s="12" t="n">
        <f aca="false">F84*M84</f>
        <v>1184.4</v>
      </c>
      <c r="O84" s="9" t="n">
        <v>58.5</v>
      </c>
      <c r="P84" s="9" t="n">
        <v>110.85</v>
      </c>
      <c r="Q84" s="13" t="n">
        <f aca="false">IF(P84-O84=0,"",(F84-O84)/(P84-O84))</f>
        <v>0.498567335243553</v>
      </c>
      <c r="R84" s="14" t="n">
        <f aca="false">IF(P84=0,"",F84/P84-1)</f>
        <v>-0.23680649526387</v>
      </c>
      <c r="S84" s="8" t="s">
        <v>54</v>
      </c>
      <c r="T84" s="8" t="s">
        <v>309</v>
      </c>
      <c r="U84" s="15" t="n">
        <v>46288.771875</v>
      </c>
    </row>
    <row r="85" customFormat="false" ht="15" hidden="false" customHeight="false" outlineLevel="0" collapsed="false">
      <c r="A85" s="8" t="s">
        <v>310</v>
      </c>
      <c r="B85" s="8" t="s">
        <v>311</v>
      </c>
      <c r="C85" s="8" t="s">
        <v>23</v>
      </c>
      <c r="D85" s="8" t="s">
        <v>67</v>
      </c>
      <c r="E85" s="8" t="s">
        <v>54</v>
      </c>
      <c r="F85" s="9" t="n">
        <v>29.62</v>
      </c>
      <c r="G85" s="10" t="n">
        <v>-0.23</v>
      </c>
      <c r="H85" s="11" t="n">
        <v>-0.0077</v>
      </c>
      <c r="I85" s="9" t="n">
        <v>29.85</v>
      </c>
      <c r="J85" s="9" t="n">
        <v>29.35</v>
      </c>
      <c r="K85" s="9" t="n">
        <v>29.94</v>
      </c>
      <c r="L85" s="9" t="n">
        <v>29.62</v>
      </c>
      <c r="M85" s="12" t="n">
        <v>137</v>
      </c>
      <c r="N85" s="12" t="n">
        <f aca="false">F85*M85</f>
        <v>4057.94</v>
      </c>
      <c r="O85" s="9" t="n">
        <v>23.95</v>
      </c>
      <c r="P85" s="9" t="n">
        <v>34.99</v>
      </c>
      <c r="Q85" s="13" t="n">
        <f aca="false">IF(P85-O85=0,"",(F85-O85)/(P85-O85))</f>
        <v>0.513586956521739</v>
      </c>
      <c r="R85" s="14" t="n">
        <f aca="false">IF(P85=0,"",F85/P85-1)</f>
        <v>-0.153472420691626</v>
      </c>
      <c r="S85" s="8" t="s">
        <v>54</v>
      </c>
      <c r="T85" s="8" t="s">
        <v>312</v>
      </c>
      <c r="U85" s="15" t="n">
        <v>46288.771875</v>
      </c>
    </row>
    <row r="86" customFormat="false" ht="15" hidden="false" customHeight="false" outlineLevel="0" collapsed="false">
      <c r="A86" s="8" t="s">
        <v>313</v>
      </c>
      <c r="B86" s="8" t="s">
        <v>314</v>
      </c>
      <c r="C86" s="8" t="s">
        <v>22</v>
      </c>
      <c r="D86" s="8" t="s">
        <v>71</v>
      </c>
      <c r="E86" s="8" t="s">
        <v>54</v>
      </c>
      <c r="F86" s="9" t="n">
        <v>97.43</v>
      </c>
      <c r="G86" s="10" t="n">
        <v>-0.1</v>
      </c>
      <c r="H86" s="11" t="n">
        <v>-0.001</v>
      </c>
      <c r="I86" s="9" t="n">
        <v>98.12</v>
      </c>
      <c r="J86" s="9" t="n">
        <v>97.23</v>
      </c>
      <c r="K86" s="9" t="n">
        <v>98.12</v>
      </c>
      <c r="L86" s="9" t="n">
        <v>97.43</v>
      </c>
      <c r="M86" s="12" t="n">
        <v>430</v>
      </c>
      <c r="N86" s="12" t="n">
        <f aca="false">F86*M86</f>
        <v>41894.9</v>
      </c>
      <c r="O86" s="9" t="n">
        <v>91.5</v>
      </c>
      <c r="P86" s="9" t="n">
        <v>107.49</v>
      </c>
      <c r="Q86" s="13" t="n">
        <f aca="false">IF(P86-O86=0,"",(F86-O86)/(P86-O86))</f>
        <v>0.370856785490932</v>
      </c>
      <c r="R86" s="14" t="n">
        <f aca="false">IF(P86=0,"",F86/P86-1)</f>
        <v>-0.0935901014047817</v>
      </c>
      <c r="S86" s="8" t="s">
        <v>54</v>
      </c>
      <c r="T86" s="8" t="s">
        <v>315</v>
      </c>
      <c r="U86" s="15" t="n">
        <v>46288.771875</v>
      </c>
    </row>
    <row r="87" customFormat="false" ht="15" hidden="false" customHeight="false" outlineLevel="0" collapsed="false">
      <c r="A87" s="8" t="s">
        <v>316</v>
      </c>
      <c r="B87" s="8" t="s">
        <v>317</v>
      </c>
      <c r="C87" s="8" t="s">
        <v>20</v>
      </c>
      <c r="D87" s="8" t="s">
        <v>79</v>
      </c>
      <c r="E87" s="8" t="s">
        <v>54</v>
      </c>
      <c r="F87" s="9" t="n">
        <v>19.62</v>
      </c>
      <c r="G87" s="10" t="n">
        <v>0.3</v>
      </c>
      <c r="H87" s="11" t="n">
        <v>0.0155</v>
      </c>
      <c r="I87" s="9" t="n">
        <v>19.15</v>
      </c>
      <c r="J87" s="9" t="n">
        <v>19.03</v>
      </c>
      <c r="K87" s="9" t="n">
        <v>19.62</v>
      </c>
      <c r="L87" s="9" t="n">
        <v>19.03</v>
      </c>
      <c r="M87" s="12" t="n">
        <v>2926</v>
      </c>
      <c r="N87" s="12" t="n">
        <f aca="false">F87*M87</f>
        <v>57408.12</v>
      </c>
      <c r="O87" s="9" t="n">
        <v>14.5</v>
      </c>
      <c r="P87" s="9" t="n">
        <v>20.39</v>
      </c>
      <c r="Q87" s="13" t="n">
        <f aca="false">IF(P87-O87=0,"",(F87-O87)/(P87-O87))</f>
        <v>0.869269949066214</v>
      </c>
      <c r="R87" s="14" t="n">
        <f aca="false">IF(P87=0,"",F87/P87-1)</f>
        <v>-0.0377636096125552</v>
      </c>
      <c r="S87" s="8" t="s">
        <v>54</v>
      </c>
      <c r="T87" s="8" t="s">
        <v>318</v>
      </c>
      <c r="U87" s="15" t="n">
        <v>46288.771875</v>
      </c>
    </row>
    <row r="88" customFormat="false" ht="15" hidden="false" customHeight="false" outlineLevel="0" collapsed="false">
      <c r="A88" s="8" t="s">
        <v>319</v>
      </c>
      <c r="B88" s="8" t="s">
        <v>320</v>
      </c>
      <c r="C88" s="8" t="s">
        <v>21</v>
      </c>
      <c r="D88" s="8" t="s">
        <v>53</v>
      </c>
      <c r="E88" s="8" t="s">
        <v>54</v>
      </c>
      <c r="F88" s="9" t="n">
        <v>11.24</v>
      </c>
      <c r="G88" s="10" t="n">
        <v>-0.03</v>
      </c>
      <c r="H88" s="11" t="n">
        <v>-0.0027</v>
      </c>
      <c r="I88" s="9" t="n">
        <v>11.28</v>
      </c>
      <c r="J88" s="9" t="n">
        <v>11.24</v>
      </c>
      <c r="K88" s="9" t="n">
        <v>11.28</v>
      </c>
      <c r="L88" s="9" t="n">
        <v>11.24</v>
      </c>
      <c r="M88" s="12" t="n">
        <v>7000</v>
      </c>
      <c r="N88" s="12" t="n">
        <f aca="false">F88*M88</f>
        <v>78680</v>
      </c>
      <c r="O88" s="9" t="n">
        <v>10</v>
      </c>
      <c r="P88" s="9" t="n">
        <v>11.29</v>
      </c>
      <c r="Q88" s="13" t="n">
        <f aca="false">IF(P88-O88=0,"",(F88-O88)/(P88-O88))</f>
        <v>0.96124031007752</v>
      </c>
      <c r="R88" s="14" t="n">
        <f aca="false">IF(P88=0,"",F88/P88-1)</f>
        <v>-0.00442869796279888</v>
      </c>
      <c r="S88" s="8" t="s">
        <v>54</v>
      </c>
      <c r="T88" s="8" t="s">
        <v>321</v>
      </c>
      <c r="U88" s="15" t="n">
        <v>46288.771875</v>
      </c>
    </row>
    <row r="89" customFormat="false" ht="15" hidden="false" customHeight="false" outlineLevel="0" collapsed="false">
      <c r="A89" s="8" t="s">
        <v>322</v>
      </c>
      <c r="B89" s="8" t="s">
        <v>323</v>
      </c>
      <c r="C89" s="8" t="s">
        <v>24</v>
      </c>
      <c r="D89" s="8" t="s">
        <v>100</v>
      </c>
      <c r="E89" s="8" t="s">
        <v>54</v>
      </c>
      <c r="F89" s="9" t="n">
        <v>56.4</v>
      </c>
      <c r="G89" s="10" t="n">
        <v>-0.65</v>
      </c>
      <c r="H89" s="11" t="n">
        <v>-0.0114</v>
      </c>
      <c r="I89" s="9" t="n">
        <v>56.8</v>
      </c>
      <c r="J89" s="9" t="n">
        <v>56.4</v>
      </c>
      <c r="K89" s="9" t="n">
        <v>56.8</v>
      </c>
      <c r="L89" s="9" t="n">
        <v>56.46</v>
      </c>
      <c r="M89" s="12" t="n">
        <v>2180</v>
      </c>
      <c r="N89" s="12" t="n">
        <f aca="false">F89*M89</f>
        <v>122952</v>
      </c>
      <c r="O89" s="9" t="n">
        <v>49.81</v>
      </c>
      <c r="P89" s="9" t="n">
        <v>71.6</v>
      </c>
      <c r="Q89" s="13" t="n">
        <f aca="false">IF(P89-O89=0,"",(F89-O89)/(P89-O89))</f>
        <v>0.302432308398348</v>
      </c>
      <c r="R89" s="14" t="n">
        <f aca="false">IF(P89=0,"",F89/P89-1)</f>
        <v>-0.212290502793296</v>
      </c>
      <c r="S89" s="8" t="s">
        <v>54</v>
      </c>
      <c r="T89" s="8" t="s">
        <v>324</v>
      </c>
      <c r="U89" s="15" t="n">
        <v>46288.771875</v>
      </c>
    </row>
    <row r="90" customFormat="false" ht="15" hidden="false" customHeight="false" outlineLevel="0" collapsed="false">
      <c r="A90" s="8" t="s">
        <v>325</v>
      </c>
      <c r="B90" s="8" t="s">
        <v>326</v>
      </c>
      <c r="C90" s="8" t="s">
        <v>22</v>
      </c>
      <c r="D90" s="8" t="s">
        <v>71</v>
      </c>
      <c r="E90" s="8" t="s">
        <v>54</v>
      </c>
      <c r="F90" s="9" t="n">
        <v>103.25</v>
      </c>
      <c r="G90" s="10" t="n">
        <v>-0.64</v>
      </c>
      <c r="H90" s="11" t="n">
        <v>-0.0062</v>
      </c>
      <c r="I90" s="9" t="n">
        <v>103.5</v>
      </c>
      <c r="J90" s="9" t="n">
        <v>102.68</v>
      </c>
      <c r="K90" s="9" t="n">
        <v>103.5</v>
      </c>
      <c r="L90" s="9" t="n">
        <v>103.28</v>
      </c>
      <c r="M90" s="12" t="n">
        <v>3681</v>
      </c>
      <c r="N90" s="12" t="n">
        <f aca="false">F90*M90</f>
        <v>380063.25</v>
      </c>
      <c r="O90" s="9" t="n">
        <v>93.49</v>
      </c>
      <c r="P90" s="9" t="n">
        <v>136.05</v>
      </c>
      <c r="Q90" s="13" t="n">
        <f aca="false">IF(P90-O90=0,"",(F90-O90)/(P90-O90))</f>
        <v>0.229323308270677</v>
      </c>
      <c r="R90" s="14" t="n">
        <f aca="false">IF(P90=0,"",F90/P90-1)</f>
        <v>-0.241087835354649</v>
      </c>
      <c r="S90" s="8" t="s">
        <v>54</v>
      </c>
      <c r="T90" s="8" t="s">
        <v>327</v>
      </c>
      <c r="U90" s="15" t="n">
        <v>46288.771875</v>
      </c>
    </row>
    <row r="91" customFormat="false" ht="15" hidden="false" customHeight="false" outlineLevel="0" collapsed="false">
      <c r="A91" s="8" t="s">
        <v>328</v>
      </c>
      <c r="B91" s="8" t="s">
        <v>329</v>
      </c>
      <c r="C91" s="8" t="s">
        <v>21</v>
      </c>
      <c r="D91" s="8" t="s">
        <v>53</v>
      </c>
      <c r="E91" s="8" t="s">
        <v>54</v>
      </c>
      <c r="F91" s="9" t="n">
        <v>113.81</v>
      </c>
      <c r="G91" s="10" t="n">
        <v>0.06</v>
      </c>
      <c r="H91" s="11" t="n">
        <v>0.0005</v>
      </c>
      <c r="I91" s="9" t="n">
        <v>113.81</v>
      </c>
      <c r="J91" s="9" t="n">
        <v>113.77</v>
      </c>
      <c r="K91" s="9" t="n">
        <v>113.81</v>
      </c>
      <c r="L91" s="9" t="n">
        <v>113.81</v>
      </c>
      <c r="M91" s="12" t="n">
        <v>3807</v>
      </c>
      <c r="N91" s="12" t="n">
        <f aca="false">F91*M91</f>
        <v>433274.67</v>
      </c>
      <c r="O91" s="9" t="n">
        <v>100.07</v>
      </c>
      <c r="P91" s="9" t="n">
        <v>113.9</v>
      </c>
      <c r="Q91" s="13" t="n">
        <f aca="false">IF(P91-O91=0,"",(F91-O91)/(P91-O91))</f>
        <v>0.99349240780911</v>
      </c>
      <c r="R91" s="14" t="n">
        <f aca="false">IF(P91=0,"",F91/P91-1)</f>
        <v>-0.000790166812993931</v>
      </c>
      <c r="S91" s="8" t="s">
        <v>54</v>
      </c>
      <c r="T91" s="8" t="s">
        <v>330</v>
      </c>
      <c r="U91" s="15" t="n">
        <v>46288.771875</v>
      </c>
    </row>
    <row r="92" customFormat="false" ht="15" hidden="false" customHeight="false" outlineLevel="0" collapsed="false">
      <c r="A92" s="8" t="s">
        <v>331</v>
      </c>
      <c r="B92" s="8" t="s">
        <v>332</v>
      </c>
      <c r="C92" s="8" t="s">
        <v>20</v>
      </c>
      <c r="D92" s="8" t="s">
        <v>79</v>
      </c>
      <c r="E92" s="8" t="s">
        <v>54</v>
      </c>
      <c r="F92" s="9" t="n">
        <v>100</v>
      </c>
      <c r="G92" s="10" t="n">
        <v>-1.98</v>
      </c>
      <c r="H92" s="11" t="n">
        <v>-0.0194</v>
      </c>
      <c r="I92" s="9" t="n">
        <v>103</v>
      </c>
      <c r="J92" s="9" t="n">
        <v>100</v>
      </c>
      <c r="K92" s="9" t="n">
        <v>103</v>
      </c>
      <c r="L92" s="9" t="n">
        <v>100</v>
      </c>
      <c r="M92" s="12" t="n">
        <v>132</v>
      </c>
      <c r="N92" s="12" t="n">
        <f aca="false">F92*M92</f>
        <v>13200</v>
      </c>
      <c r="O92" s="9" t="n">
        <v>99.59</v>
      </c>
      <c r="P92" s="9" t="n">
        <v>105.99</v>
      </c>
      <c r="Q92" s="13" t="n">
        <f aca="false">IF(P92-O92=0,"",(F92-O92)/(P92-O92))</f>
        <v>0.0640624999999996</v>
      </c>
      <c r="R92" s="14" t="n">
        <f aca="false">IF(P92=0,"",F92/P92-1)</f>
        <v>-0.0565147655439192</v>
      </c>
      <c r="S92" s="8" t="s">
        <v>54</v>
      </c>
      <c r="T92" s="8" t="s">
        <v>333</v>
      </c>
      <c r="U92" s="15" t="n">
        <v>46288.771875</v>
      </c>
    </row>
    <row r="93" customFormat="false" ht="15" hidden="false" customHeight="false" outlineLevel="0" collapsed="false">
      <c r="A93" s="8" t="s">
        <v>334</v>
      </c>
      <c r="B93" s="8" t="s">
        <v>335</v>
      </c>
      <c r="C93" s="8" t="s">
        <v>21</v>
      </c>
      <c r="D93" s="8" t="s">
        <v>53</v>
      </c>
      <c r="E93" s="8" t="s">
        <v>54</v>
      </c>
      <c r="F93" s="9" t="n">
        <v>58.81</v>
      </c>
      <c r="G93" s="10" t="n">
        <v>0.09</v>
      </c>
      <c r="H93" s="11" t="n">
        <v>0.0015</v>
      </c>
      <c r="I93" s="9" t="n">
        <v>58.72</v>
      </c>
      <c r="J93" s="9" t="n">
        <v>58.72</v>
      </c>
      <c r="K93" s="9" t="n">
        <v>59.97</v>
      </c>
      <c r="L93" s="9" t="n">
        <v>58.81</v>
      </c>
      <c r="M93" s="12" t="n">
        <v>6701</v>
      </c>
      <c r="N93" s="12" t="n">
        <f aca="false">F93*M93</f>
        <v>394085.81</v>
      </c>
      <c r="O93" s="9" t="n">
        <v>51.6</v>
      </c>
      <c r="P93" s="9" t="n">
        <v>60</v>
      </c>
      <c r="Q93" s="13" t="n">
        <f aca="false">IF(P93-O93=0,"",(F93-O93)/(P93-O93))</f>
        <v>0.858333333333334</v>
      </c>
      <c r="R93" s="14" t="n">
        <f aca="false">IF(P93=0,"",F93/P93-1)</f>
        <v>-0.0198333333333333</v>
      </c>
      <c r="S93" s="8" t="s">
        <v>54</v>
      </c>
      <c r="T93" s="8" t="s">
        <v>336</v>
      </c>
      <c r="U93" s="15" t="n">
        <v>46288.771875</v>
      </c>
    </row>
    <row r="94" customFormat="false" ht="15" hidden="false" customHeight="false" outlineLevel="0" collapsed="false">
      <c r="A94" s="8" t="s">
        <v>337</v>
      </c>
      <c r="B94" s="8" t="s">
        <v>338</v>
      </c>
      <c r="C94" s="8" t="s">
        <v>24</v>
      </c>
      <c r="D94" s="8" t="s">
        <v>100</v>
      </c>
      <c r="E94" s="8" t="s">
        <v>54</v>
      </c>
      <c r="F94" s="9" t="n">
        <v>108.63</v>
      </c>
      <c r="G94" s="10" t="n">
        <v>-1.54</v>
      </c>
      <c r="H94" s="11" t="n">
        <v>-0.014</v>
      </c>
      <c r="I94" s="9" t="n">
        <v>110.06</v>
      </c>
      <c r="J94" s="9" t="n">
        <v>108.39</v>
      </c>
      <c r="K94" s="9" t="n">
        <v>110.06</v>
      </c>
      <c r="L94" s="9" t="n">
        <v>109.44</v>
      </c>
      <c r="M94" s="12" t="n">
        <v>3933</v>
      </c>
      <c r="N94" s="12" t="n">
        <f aca="false">F94*M94</f>
        <v>427241.79</v>
      </c>
      <c r="O94" s="9" t="n">
        <v>95</v>
      </c>
      <c r="P94" s="9" t="n">
        <v>136.9</v>
      </c>
      <c r="Q94" s="13" t="n">
        <f aca="false">IF(P94-O94=0,"",(F94-O94)/(P94-O94))</f>
        <v>0.325298329355608</v>
      </c>
      <c r="R94" s="14" t="n">
        <f aca="false">IF(P94=0,"",F94/P94-1)</f>
        <v>-0.206501095690285</v>
      </c>
      <c r="S94" s="8" t="s">
        <v>54</v>
      </c>
      <c r="T94" s="8" t="s">
        <v>339</v>
      </c>
      <c r="U94" s="15" t="n">
        <v>46288.771875</v>
      </c>
    </row>
    <row r="95" customFormat="false" ht="15" hidden="false" customHeight="false" outlineLevel="0" collapsed="false">
      <c r="A95" s="8" t="s">
        <v>340</v>
      </c>
      <c r="B95" s="8" t="s">
        <v>341</v>
      </c>
      <c r="C95" s="8" t="s">
        <v>24</v>
      </c>
      <c r="D95" s="8" t="s">
        <v>100</v>
      </c>
      <c r="E95" s="8" t="s">
        <v>54</v>
      </c>
      <c r="F95" s="9" t="n">
        <v>22.91</v>
      </c>
      <c r="G95" s="10" t="n">
        <v>-0.19</v>
      </c>
      <c r="H95" s="11" t="n">
        <v>-0.0082</v>
      </c>
      <c r="I95" s="9" t="n">
        <v>23</v>
      </c>
      <c r="J95" s="9" t="n">
        <v>22.82</v>
      </c>
      <c r="K95" s="9" t="n">
        <v>23.01</v>
      </c>
      <c r="L95" s="9" t="n">
        <v>22.96</v>
      </c>
      <c r="M95" s="12" t="n">
        <v>1978653</v>
      </c>
      <c r="N95" s="12" t="n">
        <f aca="false">F95*M95</f>
        <v>45330940.23</v>
      </c>
      <c r="O95" s="9" t="n">
        <v>20.75</v>
      </c>
      <c r="P95" s="9" t="n">
        <v>30.14</v>
      </c>
      <c r="Q95" s="13" t="n">
        <f aca="false">IF(P95-O95=0,"",(F95-O95)/(P95-O95))</f>
        <v>0.230031948881789</v>
      </c>
      <c r="R95" s="14" t="n">
        <f aca="false">IF(P95=0,"",F95/P95-1)</f>
        <v>-0.239880557398806</v>
      </c>
      <c r="S95" s="8" t="s">
        <v>54</v>
      </c>
      <c r="T95" s="8" t="s">
        <v>342</v>
      </c>
      <c r="U95" s="15" t="n">
        <v>46288.771875</v>
      </c>
    </row>
    <row r="96" customFormat="false" ht="15" hidden="false" customHeight="false" outlineLevel="0" collapsed="false">
      <c r="A96" s="8" t="s">
        <v>343</v>
      </c>
      <c r="B96" s="8" t="s">
        <v>344</v>
      </c>
      <c r="C96" s="8" t="s">
        <v>24</v>
      </c>
      <c r="D96" s="8" t="s">
        <v>100</v>
      </c>
      <c r="E96" s="8" t="s">
        <v>54</v>
      </c>
      <c r="F96" s="9" t="n">
        <v>51.25</v>
      </c>
      <c r="G96" s="10" t="n">
        <v>-0.76</v>
      </c>
      <c r="H96" s="11" t="n">
        <v>-0.0146</v>
      </c>
      <c r="I96" s="9" t="n">
        <v>51.4</v>
      </c>
      <c r="J96" s="9" t="n">
        <v>51.03</v>
      </c>
      <c r="K96" s="9" t="n">
        <v>51.74</v>
      </c>
      <c r="L96" s="9" t="n">
        <v>51.12</v>
      </c>
      <c r="M96" s="12" t="n">
        <v>94166</v>
      </c>
      <c r="N96" s="12" t="n">
        <f aca="false">F96*M96</f>
        <v>4826007.5</v>
      </c>
      <c r="O96" s="9" t="n">
        <v>46</v>
      </c>
      <c r="P96" s="9" t="n">
        <v>66</v>
      </c>
      <c r="Q96" s="13" t="n">
        <f aca="false">IF(P96-O96=0,"",(F96-O96)/(P96-O96))</f>
        <v>0.2625</v>
      </c>
      <c r="R96" s="14" t="n">
        <f aca="false">IF(P96=0,"",F96/P96-1)</f>
        <v>-0.223484848484849</v>
      </c>
      <c r="S96" s="8" t="s">
        <v>54</v>
      </c>
      <c r="T96" s="8" t="s">
        <v>345</v>
      </c>
      <c r="U96" s="15" t="n">
        <v>46288.771875</v>
      </c>
    </row>
    <row r="97" customFormat="false" ht="15" hidden="false" customHeight="false" outlineLevel="0" collapsed="false">
      <c r="A97" s="8" t="s">
        <v>346</v>
      </c>
      <c r="B97" s="8" t="s">
        <v>347</v>
      </c>
      <c r="C97" s="8" t="s">
        <v>20</v>
      </c>
      <c r="D97" s="8" t="s">
        <v>79</v>
      </c>
      <c r="E97" s="8" t="s">
        <v>54</v>
      </c>
      <c r="F97" s="9" t="n">
        <v>80.87</v>
      </c>
      <c r="G97" s="10" t="n">
        <v>-0.21</v>
      </c>
      <c r="H97" s="11" t="n">
        <v>-0.0026</v>
      </c>
      <c r="I97" s="9" t="n">
        <v>81.08</v>
      </c>
      <c r="J97" s="9" t="n">
        <v>80.87</v>
      </c>
      <c r="K97" s="9" t="n">
        <v>81.78</v>
      </c>
      <c r="L97" s="9" t="n">
        <v>80.87</v>
      </c>
      <c r="M97" s="12" t="n">
        <v>17</v>
      </c>
      <c r="N97" s="12" t="n">
        <f aca="false">F97*M97</f>
        <v>1374.79</v>
      </c>
      <c r="O97" s="9" t="n">
        <v>61.68</v>
      </c>
      <c r="P97" s="9" t="n">
        <v>86.76</v>
      </c>
      <c r="Q97" s="13" t="n">
        <f aca="false">IF(P97-O97=0,"",(F97-O97)/(P97-O97))</f>
        <v>0.765151515151515</v>
      </c>
      <c r="R97" s="14" t="n">
        <f aca="false">IF(P97=0,"",F97/P97-1)</f>
        <v>-0.0678884278469341</v>
      </c>
      <c r="S97" s="8" t="s">
        <v>54</v>
      </c>
      <c r="T97" s="8" t="s">
        <v>348</v>
      </c>
      <c r="U97" s="15" t="n">
        <v>46288.771875</v>
      </c>
    </row>
    <row r="98" customFormat="false" ht="15" hidden="false" customHeight="false" outlineLevel="0" collapsed="false">
      <c r="A98" s="8" t="s">
        <v>349</v>
      </c>
      <c r="B98" s="8" t="s">
        <v>350</v>
      </c>
      <c r="C98" s="8" t="s">
        <v>21</v>
      </c>
      <c r="D98" s="8" t="s">
        <v>53</v>
      </c>
      <c r="E98" s="8" t="s">
        <v>54</v>
      </c>
      <c r="F98" s="9" t="n">
        <v>26.24</v>
      </c>
      <c r="G98" s="10" t="n">
        <v>0.01</v>
      </c>
      <c r="H98" s="11" t="n">
        <v>0.0004</v>
      </c>
      <c r="I98" s="9" t="n">
        <v>26.23</v>
      </c>
      <c r="J98" s="9" t="n">
        <v>26.21</v>
      </c>
      <c r="K98" s="9" t="n">
        <v>26.28</v>
      </c>
      <c r="L98" s="9" t="n">
        <v>26.28</v>
      </c>
      <c r="M98" s="12" t="n">
        <v>178261</v>
      </c>
      <c r="N98" s="12" t="n">
        <f aca="false">F98*M98</f>
        <v>4677568.64</v>
      </c>
      <c r="O98" s="9" t="n">
        <v>24.93</v>
      </c>
      <c r="P98" s="9" t="n">
        <v>26.3</v>
      </c>
      <c r="Q98" s="13" t="n">
        <f aca="false">IF(P98-O98=0,"",(F98-O98)/(P98-O98))</f>
        <v>0.956204379562042</v>
      </c>
      <c r="R98" s="14" t="n">
        <f aca="false">IF(P98=0,"",F98/P98-1)</f>
        <v>-0.00228136882129282</v>
      </c>
      <c r="S98" s="8" t="s">
        <v>54</v>
      </c>
      <c r="T98" s="8" t="s">
        <v>351</v>
      </c>
      <c r="U98" s="15" t="n">
        <v>46288.771875</v>
      </c>
    </row>
    <row r="99" customFormat="false" ht="15" hidden="false" customHeight="false" outlineLevel="0" collapsed="false">
      <c r="A99" s="8" t="s">
        <v>352</v>
      </c>
      <c r="B99" s="8" t="s">
        <v>353</v>
      </c>
      <c r="C99" s="8" t="s">
        <v>21</v>
      </c>
      <c r="D99" s="8" t="s">
        <v>53</v>
      </c>
      <c r="E99" s="8" t="s">
        <v>54</v>
      </c>
      <c r="F99" s="9" t="n">
        <v>25.29</v>
      </c>
      <c r="G99" s="10" t="n">
        <v>0</v>
      </c>
      <c r="H99" s="11" t="n">
        <v>0</v>
      </c>
      <c r="I99" s="9" t="n">
        <v>25.3</v>
      </c>
      <c r="J99" s="9" t="n">
        <v>25.28</v>
      </c>
      <c r="K99" s="9" t="n">
        <v>25.35</v>
      </c>
      <c r="L99" s="9" t="n">
        <v>25.29</v>
      </c>
      <c r="M99" s="12" t="n">
        <v>422095</v>
      </c>
      <c r="N99" s="12" t="n">
        <f aca="false">F99*M99</f>
        <v>10674782.55</v>
      </c>
      <c r="O99" s="9" t="n">
        <v>25.05</v>
      </c>
      <c r="P99" s="9" t="n">
        <v>25.4</v>
      </c>
      <c r="Q99" s="13" t="n">
        <f aca="false">IF(P99-O99=0,"",(F99-O99)/(P99-O99))</f>
        <v>0.685714285714285</v>
      </c>
      <c r="R99" s="14" t="n">
        <f aca="false">IF(P99=0,"",F99/P99-1)</f>
        <v>-0.00433070866141727</v>
      </c>
      <c r="S99" s="8" t="s">
        <v>54</v>
      </c>
      <c r="T99" s="8" t="s">
        <v>354</v>
      </c>
      <c r="U99" s="15" t="n">
        <v>46288.771875</v>
      </c>
    </row>
    <row r="100" customFormat="false" ht="15" hidden="false" customHeight="false" outlineLevel="0" collapsed="false">
      <c r="A100" s="8" t="s">
        <v>355</v>
      </c>
      <c r="B100" s="8" t="s">
        <v>356</v>
      </c>
      <c r="C100" s="8" t="s">
        <v>22</v>
      </c>
      <c r="D100" s="8" t="s">
        <v>71</v>
      </c>
      <c r="E100" s="8" t="s">
        <v>54</v>
      </c>
      <c r="F100" s="9" t="n">
        <v>120.52</v>
      </c>
      <c r="G100" s="10" t="n">
        <v>0.7</v>
      </c>
      <c r="H100" s="11" t="n">
        <v>0.0058</v>
      </c>
      <c r="I100" s="9" t="n">
        <v>121.02</v>
      </c>
      <c r="J100" s="9" t="n">
        <v>120.36</v>
      </c>
      <c r="K100" s="9" t="n">
        <v>121.09</v>
      </c>
      <c r="L100" s="9" t="n">
        <v>120.55</v>
      </c>
      <c r="M100" s="12" t="n">
        <v>15249</v>
      </c>
      <c r="N100" s="12" t="n">
        <f aca="false">F100*M100</f>
        <v>1837809.48</v>
      </c>
      <c r="O100" s="9" t="n">
        <v>100.01</v>
      </c>
      <c r="P100" s="9" t="n">
        <v>123.95</v>
      </c>
      <c r="Q100" s="13" t="n">
        <f aca="false">IF(P100-O100=0,"",(F100-O100)/(P100-O100))</f>
        <v>0.85672514619883</v>
      </c>
      <c r="R100" s="14" t="n">
        <f aca="false">IF(P100=0,"",F100/P100-1)</f>
        <v>-0.027672448567971</v>
      </c>
      <c r="S100" s="8" t="s">
        <v>54</v>
      </c>
      <c r="T100" s="8" t="s">
        <v>357</v>
      </c>
      <c r="U100" s="15" t="n">
        <v>46288.771875</v>
      </c>
    </row>
    <row r="101" customFormat="false" ht="15" hidden="false" customHeight="false" outlineLevel="0" collapsed="false">
      <c r="A101" s="8" t="s">
        <v>358</v>
      </c>
      <c r="B101" s="8" t="s">
        <v>359</v>
      </c>
      <c r="C101" s="8" t="s">
        <v>22</v>
      </c>
      <c r="D101" s="8" t="s">
        <v>71</v>
      </c>
      <c r="E101" s="8" t="s">
        <v>54</v>
      </c>
      <c r="F101" s="9" t="n">
        <v>112.8</v>
      </c>
      <c r="G101" s="10" t="n">
        <v>-0.86</v>
      </c>
      <c r="H101" s="11" t="n">
        <v>-0.0076</v>
      </c>
      <c r="I101" s="9" t="n">
        <v>113.72</v>
      </c>
      <c r="J101" s="9" t="n">
        <v>112.67</v>
      </c>
      <c r="K101" s="9" t="n">
        <v>114.32</v>
      </c>
      <c r="L101" s="9" t="n">
        <v>112.9</v>
      </c>
      <c r="M101" s="12" t="n">
        <v>1996</v>
      </c>
      <c r="N101" s="12" t="n">
        <f aca="false">F101*M101</f>
        <v>225148.8</v>
      </c>
      <c r="O101" s="9" t="n">
        <v>99.26</v>
      </c>
      <c r="P101" s="9" t="n">
        <v>120.45</v>
      </c>
      <c r="Q101" s="13" t="n">
        <f aca="false">IF(P101-O101=0,"",(F101-O101)/(P101-O101))</f>
        <v>0.63898065125059</v>
      </c>
      <c r="R101" s="14" t="n">
        <f aca="false">IF(P101=0,"",F101/P101-1)</f>
        <v>-0.0635118306351183</v>
      </c>
      <c r="S101" s="8" t="s">
        <v>54</v>
      </c>
      <c r="T101" s="8" t="s">
        <v>360</v>
      </c>
      <c r="U101" s="15" t="n">
        <v>46288.771875</v>
      </c>
    </row>
    <row r="102" customFormat="false" ht="15" hidden="false" customHeight="false" outlineLevel="0" collapsed="false">
      <c r="A102" s="8" t="s">
        <v>361</v>
      </c>
      <c r="B102" s="8" t="s">
        <v>362</v>
      </c>
      <c r="C102" s="8" t="s">
        <v>23</v>
      </c>
      <c r="D102" s="8" t="s">
        <v>67</v>
      </c>
      <c r="E102" s="8" t="s">
        <v>54</v>
      </c>
      <c r="F102" s="9" t="n">
        <v>56.95</v>
      </c>
      <c r="G102" s="10" t="n">
        <v>-0.9</v>
      </c>
      <c r="H102" s="11" t="n">
        <v>-0.0156</v>
      </c>
      <c r="I102" s="9" t="n">
        <v>57.65</v>
      </c>
      <c r="J102" s="9" t="n">
        <v>56.24</v>
      </c>
      <c r="K102" s="9" t="n">
        <v>57.78</v>
      </c>
      <c r="L102" s="9" t="n">
        <v>57</v>
      </c>
      <c r="M102" s="12" t="n">
        <v>289639</v>
      </c>
      <c r="N102" s="12" t="n">
        <f aca="false">F102*M102</f>
        <v>16494941.05</v>
      </c>
      <c r="O102" s="9" t="n">
        <v>38.8</v>
      </c>
      <c r="P102" s="9" t="n">
        <v>94.9</v>
      </c>
      <c r="Q102" s="13" t="n">
        <f aca="false">IF(P102-O102=0,"",(F102-O102)/(P102-O102))</f>
        <v>0.323529411764706</v>
      </c>
      <c r="R102" s="14" t="n">
        <f aca="false">IF(P102=0,"",F102/P102-1)</f>
        <v>-0.399894625922023</v>
      </c>
      <c r="S102" s="8" t="s">
        <v>54</v>
      </c>
      <c r="T102" s="8" t="s">
        <v>363</v>
      </c>
      <c r="U102" s="15" t="n">
        <v>46288.771875</v>
      </c>
    </row>
    <row r="103" customFormat="false" ht="15" hidden="false" customHeight="false" outlineLevel="0" collapsed="false">
      <c r="A103" s="8" t="s">
        <v>364</v>
      </c>
      <c r="B103" s="8" t="s">
        <v>365</v>
      </c>
      <c r="C103" s="8" t="s">
        <v>27</v>
      </c>
      <c r="D103" s="8" t="s">
        <v>366</v>
      </c>
      <c r="E103" s="8" t="s">
        <v>54</v>
      </c>
      <c r="F103" s="9" t="n">
        <v>20.66</v>
      </c>
      <c r="G103" s="10" t="n">
        <v>-0.04</v>
      </c>
      <c r="H103" s="11" t="n">
        <v>-0.0019</v>
      </c>
      <c r="I103" s="9" t="n">
        <v>20.7</v>
      </c>
      <c r="J103" s="9" t="n">
        <v>20.57</v>
      </c>
      <c r="K103" s="9" t="n">
        <v>20.7</v>
      </c>
      <c r="L103" s="9" t="n">
        <v>20.66</v>
      </c>
      <c r="M103" s="12" t="n">
        <v>79</v>
      </c>
      <c r="N103" s="12" t="n">
        <f aca="false">F103*M103</f>
        <v>1632.14</v>
      </c>
      <c r="O103" s="9" t="n">
        <v>19.5</v>
      </c>
      <c r="P103" s="9" t="n">
        <v>23.68</v>
      </c>
      <c r="Q103" s="13" t="n">
        <f aca="false">IF(P103-O103=0,"",(F103-O103)/(P103-O103))</f>
        <v>0.277511961722488</v>
      </c>
      <c r="R103" s="14" t="n">
        <f aca="false">IF(P103=0,"",F103/P103-1)</f>
        <v>-0.127533783783784</v>
      </c>
      <c r="S103" s="8" t="s">
        <v>54</v>
      </c>
      <c r="T103" s="8" t="s">
        <v>367</v>
      </c>
      <c r="U103" s="15" t="n">
        <v>46288.771875</v>
      </c>
    </row>
    <row r="104" customFormat="false" ht="15" hidden="false" customHeight="false" outlineLevel="0" collapsed="false">
      <c r="A104" s="8" t="s">
        <v>368</v>
      </c>
      <c r="B104" s="8" t="s">
        <v>369</v>
      </c>
      <c r="C104" s="8" t="s">
        <v>20</v>
      </c>
      <c r="D104" s="8" t="s">
        <v>79</v>
      </c>
      <c r="E104" s="8" t="s">
        <v>54</v>
      </c>
      <c r="F104" s="9" t="n">
        <v>84.81</v>
      </c>
      <c r="G104" s="10" t="n">
        <v>-0.65</v>
      </c>
      <c r="H104" s="11" t="n">
        <v>-0.0076</v>
      </c>
      <c r="I104" s="9" t="n">
        <v>84.5</v>
      </c>
      <c r="J104" s="9" t="n">
        <v>84.29</v>
      </c>
      <c r="K104" s="9" t="n">
        <v>86.6</v>
      </c>
      <c r="L104" s="9" t="n">
        <v>84.64</v>
      </c>
      <c r="M104" s="12" t="n">
        <v>42050</v>
      </c>
      <c r="N104" s="12" t="n">
        <f aca="false">F104*M104</f>
        <v>3566260.5</v>
      </c>
      <c r="O104" s="9" t="n">
        <v>71.34</v>
      </c>
      <c r="P104" s="9" t="n">
        <v>108.58</v>
      </c>
      <c r="Q104" s="13" t="n">
        <f aca="false">IF(P104-O104=0,"",(F104-O104)/(P104-O104))</f>
        <v>0.361707841031149</v>
      </c>
      <c r="R104" s="14" t="n">
        <f aca="false">IF(P104=0,"",F104/P104-1)</f>
        <v>-0.218916927610978</v>
      </c>
      <c r="S104" s="8" t="s">
        <v>54</v>
      </c>
      <c r="T104" s="8" t="s">
        <v>370</v>
      </c>
      <c r="U104" s="15" t="n">
        <v>46288.771875</v>
      </c>
    </row>
    <row r="105" customFormat="false" ht="15" hidden="false" customHeight="false" outlineLevel="0" collapsed="false">
      <c r="A105" s="8" t="s">
        <v>371</v>
      </c>
      <c r="B105" s="8" t="s">
        <v>372</v>
      </c>
      <c r="C105" s="8" t="s">
        <v>23</v>
      </c>
      <c r="D105" s="8" t="s">
        <v>67</v>
      </c>
      <c r="E105" s="8" t="s">
        <v>54</v>
      </c>
      <c r="F105" s="9" t="n">
        <v>73.43</v>
      </c>
      <c r="G105" s="10" t="n">
        <v>-0.55</v>
      </c>
      <c r="H105" s="11" t="n">
        <v>-0.0074</v>
      </c>
      <c r="I105" s="9" t="n">
        <v>73.98</v>
      </c>
      <c r="J105" s="9" t="n">
        <v>72.54</v>
      </c>
      <c r="K105" s="9" t="n">
        <v>74.32</v>
      </c>
      <c r="L105" s="9" t="n">
        <v>73.54</v>
      </c>
      <c r="M105" s="12" t="n">
        <v>13283</v>
      </c>
      <c r="N105" s="12" t="n">
        <f aca="false">F105*M105</f>
        <v>975370.69</v>
      </c>
      <c r="O105" s="9" t="n">
        <v>50.68</v>
      </c>
      <c r="P105" s="9" t="n">
        <v>113.17</v>
      </c>
      <c r="Q105" s="13" t="n">
        <f aca="false">IF(P105-O105=0,"",(F105-O105)/(P105-O105))</f>
        <v>0.364058249319891</v>
      </c>
      <c r="R105" s="14" t="n">
        <f aca="false">IF(P105=0,"",F105/P105-1)</f>
        <v>-0.351153132455598</v>
      </c>
      <c r="S105" s="8" t="s">
        <v>54</v>
      </c>
      <c r="T105" s="8" t="s">
        <v>373</v>
      </c>
      <c r="U105" s="15" t="n">
        <v>46288.771875</v>
      </c>
    </row>
    <row r="106" customFormat="false" ht="15" hidden="false" customHeight="false" outlineLevel="0" collapsed="false">
      <c r="A106" s="8" t="s">
        <v>374</v>
      </c>
      <c r="B106" s="8" t="s">
        <v>375</v>
      </c>
      <c r="C106" s="8" t="s">
        <v>22</v>
      </c>
      <c r="D106" s="8" t="s">
        <v>71</v>
      </c>
      <c r="E106" s="8" t="s">
        <v>54</v>
      </c>
      <c r="F106" s="9" t="n">
        <v>75.97</v>
      </c>
      <c r="G106" s="10" t="n">
        <v>0.02</v>
      </c>
      <c r="H106" s="11" t="n">
        <v>0.0003</v>
      </c>
      <c r="I106" s="9" t="n">
        <v>76.71</v>
      </c>
      <c r="J106" s="9" t="n">
        <v>75.64</v>
      </c>
      <c r="K106" s="9" t="n">
        <v>77.09</v>
      </c>
      <c r="L106" s="9" t="n">
        <v>76.26</v>
      </c>
      <c r="M106" s="12" t="n">
        <v>831</v>
      </c>
      <c r="N106" s="12" t="n">
        <f aca="false">F106*M106</f>
        <v>63131.07</v>
      </c>
      <c r="O106" s="9" t="n">
        <v>48.9</v>
      </c>
      <c r="P106" s="9" t="n">
        <v>77.09</v>
      </c>
      <c r="Q106" s="13" t="n">
        <f aca="false">IF(P106-O106=0,"",(F106-O106)/(P106-O106))</f>
        <v>0.960269599148634</v>
      </c>
      <c r="R106" s="14" t="n">
        <f aca="false">IF(P106=0,"",F106/P106-1)</f>
        <v>-0.0145284732131276</v>
      </c>
      <c r="S106" s="8" t="s">
        <v>54</v>
      </c>
      <c r="T106" s="8" t="s">
        <v>376</v>
      </c>
      <c r="U106" s="15" t="n">
        <v>46288.771875</v>
      </c>
    </row>
    <row r="107" customFormat="false" ht="15" hidden="false" customHeight="false" outlineLevel="0" collapsed="false">
      <c r="A107" s="8" t="s">
        <v>377</v>
      </c>
      <c r="B107" s="8" t="s">
        <v>378</v>
      </c>
      <c r="C107" s="8" t="s">
        <v>25</v>
      </c>
      <c r="D107" s="8" t="s">
        <v>75</v>
      </c>
      <c r="E107" s="8" t="s">
        <v>54</v>
      </c>
      <c r="F107" s="9" t="n">
        <v>55.67</v>
      </c>
      <c r="G107" s="10" t="n">
        <v>-0.25</v>
      </c>
      <c r="H107" s="11" t="n">
        <v>-0.0045</v>
      </c>
      <c r="I107" s="9" t="n">
        <v>55.78</v>
      </c>
      <c r="J107" s="9" t="n">
        <v>55.63</v>
      </c>
      <c r="K107" s="9" t="n">
        <v>55.85</v>
      </c>
      <c r="L107" s="9" t="n">
        <v>55.67</v>
      </c>
      <c r="M107" s="12" t="n">
        <v>5123</v>
      </c>
      <c r="N107" s="12" t="n">
        <f aca="false">F107*M107</f>
        <v>285197.41</v>
      </c>
      <c r="O107" s="9" t="n">
        <v>49</v>
      </c>
      <c r="P107" s="9" t="n">
        <v>57.33</v>
      </c>
      <c r="Q107" s="13" t="n">
        <f aca="false">IF(P107-O107=0,"",(F107-O107)/(P107-O107))</f>
        <v>0.800720288115246</v>
      </c>
      <c r="R107" s="14" t="n">
        <f aca="false">IF(P107=0,"",F107/P107-1)</f>
        <v>-0.0289551718123147</v>
      </c>
      <c r="S107" s="8" t="s">
        <v>54</v>
      </c>
      <c r="T107" s="8" t="s">
        <v>379</v>
      </c>
      <c r="U107" s="15" t="n">
        <v>46288.771875</v>
      </c>
    </row>
    <row r="108" customFormat="false" ht="15" hidden="false" customHeight="false" outlineLevel="0" collapsed="false">
      <c r="A108" s="8" t="s">
        <v>380</v>
      </c>
      <c r="B108" s="8" t="s">
        <v>381</v>
      </c>
      <c r="C108" s="8" t="s">
        <v>21</v>
      </c>
      <c r="D108" s="8" t="s">
        <v>53</v>
      </c>
      <c r="E108" s="8" t="s">
        <v>54</v>
      </c>
      <c r="F108" s="9" t="n">
        <v>127.63</v>
      </c>
      <c r="G108" s="10" t="n">
        <v>-0.02</v>
      </c>
      <c r="H108" s="11" t="n">
        <v>-0.0002</v>
      </c>
      <c r="I108" s="9" t="n">
        <v>128</v>
      </c>
      <c r="J108" s="9" t="n">
        <v>127.31</v>
      </c>
      <c r="K108" s="9" t="n">
        <v>128</v>
      </c>
      <c r="L108" s="9" t="n">
        <v>127.63</v>
      </c>
      <c r="M108" s="12" t="n">
        <v>11348</v>
      </c>
      <c r="N108" s="12" t="n">
        <f aca="false">F108*M108</f>
        <v>1448345.24</v>
      </c>
      <c r="O108" s="9" t="n">
        <v>113.26</v>
      </c>
      <c r="P108" s="9" t="n">
        <v>128</v>
      </c>
      <c r="Q108" s="13" t="n">
        <f aca="false">IF(P108-O108=0,"",(F108-O108)/(P108-O108))</f>
        <v>0.974898236092266</v>
      </c>
      <c r="R108" s="14" t="n">
        <f aca="false">IF(P108=0,"",F108/P108-1)</f>
        <v>-0.00289062500000004</v>
      </c>
      <c r="S108" s="8" t="s">
        <v>54</v>
      </c>
      <c r="T108" s="8" t="s">
        <v>382</v>
      </c>
      <c r="U108" s="15" t="n">
        <v>46288.771875</v>
      </c>
    </row>
    <row r="109" customFormat="false" ht="15" hidden="false" customHeight="false" outlineLevel="0" collapsed="false">
      <c r="A109" s="8" t="s">
        <v>383</v>
      </c>
      <c r="B109" s="8" t="s">
        <v>384</v>
      </c>
      <c r="C109" s="8" t="s">
        <v>20</v>
      </c>
      <c r="D109" s="8" t="s">
        <v>79</v>
      </c>
      <c r="E109" s="8" t="s">
        <v>54</v>
      </c>
      <c r="F109" s="9" t="n">
        <v>152.96</v>
      </c>
      <c r="G109" s="10" t="n">
        <v>-1.34</v>
      </c>
      <c r="H109" s="11" t="n">
        <v>-0.0087</v>
      </c>
      <c r="I109" s="9" t="n">
        <v>155.63</v>
      </c>
      <c r="J109" s="9" t="n">
        <v>152.96</v>
      </c>
      <c r="K109" s="9" t="n">
        <v>155.63</v>
      </c>
      <c r="L109" s="9" t="n">
        <v>153</v>
      </c>
      <c r="M109" s="12" t="n">
        <v>2856</v>
      </c>
      <c r="N109" s="12" t="n">
        <f aca="false">F109*M109</f>
        <v>436853.76</v>
      </c>
      <c r="O109" s="9" t="n">
        <v>115</v>
      </c>
      <c r="P109" s="9" t="n">
        <v>164.21</v>
      </c>
      <c r="Q109" s="13" t="n">
        <f aca="false">IF(P109-O109=0,"",(F109-O109)/(P109-O109))</f>
        <v>0.771387929282666</v>
      </c>
      <c r="R109" s="14" t="n">
        <f aca="false">IF(P109=0,"",F109/P109-1)</f>
        <v>-0.0685098349674198</v>
      </c>
      <c r="S109" s="8" t="s">
        <v>54</v>
      </c>
      <c r="T109" s="8" t="s">
        <v>385</v>
      </c>
      <c r="U109" s="15" t="n">
        <v>46288.771875</v>
      </c>
    </row>
    <row r="110" customFormat="false" ht="15" hidden="false" customHeight="false" outlineLevel="0" collapsed="false">
      <c r="A110" s="8" t="s">
        <v>386</v>
      </c>
      <c r="B110" s="8" t="s">
        <v>387</v>
      </c>
      <c r="C110" s="8" t="s">
        <v>21</v>
      </c>
      <c r="D110" s="8" t="s">
        <v>53</v>
      </c>
      <c r="E110" s="8" t="s">
        <v>54</v>
      </c>
      <c r="F110" s="9" t="n">
        <v>61.9</v>
      </c>
      <c r="G110" s="10" t="n">
        <v>-0.22</v>
      </c>
      <c r="H110" s="11" t="n">
        <v>-0.0035</v>
      </c>
      <c r="I110" s="9" t="n">
        <v>62.14</v>
      </c>
      <c r="J110" s="9" t="n">
        <v>61.89</v>
      </c>
      <c r="K110" s="9" t="n">
        <v>62.14</v>
      </c>
      <c r="L110" s="9" t="n">
        <v>61.89</v>
      </c>
      <c r="M110" s="12" t="n">
        <v>8786</v>
      </c>
      <c r="N110" s="12" t="n">
        <f aca="false">F110*M110</f>
        <v>543853.4</v>
      </c>
      <c r="O110" s="9" t="n">
        <v>55.08</v>
      </c>
      <c r="P110" s="9" t="n">
        <v>62.14</v>
      </c>
      <c r="Q110" s="13" t="n">
        <f aca="false">IF(P110-O110=0,"",(F110-O110)/(P110-O110))</f>
        <v>0.966005665722379</v>
      </c>
      <c r="R110" s="14" t="n">
        <f aca="false">IF(P110=0,"",F110/P110-1)</f>
        <v>-0.00386224654007084</v>
      </c>
      <c r="S110" s="8" t="s">
        <v>54</v>
      </c>
      <c r="T110" s="8" t="s">
        <v>388</v>
      </c>
      <c r="U110" s="15" t="n">
        <v>46288.771875</v>
      </c>
    </row>
    <row r="111" customFormat="false" ht="15" hidden="false" customHeight="false" outlineLevel="0" collapsed="false">
      <c r="A111" s="8" t="s">
        <v>389</v>
      </c>
      <c r="B111" s="8" t="s">
        <v>390</v>
      </c>
      <c r="C111" s="8" t="s">
        <v>21</v>
      </c>
      <c r="D111" s="8" t="s">
        <v>53</v>
      </c>
      <c r="E111" s="8" t="s">
        <v>54</v>
      </c>
      <c r="F111" s="9" t="n">
        <v>118.05</v>
      </c>
      <c r="G111" s="10" t="n">
        <v>0.05</v>
      </c>
      <c r="H111" s="11" t="n">
        <v>0.0004</v>
      </c>
      <c r="I111" s="9" t="n">
        <v>118.1</v>
      </c>
      <c r="J111" s="9" t="n">
        <v>117.9</v>
      </c>
      <c r="K111" s="9" t="n">
        <v>118.26</v>
      </c>
      <c r="L111" s="9" t="n">
        <v>118.2</v>
      </c>
      <c r="M111" s="12" t="n">
        <v>38672</v>
      </c>
      <c r="N111" s="12" t="n">
        <f aca="false">F111*M111</f>
        <v>4565229.6</v>
      </c>
      <c r="O111" s="9" t="n">
        <v>104.07</v>
      </c>
      <c r="P111" s="9" t="n">
        <v>118.26</v>
      </c>
      <c r="Q111" s="13" t="n">
        <f aca="false">IF(P111-O111=0,"",(F111-O111)/(P111-O111))</f>
        <v>0.985200845665961</v>
      </c>
      <c r="R111" s="14" t="n">
        <f aca="false">IF(P111=0,"",F111/P111-1)</f>
        <v>-0.00177574835109084</v>
      </c>
      <c r="S111" s="8" t="s">
        <v>54</v>
      </c>
      <c r="T111" s="8" t="s">
        <v>391</v>
      </c>
      <c r="U111" s="15" t="n">
        <v>46288.771875</v>
      </c>
    </row>
    <row r="112" customFormat="false" ht="15" hidden="false" customHeight="false" outlineLevel="0" collapsed="false">
      <c r="A112" s="8" t="s">
        <v>392</v>
      </c>
      <c r="B112" s="8" t="s">
        <v>393</v>
      </c>
      <c r="C112" s="8" t="s">
        <v>21</v>
      </c>
      <c r="D112" s="8" t="s">
        <v>53</v>
      </c>
      <c r="E112" s="8" t="s">
        <v>54</v>
      </c>
      <c r="F112" s="9" t="n">
        <v>154.89</v>
      </c>
      <c r="G112" s="10" t="n">
        <v>-0.01</v>
      </c>
      <c r="H112" s="11" t="n">
        <v>-0.0001</v>
      </c>
      <c r="I112" s="9" t="n">
        <v>155.13</v>
      </c>
      <c r="J112" s="9" t="n">
        <v>154.89</v>
      </c>
      <c r="K112" s="9" t="n">
        <v>155.13</v>
      </c>
      <c r="L112" s="9" t="n">
        <v>155.13</v>
      </c>
      <c r="M112" s="12" t="n">
        <v>1110</v>
      </c>
      <c r="N112" s="12" t="n">
        <f aca="false">F112*M112</f>
        <v>171927.9</v>
      </c>
      <c r="O112" s="9" t="n">
        <v>136.3</v>
      </c>
      <c r="P112" s="9" t="n">
        <v>155.13</v>
      </c>
      <c r="Q112" s="13" t="n">
        <f aca="false">IF(P112-O112=0,"",(F112-O112)/(P112-O112))</f>
        <v>0.987254381306425</v>
      </c>
      <c r="R112" s="14" t="n">
        <f aca="false">IF(P112=0,"",F112/P112-1)</f>
        <v>-0.00154708953780702</v>
      </c>
      <c r="S112" s="8" t="s">
        <v>54</v>
      </c>
      <c r="T112" s="8" t="s">
        <v>394</v>
      </c>
      <c r="U112" s="15" t="n">
        <v>46288.771875</v>
      </c>
    </row>
    <row r="113" customFormat="false" ht="15" hidden="false" customHeight="false" outlineLevel="0" collapsed="false">
      <c r="A113" s="8" t="s">
        <v>395</v>
      </c>
      <c r="B113" s="8" t="s">
        <v>396</v>
      </c>
      <c r="C113" s="8" t="s">
        <v>21</v>
      </c>
      <c r="D113" s="8" t="s">
        <v>53</v>
      </c>
      <c r="E113" s="8" t="s">
        <v>54</v>
      </c>
      <c r="F113" s="9" t="n">
        <v>105.41</v>
      </c>
      <c r="G113" s="10" t="n">
        <v>-0.19</v>
      </c>
      <c r="H113" s="11" t="n">
        <v>-0.0018</v>
      </c>
      <c r="I113" s="9" t="n">
        <v>105.82</v>
      </c>
      <c r="J113" s="9" t="n">
        <v>105.33</v>
      </c>
      <c r="K113" s="9" t="n">
        <v>106.04</v>
      </c>
      <c r="L113" s="9" t="n">
        <v>105.42</v>
      </c>
      <c r="M113" s="12" t="n">
        <v>60266</v>
      </c>
      <c r="N113" s="12" t="n">
        <f aca="false">F113*M113</f>
        <v>6352639.06</v>
      </c>
      <c r="O113" s="9" t="n">
        <v>93.3</v>
      </c>
      <c r="P113" s="9" t="n">
        <v>106.04</v>
      </c>
      <c r="Q113" s="13" t="n">
        <f aca="false">IF(P113-O113=0,"",(F113-O113)/(P113-O113))</f>
        <v>0.95054945054945</v>
      </c>
      <c r="R113" s="14" t="n">
        <f aca="false">IF(P113=0,"",F113/P113-1)</f>
        <v>-0.00594115428140329</v>
      </c>
      <c r="S113" s="8" t="s">
        <v>54</v>
      </c>
      <c r="T113" s="8" t="s">
        <v>397</v>
      </c>
      <c r="U113" s="15" t="n">
        <v>46288.771875</v>
      </c>
    </row>
    <row r="114" customFormat="false" ht="15" hidden="false" customHeight="false" outlineLevel="0" collapsed="false">
      <c r="A114" s="8" t="s">
        <v>398</v>
      </c>
      <c r="B114" s="8" t="s">
        <v>399</v>
      </c>
      <c r="C114" s="8" t="s">
        <v>20</v>
      </c>
      <c r="D114" s="8" t="s">
        <v>79</v>
      </c>
      <c r="E114" s="8" t="s">
        <v>54</v>
      </c>
      <c r="F114" s="9" t="n">
        <v>44.8</v>
      </c>
      <c r="G114" s="10" t="n">
        <v>-0.56</v>
      </c>
      <c r="H114" s="11" t="n">
        <v>-0.0123</v>
      </c>
      <c r="I114" s="9" t="n">
        <v>45.06</v>
      </c>
      <c r="J114" s="9" t="n">
        <v>44.8</v>
      </c>
      <c r="K114" s="9" t="n">
        <v>45.5</v>
      </c>
      <c r="L114" s="9" t="n">
        <v>44.93</v>
      </c>
      <c r="M114" s="12" t="n">
        <v>507</v>
      </c>
      <c r="N114" s="12" t="n">
        <f aca="false">F114*M114</f>
        <v>22713.6</v>
      </c>
      <c r="O114" s="9" t="n">
        <v>37.5</v>
      </c>
      <c r="P114" s="9" t="n">
        <v>50.03</v>
      </c>
      <c r="Q114" s="13" t="n">
        <f aca="false">IF(P114-O114=0,"",(F114-O114)/(P114-O114))</f>
        <v>0.582601755786113</v>
      </c>
      <c r="R114" s="14" t="n">
        <f aca="false">IF(P114=0,"",F114/P114-1)</f>
        <v>-0.10453727763342</v>
      </c>
      <c r="S114" s="8" t="s">
        <v>54</v>
      </c>
      <c r="T114" s="8" t="s">
        <v>400</v>
      </c>
      <c r="U114" s="15" t="n">
        <v>46288.771875</v>
      </c>
    </row>
    <row r="115" customFormat="false" ht="15" hidden="false" customHeight="false" outlineLevel="0" collapsed="false">
      <c r="A115" s="8" t="s">
        <v>401</v>
      </c>
      <c r="B115" s="8" t="s">
        <v>402</v>
      </c>
      <c r="C115" s="8" t="s">
        <v>22</v>
      </c>
      <c r="D115" s="8" t="s">
        <v>71</v>
      </c>
      <c r="E115" s="8" t="s">
        <v>54</v>
      </c>
      <c r="F115" s="9" t="n">
        <v>449.19</v>
      </c>
      <c r="G115" s="10" t="n">
        <v>2.19</v>
      </c>
      <c r="H115" s="11" t="n">
        <v>0.0049</v>
      </c>
      <c r="I115" s="9" t="n">
        <v>449.59</v>
      </c>
      <c r="J115" s="9" t="n">
        <v>448.04</v>
      </c>
      <c r="K115" s="9" t="n">
        <v>449.86</v>
      </c>
      <c r="L115" s="9" t="n">
        <v>449.19</v>
      </c>
      <c r="M115" s="12" t="n">
        <v>95113</v>
      </c>
      <c r="N115" s="12" t="n">
        <f aca="false">F115*M115</f>
        <v>42723808.47</v>
      </c>
      <c r="O115" s="9" t="n">
        <v>372.4</v>
      </c>
      <c r="P115" s="9" t="n">
        <v>461.49</v>
      </c>
      <c r="Q115" s="13" t="n">
        <f aca="false">IF(P115-O115=0,"",(F115-O115)/(P115-O115))</f>
        <v>0.861937366707824</v>
      </c>
      <c r="R115" s="14" t="n">
        <f aca="false">IF(P115=0,"",F115/P115-1)</f>
        <v>-0.0266527985438472</v>
      </c>
      <c r="S115" s="8" t="s">
        <v>54</v>
      </c>
      <c r="T115" s="8" t="s">
        <v>403</v>
      </c>
      <c r="U115" s="15" t="n">
        <v>46288.771875</v>
      </c>
    </row>
    <row r="116" customFormat="false" ht="15" hidden="false" customHeight="false" outlineLevel="0" collapsed="false">
      <c r="A116" s="8" t="s">
        <v>404</v>
      </c>
      <c r="B116" s="8" t="s">
        <v>405</v>
      </c>
      <c r="C116" s="8" t="s">
        <v>22</v>
      </c>
      <c r="D116" s="8" t="s">
        <v>71</v>
      </c>
      <c r="E116" s="8" t="s">
        <v>54</v>
      </c>
      <c r="F116" s="9" t="n">
        <v>21.64</v>
      </c>
      <c r="G116" s="10" t="n">
        <v>-0.08</v>
      </c>
      <c r="H116" s="11" t="n">
        <v>-0.0037</v>
      </c>
      <c r="I116" s="9" t="n">
        <v>21.86</v>
      </c>
      <c r="J116" s="9" t="n">
        <v>21.62</v>
      </c>
      <c r="K116" s="9" t="n">
        <v>21.94</v>
      </c>
      <c r="L116" s="9" t="n">
        <v>21.65</v>
      </c>
      <c r="M116" s="12" t="n">
        <v>23111</v>
      </c>
      <c r="N116" s="12" t="n">
        <f aca="false">F116*M116</f>
        <v>500122.04</v>
      </c>
      <c r="O116" s="9" t="n">
        <v>19.96</v>
      </c>
      <c r="P116" s="9" t="n">
        <v>22.59</v>
      </c>
      <c r="Q116" s="13" t="n">
        <f aca="false">IF(P116-O116=0,"",(F116-O116)/(P116-O116))</f>
        <v>0.638783269961977</v>
      </c>
      <c r="R116" s="14" t="n">
        <f aca="false">IF(P116=0,"",F116/P116-1)</f>
        <v>-0.0420540061974325</v>
      </c>
      <c r="S116" s="8" t="s">
        <v>54</v>
      </c>
      <c r="T116" s="8" t="s">
        <v>406</v>
      </c>
      <c r="U116" s="15" t="n">
        <v>46288.771875</v>
      </c>
    </row>
    <row r="117" customFormat="false" ht="15" hidden="false" customHeight="false" outlineLevel="0" collapsed="false">
      <c r="A117" s="8" t="s">
        <v>407</v>
      </c>
      <c r="B117" s="8" t="s">
        <v>408</v>
      </c>
      <c r="C117" s="8" t="s">
        <v>22</v>
      </c>
      <c r="D117" s="8" t="s">
        <v>71</v>
      </c>
      <c r="E117" s="8" t="s">
        <v>54</v>
      </c>
      <c r="F117" s="9" t="n">
        <v>78.81</v>
      </c>
      <c r="G117" s="10" t="n">
        <v>-0.27</v>
      </c>
      <c r="H117" s="11" t="n">
        <v>-0.0034</v>
      </c>
      <c r="I117" s="9" t="n">
        <v>79.6</v>
      </c>
      <c r="J117" s="9" t="n">
        <v>78.51</v>
      </c>
      <c r="K117" s="9" t="n">
        <v>79.67</v>
      </c>
      <c r="L117" s="9" t="n">
        <v>78.55</v>
      </c>
      <c r="M117" s="12" t="n">
        <v>2560</v>
      </c>
      <c r="N117" s="12" t="n">
        <f aca="false">F117*M117</f>
        <v>201753.6</v>
      </c>
      <c r="O117" s="9" t="n">
        <v>74.09</v>
      </c>
      <c r="P117" s="9" t="n">
        <v>87.71</v>
      </c>
      <c r="Q117" s="13" t="n">
        <f aca="false">IF(P117-O117=0,"",(F117-O117)/(P117-O117))</f>
        <v>0.346549192364171</v>
      </c>
      <c r="R117" s="14" t="n">
        <f aca="false">IF(P117=0,"",F117/P117-1)</f>
        <v>-0.101470755900125</v>
      </c>
      <c r="S117" s="8" t="s">
        <v>54</v>
      </c>
      <c r="T117" s="8" t="s">
        <v>409</v>
      </c>
      <c r="U117" s="15" t="n">
        <v>46288.771875</v>
      </c>
    </row>
    <row r="118" customFormat="false" ht="15" hidden="false" customHeight="false" outlineLevel="0" collapsed="false">
      <c r="A118" s="8" t="s">
        <v>410</v>
      </c>
      <c r="B118" s="8" t="s">
        <v>411</v>
      </c>
      <c r="C118" s="8" t="s">
        <v>22</v>
      </c>
      <c r="D118" s="8" t="s">
        <v>71</v>
      </c>
      <c r="E118" s="8" t="s">
        <v>54</v>
      </c>
      <c r="F118" s="9" t="n">
        <v>124.87</v>
      </c>
      <c r="G118" s="10" t="n">
        <v>-0.2</v>
      </c>
      <c r="H118" s="11" t="n">
        <v>-0.0016</v>
      </c>
      <c r="I118" s="9" t="n">
        <v>127.02</v>
      </c>
      <c r="J118" s="9" t="n">
        <v>124.12</v>
      </c>
      <c r="K118" s="9" t="n">
        <v>127.02</v>
      </c>
      <c r="L118" s="9" t="n">
        <v>125.1</v>
      </c>
      <c r="M118" s="12" t="n">
        <v>69</v>
      </c>
      <c r="N118" s="12" t="n">
        <f aca="false">F118*M118</f>
        <v>8616.03</v>
      </c>
      <c r="O118" s="9" t="n">
        <v>108.22</v>
      </c>
      <c r="P118" s="9" t="n">
        <v>161.93</v>
      </c>
      <c r="Q118" s="13" t="n">
        <f aca="false">IF(P118-O118=0,"",(F118-O118)/(P118-O118))</f>
        <v>0.309998138149321</v>
      </c>
      <c r="R118" s="14" t="n">
        <f aca="false">IF(P118=0,"",F118/P118-1)</f>
        <v>-0.228864324090657</v>
      </c>
      <c r="S118" s="8" t="s">
        <v>54</v>
      </c>
      <c r="T118" s="8" t="s">
        <v>412</v>
      </c>
      <c r="U118" s="15" t="n">
        <v>46288.771875</v>
      </c>
    </row>
    <row r="119" customFormat="false" ht="15" hidden="false" customHeight="false" outlineLevel="0" collapsed="false">
      <c r="A119" s="8" t="s">
        <v>413</v>
      </c>
      <c r="B119" s="8" t="s">
        <v>414</v>
      </c>
      <c r="C119" s="8" t="s">
        <v>21</v>
      </c>
      <c r="D119" s="8" t="s">
        <v>53</v>
      </c>
      <c r="E119" s="8" t="s">
        <v>54</v>
      </c>
      <c r="F119" s="9" t="n">
        <v>114.41</v>
      </c>
      <c r="G119" s="10" t="n">
        <v>0</v>
      </c>
      <c r="H119" s="11" t="n">
        <v>0</v>
      </c>
      <c r="I119" s="9" t="n">
        <v>114.41</v>
      </c>
      <c r="J119" s="9" t="n">
        <v>114.39</v>
      </c>
      <c r="K119" s="9" t="n">
        <v>114.41</v>
      </c>
      <c r="L119" s="9" t="n">
        <v>114.41</v>
      </c>
      <c r="M119" s="12" t="n">
        <v>72195</v>
      </c>
      <c r="N119" s="12" t="n">
        <f aca="false">F119*M119</f>
        <v>8259829.95</v>
      </c>
      <c r="O119" s="9" t="n">
        <v>100.1</v>
      </c>
      <c r="P119" s="9" t="n">
        <v>114.58</v>
      </c>
      <c r="Q119" s="13" t="n">
        <f aca="false">IF(P119-O119=0,"",(F119-O119)/(P119-O119))</f>
        <v>0.988259668508287</v>
      </c>
      <c r="R119" s="14" t="n">
        <f aca="false">IF(P119=0,"",F119/P119-1)</f>
        <v>-0.00148367952522255</v>
      </c>
      <c r="S119" s="8" t="s">
        <v>54</v>
      </c>
      <c r="T119" s="8" t="s">
        <v>415</v>
      </c>
      <c r="U119" s="15" t="n">
        <v>46288.771875</v>
      </c>
    </row>
    <row r="120" customFormat="false" ht="15" hidden="false" customHeight="false" outlineLevel="0" collapsed="false">
      <c r="A120" s="8" t="s">
        <v>416</v>
      </c>
      <c r="B120" s="8" t="s">
        <v>417</v>
      </c>
      <c r="C120" s="8" t="s">
        <v>21</v>
      </c>
      <c r="D120" s="8" t="s">
        <v>53</v>
      </c>
      <c r="E120" s="8" t="s">
        <v>54</v>
      </c>
      <c r="F120" s="9" t="n">
        <v>21.78</v>
      </c>
      <c r="G120" s="10" t="n">
        <v>0.01</v>
      </c>
      <c r="H120" s="11" t="n">
        <v>0.0005</v>
      </c>
      <c r="I120" s="9" t="n">
        <v>21.76</v>
      </c>
      <c r="J120" s="9" t="n">
        <v>21.75</v>
      </c>
      <c r="K120" s="9" t="n">
        <v>21.78</v>
      </c>
      <c r="L120" s="9" t="n">
        <v>21.77</v>
      </c>
      <c r="M120" s="12" t="n">
        <v>20977</v>
      </c>
      <c r="N120" s="12" t="n">
        <f aca="false">F120*M120</f>
        <v>456879.06</v>
      </c>
      <c r="O120" s="9" t="n">
        <v>20.02</v>
      </c>
      <c r="P120" s="9" t="n">
        <v>21.78</v>
      </c>
      <c r="Q120" s="13" t="n">
        <f aca="false">IF(P120-O120=0,"",(F120-O120)/(P120-O120))</f>
        <v>1</v>
      </c>
      <c r="R120" s="14" t="n">
        <f aca="false">IF(P120=0,"",F120/P120-1)</f>
        <v>0</v>
      </c>
      <c r="S120" s="8" t="s">
        <v>54</v>
      </c>
      <c r="T120" s="8" t="s">
        <v>418</v>
      </c>
      <c r="U120" s="15" t="n">
        <v>46288.771875</v>
      </c>
    </row>
    <row r="121" customFormat="false" ht="15" hidden="false" customHeight="false" outlineLevel="0" collapsed="false">
      <c r="A121" s="8" t="s">
        <v>419</v>
      </c>
      <c r="B121" s="8" t="s">
        <v>420</v>
      </c>
      <c r="C121" s="8" t="s">
        <v>21</v>
      </c>
      <c r="D121" s="8" t="s">
        <v>53</v>
      </c>
      <c r="E121" s="8" t="s">
        <v>54</v>
      </c>
      <c r="F121" s="9" t="n">
        <v>127.09</v>
      </c>
      <c r="G121" s="10" t="n">
        <v>-0.02</v>
      </c>
      <c r="H121" s="11" t="n">
        <v>-0.0002</v>
      </c>
      <c r="I121" s="9" t="n">
        <v>127.14</v>
      </c>
      <c r="J121" s="9" t="n">
        <v>127.05</v>
      </c>
      <c r="K121" s="9" t="n">
        <v>127.25</v>
      </c>
      <c r="L121" s="9" t="n">
        <v>127.08</v>
      </c>
      <c r="M121" s="12" t="n">
        <v>604649</v>
      </c>
      <c r="N121" s="12" t="n">
        <f aca="false">F121*M121</f>
        <v>76844841.41</v>
      </c>
      <c r="O121" s="9" t="n">
        <v>111.3</v>
      </c>
      <c r="P121" s="9" t="n">
        <v>127.27</v>
      </c>
      <c r="Q121" s="13" t="n">
        <f aca="false">IF(P121-O121=0,"",(F121-O121)/(P121-O121))</f>
        <v>0.988728866624922</v>
      </c>
      <c r="R121" s="14" t="n">
        <f aca="false">IF(P121=0,"",F121/P121-1)</f>
        <v>-0.00141431602105757</v>
      </c>
      <c r="S121" s="8" t="s">
        <v>54</v>
      </c>
      <c r="T121" s="8" t="s">
        <v>421</v>
      </c>
      <c r="U121" s="15" t="n">
        <v>46288.771875</v>
      </c>
    </row>
    <row r="122" customFormat="false" ht="15" hidden="false" customHeight="false" outlineLevel="0" collapsed="false">
      <c r="A122" s="8" t="s">
        <v>422</v>
      </c>
      <c r="B122" s="8" t="s">
        <v>423</v>
      </c>
      <c r="C122" s="8" t="s">
        <v>21</v>
      </c>
      <c r="D122" s="8" t="s">
        <v>53</v>
      </c>
      <c r="E122" s="8" t="s">
        <v>54</v>
      </c>
      <c r="F122" s="9" t="n">
        <v>55.26</v>
      </c>
      <c r="G122" s="10" t="n">
        <v>0</v>
      </c>
      <c r="H122" s="11" t="n">
        <v>0</v>
      </c>
      <c r="I122" s="9" t="n">
        <v>55.48</v>
      </c>
      <c r="J122" s="9" t="n">
        <v>55.24</v>
      </c>
      <c r="K122" s="9" t="n">
        <v>55.48</v>
      </c>
      <c r="L122" s="9" t="n">
        <v>55.26</v>
      </c>
      <c r="M122" s="12" t="n">
        <v>2785</v>
      </c>
      <c r="N122" s="12" t="n">
        <f aca="false">F122*M122</f>
        <v>153899.1</v>
      </c>
      <c r="O122" s="9" t="n">
        <v>50.06</v>
      </c>
      <c r="P122" s="9" t="n">
        <v>55.48</v>
      </c>
      <c r="Q122" s="13" t="n">
        <f aca="false">IF(P122-O122=0,"",(F122-O122)/(P122-O122))</f>
        <v>0.959409594095941</v>
      </c>
      <c r="R122" s="14" t="n">
        <f aca="false">IF(P122=0,"",F122/P122-1)</f>
        <v>-0.0039653929343908</v>
      </c>
      <c r="S122" s="8" t="s">
        <v>54</v>
      </c>
      <c r="T122" s="8" t="s">
        <v>424</v>
      </c>
      <c r="U122" s="15" t="n">
        <v>46288.771875</v>
      </c>
    </row>
    <row r="123" customFormat="false" ht="15" hidden="false" customHeight="false" outlineLevel="0" collapsed="false">
      <c r="A123" s="8" t="s">
        <v>425</v>
      </c>
      <c r="B123" s="8" t="s">
        <v>426</v>
      </c>
      <c r="C123" s="8" t="s">
        <v>21</v>
      </c>
      <c r="D123" s="8" t="s">
        <v>53</v>
      </c>
      <c r="E123" s="8" t="s">
        <v>54</v>
      </c>
      <c r="F123" s="9" t="n">
        <v>160.31</v>
      </c>
      <c r="G123" s="10" t="n">
        <v>0.09</v>
      </c>
      <c r="H123" s="11" t="n">
        <v>0.0006</v>
      </c>
      <c r="I123" s="9" t="n">
        <v>160.28</v>
      </c>
      <c r="J123" s="9" t="n">
        <v>160.23</v>
      </c>
      <c r="K123" s="9" t="n">
        <v>160.37</v>
      </c>
      <c r="L123" s="9" t="n">
        <v>160.28</v>
      </c>
      <c r="M123" s="12" t="n">
        <v>101530</v>
      </c>
      <c r="N123" s="12" t="n">
        <f aca="false">F123*M123</f>
        <v>16276274.3</v>
      </c>
      <c r="O123" s="9" t="n">
        <v>140.25</v>
      </c>
      <c r="P123" s="9" t="n">
        <v>160.37</v>
      </c>
      <c r="Q123" s="13" t="n">
        <f aca="false">IF(P123-O123=0,"",(F123-O123)/(P123-O123))</f>
        <v>0.997017892644135</v>
      </c>
      <c r="R123" s="14" t="n">
        <f aca="false">IF(P123=0,"",F123/P123-1)</f>
        <v>-0.000374134813244331</v>
      </c>
      <c r="S123" s="8" t="s">
        <v>54</v>
      </c>
      <c r="T123" s="8" t="s">
        <v>427</v>
      </c>
      <c r="U123" s="15" t="n">
        <v>46288.771875</v>
      </c>
    </row>
    <row r="124" customFormat="false" ht="15" hidden="false" customHeight="false" outlineLevel="0" collapsed="false">
      <c r="A124" s="8" t="s">
        <v>428</v>
      </c>
      <c r="B124" s="8" t="s">
        <v>429</v>
      </c>
      <c r="C124" s="8" t="s">
        <v>21</v>
      </c>
      <c r="D124" s="8" t="s">
        <v>53</v>
      </c>
      <c r="E124" s="8" t="s">
        <v>54</v>
      </c>
      <c r="F124" s="9" t="n">
        <v>26.68</v>
      </c>
      <c r="G124" s="10" t="n">
        <v>0.01</v>
      </c>
      <c r="H124" s="11" t="n">
        <v>0.0004</v>
      </c>
      <c r="I124" s="9" t="n">
        <v>26.69</v>
      </c>
      <c r="J124" s="9" t="n">
        <v>26.66</v>
      </c>
      <c r="K124" s="9" t="n">
        <v>26.69</v>
      </c>
      <c r="L124" s="9" t="n">
        <v>26.67</v>
      </c>
      <c r="M124" s="12" t="n">
        <v>15551</v>
      </c>
      <c r="N124" s="12" t="n">
        <f aca="false">F124*M124</f>
        <v>414900.68</v>
      </c>
      <c r="O124" s="9" t="n">
        <v>25</v>
      </c>
      <c r="P124" s="9" t="n">
        <v>26.69</v>
      </c>
      <c r="Q124" s="13" t="n">
        <f aca="false">IF(P124-O124=0,"",(F124-O124)/(P124-O124))</f>
        <v>0.994082840236686</v>
      </c>
      <c r="R124" s="14" t="n">
        <f aca="false">IF(P124=0,"",F124/P124-1)</f>
        <v>-0.00037467216185838</v>
      </c>
      <c r="S124" s="8" t="s">
        <v>54</v>
      </c>
      <c r="T124" s="8" t="s">
        <v>430</v>
      </c>
      <c r="U124" s="15" t="n">
        <v>46288.771875</v>
      </c>
    </row>
    <row r="125" customFormat="false" ht="15" hidden="false" customHeight="false" outlineLevel="0" collapsed="false">
      <c r="A125" s="8" t="s">
        <v>431</v>
      </c>
      <c r="B125" s="8" t="s">
        <v>432</v>
      </c>
      <c r="C125" s="8" t="s">
        <v>21</v>
      </c>
      <c r="D125" s="8" t="s">
        <v>53</v>
      </c>
      <c r="E125" s="8" t="s">
        <v>86</v>
      </c>
      <c r="F125" s="9" t="n">
        <v>102.75</v>
      </c>
      <c r="G125" s="10" t="n">
        <v>0.04</v>
      </c>
      <c r="H125" s="11" t="n">
        <v>0.0004</v>
      </c>
      <c r="I125" s="9" t="n">
        <v>102.8</v>
      </c>
      <c r="J125" s="9" t="n">
        <v>102.71</v>
      </c>
      <c r="K125" s="9" t="n">
        <v>102.84</v>
      </c>
      <c r="L125" s="9" t="n">
        <v>102.83</v>
      </c>
      <c r="M125" s="12" t="n">
        <v>15914</v>
      </c>
      <c r="N125" s="12" t="n">
        <f aca="false">F125*M125</f>
        <v>1635163.5</v>
      </c>
      <c r="O125" s="9" t="n">
        <v>100.12</v>
      </c>
      <c r="P125" s="9" t="n">
        <v>102.84</v>
      </c>
      <c r="Q125" s="13" t="n">
        <f aca="false">IF(P125-O125=0,"",(F125-O125)/(P125-O125))</f>
        <v>0.966911764705881</v>
      </c>
      <c r="R125" s="14" t="n">
        <f aca="false">IF(P125=0,"",F125/P125-1)</f>
        <v>-0.000875145857642923</v>
      </c>
      <c r="S125" s="8" t="s">
        <v>87</v>
      </c>
      <c r="T125" s="8" t="s">
        <v>433</v>
      </c>
      <c r="U125" s="15" t="n">
        <v>46288.771875</v>
      </c>
    </row>
    <row r="126" customFormat="false" ht="15" hidden="false" customHeight="false" outlineLevel="0" collapsed="false">
      <c r="A126" s="8" t="s">
        <v>434</v>
      </c>
      <c r="B126" s="8" t="s">
        <v>435</v>
      </c>
      <c r="C126" s="8" t="s">
        <v>21</v>
      </c>
      <c r="D126" s="8" t="s">
        <v>53</v>
      </c>
      <c r="E126" s="8" t="s">
        <v>54</v>
      </c>
      <c r="F126" s="9" t="n">
        <v>119.21</v>
      </c>
      <c r="G126" s="10" t="n">
        <v>0.04</v>
      </c>
      <c r="H126" s="11" t="n">
        <v>0.0003</v>
      </c>
      <c r="I126" s="9" t="n">
        <v>119.26</v>
      </c>
      <c r="J126" s="9" t="n">
        <v>119.2</v>
      </c>
      <c r="K126" s="9" t="n">
        <v>119.26</v>
      </c>
      <c r="L126" s="9" t="n">
        <v>119.21</v>
      </c>
      <c r="M126" s="12" t="n">
        <v>10769</v>
      </c>
      <c r="N126" s="12" t="n">
        <f aca="false">F126*M126</f>
        <v>1283772.49</v>
      </c>
      <c r="O126" s="9" t="n">
        <v>103.14</v>
      </c>
      <c r="P126" s="9" t="n">
        <v>119.48</v>
      </c>
      <c r="Q126" s="13" t="n">
        <f aca="false">IF(P126-O126=0,"",(F126-O126)/(P126-O126))</f>
        <v>0.983476132190942</v>
      </c>
      <c r="R126" s="14" t="n">
        <f aca="false">IF(P126=0,"",F126/P126-1)</f>
        <v>-0.00225979243388019</v>
      </c>
      <c r="S126" s="8" t="s">
        <v>54</v>
      </c>
      <c r="T126" s="8" t="s">
        <v>436</v>
      </c>
      <c r="U126" s="15" t="n">
        <v>46288.771875</v>
      </c>
    </row>
    <row r="127" customFormat="false" ht="15" hidden="false" customHeight="false" outlineLevel="0" collapsed="false">
      <c r="A127" s="8" t="s">
        <v>437</v>
      </c>
      <c r="B127" s="8" t="s">
        <v>438</v>
      </c>
      <c r="C127" s="8" t="s">
        <v>21</v>
      </c>
      <c r="D127" s="8" t="s">
        <v>53</v>
      </c>
      <c r="E127" s="8" t="s">
        <v>54</v>
      </c>
      <c r="F127" s="9" t="n">
        <v>26.7</v>
      </c>
      <c r="G127" s="10" t="n">
        <v>0.02</v>
      </c>
      <c r="H127" s="11" t="n">
        <v>0.0007</v>
      </c>
      <c r="I127" s="9" t="n">
        <v>26.69</v>
      </c>
      <c r="J127" s="9" t="n">
        <v>26.67</v>
      </c>
      <c r="K127" s="9" t="n">
        <v>26.73</v>
      </c>
      <c r="L127" s="9" t="n">
        <v>26.73</v>
      </c>
      <c r="M127" s="12" t="n">
        <v>742755</v>
      </c>
      <c r="N127" s="12" t="n">
        <f aca="false">F127*M127</f>
        <v>19831558.5</v>
      </c>
      <c r="O127" s="9" t="n">
        <v>25</v>
      </c>
      <c r="P127" s="9" t="n">
        <v>26.77</v>
      </c>
      <c r="Q127" s="13" t="n">
        <f aca="false">IF(P127-O127=0,"",(F127-O127)/(P127-O127))</f>
        <v>0.96045197740113</v>
      </c>
      <c r="R127" s="14" t="n">
        <f aca="false">IF(P127=0,"",F127/P127-1)</f>
        <v>-0.00261486738886818</v>
      </c>
      <c r="S127" s="8" t="s">
        <v>54</v>
      </c>
      <c r="T127" s="8" t="s">
        <v>439</v>
      </c>
      <c r="U127" s="15" t="n">
        <v>46288.771875</v>
      </c>
    </row>
    <row r="128" customFormat="false" ht="15" hidden="false" customHeight="false" outlineLevel="0" collapsed="false">
      <c r="A128" s="8" t="s">
        <v>440</v>
      </c>
      <c r="B128" s="8" t="s">
        <v>441</v>
      </c>
      <c r="C128" s="8" t="s">
        <v>21</v>
      </c>
      <c r="D128" s="8" t="s">
        <v>53</v>
      </c>
      <c r="E128" s="8" t="s">
        <v>54</v>
      </c>
      <c r="F128" s="9" t="n">
        <v>115.97</v>
      </c>
      <c r="G128" s="10" t="n">
        <v>-0.34</v>
      </c>
      <c r="H128" s="11" t="n">
        <v>-0.0029</v>
      </c>
      <c r="I128" s="9" t="n">
        <v>116.19</v>
      </c>
      <c r="J128" s="9" t="n">
        <v>115.95</v>
      </c>
      <c r="K128" s="9" t="n">
        <v>116.2</v>
      </c>
      <c r="L128" s="9" t="n">
        <v>116.04</v>
      </c>
      <c r="M128" s="12" t="n">
        <v>2898</v>
      </c>
      <c r="N128" s="12" t="n">
        <f aca="false">F128*M128</f>
        <v>336081.06</v>
      </c>
      <c r="O128" s="9" t="n">
        <v>103.49</v>
      </c>
      <c r="P128" s="9" t="n">
        <v>116.31</v>
      </c>
      <c r="Q128" s="13" t="n">
        <f aca="false">IF(P128-O128=0,"",(F128-O128)/(P128-O128))</f>
        <v>0.973478939157566</v>
      </c>
      <c r="R128" s="14" t="n">
        <f aca="false">IF(P128=0,"",F128/P128-1)</f>
        <v>-0.0029232224228356</v>
      </c>
      <c r="S128" s="8" t="s">
        <v>54</v>
      </c>
      <c r="T128" s="8" t="s">
        <v>442</v>
      </c>
      <c r="U128" s="15" t="n">
        <v>46288.771875</v>
      </c>
    </row>
    <row r="129" customFormat="false" ht="15" hidden="false" customHeight="false" outlineLevel="0" collapsed="false">
      <c r="A129" s="8" t="s">
        <v>443</v>
      </c>
      <c r="B129" s="8" t="s">
        <v>444</v>
      </c>
      <c r="C129" s="8" t="s">
        <v>20</v>
      </c>
      <c r="D129" s="8" t="s">
        <v>79</v>
      </c>
      <c r="E129" s="8" t="s">
        <v>54</v>
      </c>
      <c r="F129" s="9" t="n">
        <v>141.18</v>
      </c>
      <c r="G129" s="10" t="n">
        <v>-1.76</v>
      </c>
      <c r="H129" s="11" t="n">
        <v>-0.0123</v>
      </c>
      <c r="I129" s="9" t="n">
        <v>141.5</v>
      </c>
      <c r="J129" s="9" t="n">
        <v>140.96</v>
      </c>
      <c r="K129" s="9" t="n">
        <v>143.33</v>
      </c>
      <c r="L129" s="9" t="n">
        <v>141.01</v>
      </c>
      <c r="M129" s="12" t="n">
        <v>2386</v>
      </c>
      <c r="N129" s="12" t="n">
        <f aca="false">F129*M129</f>
        <v>336855.48</v>
      </c>
      <c r="O129" s="9" t="n">
        <v>109.57</v>
      </c>
      <c r="P129" s="9" t="n">
        <v>154.32</v>
      </c>
      <c r="Q129" s="13" t="n">
        <f aca="false">IF(P129-O129=0,"",(F129-O129)/(P129-O129))</f>
        <v>0.706368715083799</v>
      </c>
      <c r="R129" s="14" t="n">
        <f aca="false">IF(P129=0,"",F129/P129-1)</f>
        <v>-0.0851477449455675</v>
      </c>
      <c r="S129" s="8" t="s">
        <v>54</v>
      </c>
      <c r="T129" s="8" t="s">
        <v>445</v>
      </c>
      <c r="U129" s="15" t="n">
        <v>46288.771875</v>
      </c>
    </row>
    <row r="130" customFormat="false" ht="15" hidden="false" customHeight="false" outlineLevel="0" collapsed="false">
      <c r="A130" s="8" t="s">
        <v>446</v>
      </c>
      <c r="B130" s="8" t="s">
        <v>447</v>
      </c>
      <c r="C130" s="8" t="s">
        <v>21</v>
      </c>
      <c r="D130" s="8" t="s">
        <v>53</v>
      </c>
      <c r="E130" s="8" t="s">
        <v>54</v>
      </c>
      <c r="F130" s="9" t="n">
        <v>123.87</v>
      </c>
      <c r="G130" s="10" t="n">
        <v>0.08</v>
      </c>
      <c r="H130" s="11" t="n">
        <v>0.0006</v>
      </c>
      <c r="I130" s="9" t="n">
        <v>123.8</v>
      </c>
      <c r="J130" s="9" t="n">
        <v>123.8</v>
      </c>
      <c r="K130" s="9" t="n">
        <v>123.93</v>
      </c>
      <c r="L130" s="9" t="n">
        <v>123.81</v>
      </c>
      <c r="M130" s="12" t="n">
        <v>4034</v>
      </c>
      <c r="N130" s="12" t="n">
        <f aca="false">F130*M130</f>
        <v>499691.58</v>
      </c>
      <c r="O130" s="9" t="n">
        <v>107.85</v>
      </c>
      <c r="P130" s="9" t="n">
        <v>123.93</v>
      </c>
      <c r="Q130" s="13" t="n">
        <f aca="false">IF(P130-O130=0,"",(F130-O130)/(P130-O130))</f>
        <v>0.996268656716418</v>
      </c>
      <c r="R130" s="14" t="n">
        <f aca="false">IF(P130=0,"",F130/P130-1)</f>
        <v>-0.000484144274993992</v>
      </c>
      <c r="S130" s="8" t="s">
        <v>54</v>
      </c>
      <c r="T130" s="8" t="s">
        <v>448</v>
      </c>
      <c r="U130" s="15" t="n">
        <v>46288.771875</v>
      </c>
    </row>
    <row r="131" customFormat="false" ht="15" hidden="false" customHeight="false" outlineLevel="0" collapsed="false">
      <c r="A131" s="8" t="s">
        <v>449</v>
      </c>
      <c r="B131" s="8" t="s">
        <v>450</v>
      </c>
      <c r="C131" s="8" t="s">
        <v>20</v>
      </c>
      <c r="D131" s="8" t="s">
        <v>79</v>
      </c>
      <c r="E131" s="8" t="s">
        <v>54</v>
      </c>
      <c r="F131" s="9" t="n">
        <v>63.82</v>
      </c>
      <c r="G131" s="10" t="n">
        <v>-1.32</v>
      </c>
      <c r="H131" s="11" t="n">
        <v>-0.0203</v>
      </c>
      <c r="I131" s="9" t="n">
        <v>64.81</v>
      </c>
      <c r="J131" s="9" t="n">
        <v>63.68</v>
      </c>
      <c r="K131" s="9" t="n">
        <v>64.81</v>
      </c>
      <c r="L131" s="9" t="n">
        <v>63.68</v>
      </c>
      <c r="M131" s="12" t="n">
        <v>18249</v>
      </c>
      <c r="N131" s="12" t="n">
        <f aca="false">F131*M131</f>
        <v>1164651.18</v>
      </c>
      <c r="O131" s="9" t="n">
        <v>51.3</v>
      </c>
      <c r="P131" s="9" t="n">
        <v>70.91</v>
      </c>
      <c r="Q131" s="13" t="n">
        <f aca="false">IF(P131-O131=0,"",(F131-O131)/(P131-O131))</f>
        <v>0.638449770525242</v>
      </c>
      <c r="R131" s="14" t="n">
        <f aca="false">IF(P131=0,"",F131/P131-1)</f>
        <v>-0.0999858976166972</v>
      </c>
      <c r="S131" s="8" t="s">
        <v>54</v>
      </c>
      <c r="T131" s="8" t="s">
        <v>451</v>
      </c>
      <c r="U131" s="15" t="n">
        <v>46288.771875</v>
      </c>
    </row>
    <row r="132" customFormat="false" ht="15" hidden="false" customHeight="false" outlineLevel="0" collapsed="false">
      <c r="A132" s="8" t="s">
        <v>452</v>
      </c>
      <c r="B132" s="8" t="s">
        <v>453</v>
      </c>
      <c r="C132" s="8" t="s">
        <v>23</v>
      </c>
      <c r="D132" s="8" t="s">
        <v>67</v>
      </c>
      <c r="E132" s="8" t="s">
        <v>54</v>
      </c>
      <c r="F132" s="9" t="n">
        <v>8.78</v>
      </c>
      <c r="G132" s="10" t="n">
        <v>0.39</v>
      </c>
      <c r="H132" s="11" t="n">
        <v>0.0465</v>
      </c>
      <c r="I132" s="9" t="n">
        <v>8.45</v>
      </c>
      <c r="J132" s="9" t="n">
        <v>8.39</v>
      </c>
      <c r="K132" s="9" t="n">
        <v>8.89</v>
      </c>
      <c r="L132" s="9" t="n">
        <v>8.78</v>
      </c>
      <c r="M132" s="12" t="n">
        <v>6844</v>
      </c>
      <c r="N132" s="12" t="n">
        <f aca="false">F132*M132</f>
        <v>60090.32</v>
      </c>
      <c r="O132" s="9" t="n">
        <v>5.9</v>
      </c>
      <c r="P132" s="9" t="n">
        <v>30.36</v>
      </c>
      <c r="Q132" s="13" t="n">
        <f aca="false">IF(P132-O132=0,"",(F132-O132)/(P132-O132))</f>
        <v>0.117743254292723</v>
      </c>
      <c r="R132" s="14" t="n">
        <f aca="false">IF(P132=0,"",F132/P132-1)</f>
        <v>-0.710803689064559</v>
      </c>
      <c r="S132" s="8" t="s">
        <v>54</v>
      </c>
      <c r="T132" s="8" t="s">
        <v>454</v>
      </c>
      <c r="U132" s="15" t="n">
        <v>46288.771875</v>
      </c>
    </row>
    <row r="133" customFormat="false" ht="15" hidden="false" customHeight="false" outlineLevel="0" collapsed="false">
      <c r="A133" s="8" t="s">
        <v>455</v>
      </c>
      <c r="B133" s="8" t="s">
        <v>456</v>
      </c>
      <c r="C133" s="8" t="s">
        <v>21</v>
      </c>
      <c r="D133" s="8" t="s">
        <v>53</v>
      </c>
      <c r="E133" s="8" t="s">
        <v>54</v>
      </c>
      <c r="F133" s="9" t="n">
        <v>106.92</v>
      </c>
      <c r="G133" s="10" t="n">
        <v>0.01</v>
      </c>
      <c r="H133" s="11" t="n">
        <v>0.0001</v>
      </c>
      <c r="I133" s="9" t="n">
        <v>106.92</v>
      </c>
      <c r="J133" s="9" t="n">
        <v>106.92</v>
      </c>
      <c r="K133" s="9" t="n">
        <v>106.92</v>
      </c>
      <c r="L133" s="9" t="n">
        <v>106.85</v>
      </c>
      <c r="M133" s="12" t="n">
        <v>2</v>
      </c>
      <c r="N133" s="12" t="n">
        <f aca="false">F133*M133</f>
        <v>213.84</v>
      </c>
      <c r="O133" s="9" t="n">
        <v>99.14</v>
      </c>
      <c r="P133" s="9" t="n">
        <v>106.92</v>
      </c>
      <c r="Q133" s="13" t="n">
        <f aca="false">IF(P133-O133=0,"",(F133-O133)/(P133-O133))</f>
        <v>1</v>
      </c>
      <c r="R133" s="14" t="n">
        <f aca="false">IF(P133=0,"",F133/P133-1)</f>
        <v>0</v>
      </c>
      <c r="S133" s="8" t="s">
        <v>54</v>
      </c>
      <c r="T133" s="8" t="s">
        <v>457</v>
      </c>
      <c r="U133" s="15" t="n">
        <v>46288.771875</v>
      </c>
    </row>
    <row r="134" customFormat="false" ht="15" hidden="false" customHeight="false" outlineLevel="0" collapsed="false">
      <c r="A134" s="8" t="s">
        <v>458</v>
      </c>
      <c r="B134" s="8" t="s">
        <v>459</v>
      </c>
      <c r="C134" s="8" t="s">
        <v>22</v>
      </c>
      <c r="D134" s="8" t="s">
        <v>71</v>
      </c>
      <c r="E134" s="8" t="s">
        <v>54</v>
      </c>
      <c r="F134" s="9" t="n">
        <v>93.98</v>
      </c>
      <c r="G134" s="10" t="n">
        <v>-0.37</v>
      </c>
      <c r="H134" s="11" t="n">
        <v>-0.0039</v>
      </c>
      <c r="I134" s="9" t="n">
        <v>94.98</v>
      </c>
      <c r="J134" s="9" t="n">
        <v>93.87</v>
      </c>
      <c r="K134" s="9" t="n">
        <v>94.99</v>
      </c>
      <c r="L134" s="9" t="n">
        <v>94.65</v>
      </c>
      <c r="M134" s="12" t="n">
        <v>138</v>
      </c>
      <c r="N134" s="12" t="n">
        <f aca="false">F134*M134</f>
        <v>12969.24</v>
      </c>
      <c r="O134" s="9" t="n">
        <v>68.99</v>
      </c>
      <c r="P134" s="9" t="n">
        <v>95.01</v>
      </c>
      <c r="Q134" s="13" t="n">
        <f aca="false">IF(P134-O134=0,"",(F134-O134)/(P134-O134))</f>
        <v>0.960415065334358</v>
      </c>
      <c r="R134" s="14" t="n">
        <f aca="false">IF(P134=0,"",F134/P134-1)</f>
        <v>-0.0108409641090411</v>
      </c>
      <c r="S134" s="8" t="s">
        <v>54</v>
      </c>
      <c r="T134" s="8" t="s">
        <v>460</v>
      </c>
      <c r="U134" s="15" t="n">
        <v>46288.771875</v>
      </c>
    </row>
    <row r="135" customFormat="false" ht="15" hidden="false" customHeight="false" outlineLevel="0" collapsed="false">
      <c r="A135" s="8" t="s">
        <v>461</v>
      </c>
      <c r="B135" s="8" t="s">
        <v>462</v>
      </c>
      <c r="C135" s="8" t="s">
        <v>22</v>
      </c>
      <c r="D135" s="8" t="s">
        <v>71</v>
      </c>
      <c r="E135" s="8" t="s">
        <v>54</v>
      </c>
      <c r="F135" s="9" t="n">
        <v>21.88</v>
      </c>
      <c r="G135" s="10" t="n">
        <v>0</v>
      </c>
      <c r="H135" s="11" t="n">
        <v>0</v>
      </c>
      <c r="I135" s="9" t="n">
        <v>21.9</v>
      </c>
      <c r="J135" s="9" t="n">
        <v>21.77</v>
      </c>
      <c r="K135" s="9" t="n">
        <v>21.96</v>
      </c>
      <c r="L135" s="9" t="n">
        <v>21.87</v>
      </c>
      <c r="M135" s="12" t="n">
        <v>457969</v>
      </c>
      <c r="N135" s="12" t="n">
        <f aca="false">F135*M135</f>
        <v>10020361.72</v>
      </c>
      <c r="O135" s="9" t="n">
        <v>16.74</v>
      </c>
      <c r="P135" s="9" t="n">
        <v>22.04</v>
      </c>
      <c r="Q135" s="13" t="n">
        <f aca="false">IF(P135-O135=0,"",(F135-O135)/(P135-O135))</f>
        <v>0.969811320754717</v>
      </c>
      <c r="R135" s="14" t="n">
        <f aca="false">IF(P135=0,"",F135/P135-1)</f>
        <v>-0.00725952813067154</v>
      </c>
      <c r="S135" s="8" t="s">
        <v>54</v>
      </c>
      <c r="T135" s="8" t="s">
        <v>463</v>
      </c>
      <c r="U135" s="15" t="n">
        <v>46288.771875</v>
      </c>
    </row>
    <row r="136" customFormat="false" ht="15" hidden="false" customHeight="false" outlineLevel="0" collapsed="false">
      <c r="A136" s="8" t="s">
        <v>464</v>
      </c>
      <c r="B136" s="8" t="s">
        <v>465</v>
      </c>
      <c r="C136" s="8" t="s">
        <v>23</v>
      </c>
      <c r="D136" s="8" t="s">
        <v>67</v>
      </c>
      <c r="E136" s="8" t="s">
        <v>54</v>
      </c>
      <c r="F136" s="9" t="n">
        <v>34.14</v>
      </c>
      <c r="G136" s="10" t="n">
        <v>-0.36</v>
      </c>
      <c r="H136" s="11" t="n">
        <v>-0.0104</v>
      </c>
      <c r="I136" s="9" t="n">
        <v>34.82</v>
      </c>
      <c r="J136" s="9" t="n">
        <v>33.61</v>
      </c>
      <c r="K136" s="9" t="n">
        <v>34.82</v>
      </c>
      <c r="L136" s="9" t="n">
        <v>33.82</v>
      </c>
      <c r="M136" s="12" t="n">
        <v>380</v>
      </c>
      <c r="N136" s="12" t="n">
        <f aca="false">F136*M136</f>
        <v>12973.2</v>
      </c>
      <c r="O136" s="9" t="n">
        <v>23.69</v>
      </c>
      <c r="P136" s="9" t="n">
        <v>53.99</v>
      </c>
      <c r="Q136" s="13" t="n">
        <f aca="false">IF(P136-O136=0,"",(F136-O136)/(P136-O136))</f>
        <v>0.344884488448845</v>
      </c>
      <c r="R136" s="14" t="n">
        <f aca="false">IF(P136=0,"",F136/P136-1)</f>
        <v>-0.367660677903315</v>
      </c>
      <c r="S136" s="8" t="s">
        <v>54</v>
      </c>
      <c r="T136" s="8" t="s">
        <v>466</v>
      </c>
      <c r="U136" s="15" t="n">
        <v>46288.771875</v>
      </c>
    </row>
    <row r="137" customFormat="false" ht="15" hidden="false" customHeight="false" outlineLevel="0" collapsed="false">
      <c r="A137" s="8" t="s">
        <v>467</v>
      </c>
      <c r="B137" s="8" t="s">
        <v>468</v>
      </c>
      <c r="C137" s="8" t="s">
        <v>20</v>
      </c>
      <c r="D137" s="8" t="s">
        <v>79</v>
      </c>
      <c r="E137" s="8" t="s">
        <v>54</v>
      </c>
      <c r="F137" s="9" t="n">
        <v>126.11</v>
      </c>
      <c r="G137" s="10" t="n">
        <v>-1.22</v>
      </c>
      <c r="H137" s="11" t="n">
        <v>-0.0096</v>
      </c>
      <c r="I137" s="9" t="n">
        <v>125.7</v>
      </c>
      <c r="J137" s="9" t="n">
        <v>125.7</v>
      </c>
      <c r="K137" s="9" t="n">
        <v>127.86</v>
      </c>
      <c r="L137" s="9" t="n">
        <v>126.01</v>
      </c>
      <c r="M137" s="12" t="n">
        <v>1375</v>
      </c>
      <c r="N137" s="12" t="n">
        <f aca="false">F137*M137</f>
        <v>173401.25</v>
      </c>
      <c r="O137" s="9" t="n">
        <v>103.43</v>
      </c>
      <c r="P137" s="9" t="n">
        <v>134.83</v>
      </c>
      <c r="Q137" s="13" t="n">
        <f aca="false">IF(P137-O137=0,"",(F137-O137)/(P137-O137))</f>
        <v>0.722292993630573</v>
      </c>
      <c r="R137" s="14" t="n">
        <f aca="false">IF(P137=0,"",F137/P137-1)</f>
        <v>-0.0646740339687014</v>
      </c>
      <c r="S137" s="8" t="s">
        <v>54</v>
      </c>
      <c r="T137" s="8" t="s">
        <v>469</v>
      </c>
      <c r="U137" s="15" t="n">
        <v>46288.771875</v>
      </c>
    </row>
    <row r="138" customFormat="false" ht="15" hidden="false" customHeight="false" outlineLevel="0" collapsed="false">
      <c r="A138" s="8" t="s">
        <v>470</v>
      </c>
      <c r="B138" s="8" t="s">
        <v>471</v>
      </c>
      <c r="C138" s="8" t="s">
        <v>20</v>
      </c>
      <c r="D138" s="8" t="s">
        <v>79</v>
      </c>
      <c r="E138" s="8" t="s">
        <v>54</v>
      </c>
      <c r="F138" s="9" t="n">
        <v>122.93</v>
      </c>
      <c r="G138" s="10" t="n">
        <v>-1.78</v>
      </c>
      <c r="H138" s="11" t="n">
        <v>-0.0143</v>
      </c>
      <c r="I138" s="9" t="n">
        <v>123.8</v>
      </c>
      <c r="J138" s="9" t="n">
        <v>122.8</v>
      </c>
      <c r="K138" s="9" t="n">
        <v>125.19</v>
      </c>
      <c r="L138" s="9" t="n">
        <v>122.93</v>
      </c>
      <c r="M138" s="12" t="n">
        <v>6582</v>
      </c>
      <c r="N138" s="12" t="n">
        <f aca="false">F138*M138</f>
        <v>809125.26</v>
      </c>
      <c r="O138" s="9" t="n">
        <v>108.5</v>
      </c>
      <c r="P138" s="9" t="n">
        <v>138</v>
      </c>
      <c r="Q138" s="13" t="n">
        <f aca="false">IF(P138-O138=0,"",(F138-O138)/(P138-O138))</f>
        <v>0.489152542372882</v>
      </c>
      <c r="R138" s="14" t="n">
        <f aca="false">IF(P138=0,"",F138/P138-1)</f>
        <v>-0.109202898550725</v>
      </c>
      <c r="S138" s="8" t="s">
        <v>54</v>
      </c>
      <c r="T138" s="8" t="s">
        <v>472</v>
      </c>
      <c r="U138" s="15" t="n">
        <v>46288.771875</v>
      </c>
    </row>
    <row r="139" customFormat="false" ht="15" hidden="false" customHeight="false" outlineLevel="0" collapsed="false">
      <c r="A139" s="8" t="s">
        <v>473</v>
      </c>
      <c r="B139" s="8" t="s">
        <v>474</v>
      </c>
      <c r="C139" s="8" t="s">
        <v>20</v>
      </c>
      <c r="D139" s="8" t="s">
        <v>79</v>
      </c>
      <c r="E139" s="8" t="s">
        <v>54</v>
      </c>
      <c r="F139" s="9" t="n">
        <v>154.89</v>
      </c>
      <c r="G139" s="10" t="n">
        <v>-2.77</v>
      </c>
      <c r="H139" s="11" t="n">
        <v>-0.0176</v>
      </c>
      <c r="I139" s="9" t="n">
        <v>156.05</v>
      </c>
      <c r="J139" s="9" t="n">
        <v>154.8</v>
      </c>
      <c r="K139" s="9" t="n">
        <v>157.76</v>
      </c>
      <c r="L139" s="9" t="n">
        <v>154.89</v>
      </c>
      <c r="M139" s="12" t="n">
        <v>4008</v>
      </c>
      <c r="N139" s="12" t="n">
        <f aca="false">F139*M139</f>
        <v>620799.12</v>
      </c>
      <c r="O139" s="9" t="n">
        <v>127.29</v>
      </c>
      <c r="P139" s="9" t="n">
        <v>169.48</v>
      </c>
      <c r="Q139" s="13" t="n">
        <f aca="false">IF(P139-O139=0,"",(F139-O139)/(P139-O139))</f>
        <v>0.654183455795212</v>
      </c>
      <c r="R139" s="14" t="n">
        <f aca="false">IF(P139=0,"",F139/P139-1)</f>
        <v>-0.0860868539060656</v>
      </c>
      <c r="S139" s="8" t="s">
        <v>54</v>
      </c>
      <c r="T139" s="8" t="s">
        <v>475</v>
      </c>
      <c r="U139" s="15" t="n">
        <v>46288.771875</v>
      </c>
    </row>
    <row r="140" customFormat="false" ht="15" hidden="false" customHeight="false" outlineLevel="0" collapsed="false">
      <c r="A140" s="8" t="s">
        <v>476</v>
      </c>
      <c r="B140" s="8" t="s">
        <v>477</v>
      </c>
      <c r="C140" s="8" t="s">
        <v>21</v>
      </c>
      <c r="D140" s="8" t="s">
        <v>53</v>
      </c>
      <c r="E140" s="8" t="s">
        <v>54</v>
      </c>
      <c r="F140" s="9" t="n">
        <v>51.67</v>
      </c>
      <c r="G140" s="10" t="n">
        <v>-0.14</v>
      </c>
      <c r="H140" s="11" t="n">
        <v>-0.0027</v>
      </c>
      <c r="I140" s="9" t="n">
        <v>51.9</v>
      </c>
      <c r="J140" s="9" t="n">
        <v>51.67</v>
      </c>
      <c r="K140" s="9" t="n">
        <v>51.9</v>
      </c>
      <c r="L140" s="9" t="n">
        <v>51.75</v>
      </c>
      <c r="M140" s="12" t="n">
        <v>39649</v>
      </c>
      <c r="N140" s="12" t="n">
        <f aca="false">F140*M140</f>
        <v>2048663.83</v>
      </c>
      <c r="O140" s="9" t="n">
        <v>49.82</v>
      </c>
      <c r="P140" s="9" t="n">
        <v>52.04</v>
      </c>
      <c r="Q140" s="13" t="n">
        <f aca="false">IF(P140-O140=0,"",(F140-O140)/(P140-O140))</f>
        <v>0.833333333333334</v>
      </c>
      <c r="R140" s="14" t="n">
        <f aca="false">IF(P140=0,"",F140/P140-1)</f>
        <v>-0.00710991544965411</v>
      </c>
      <c r="S140" s="8" t="s">
        <v>54</v>
      </c>
      <c r="T140" s="8" t="s">
        <v>478</v>
      </c>
      <c r="U140" s="15" t="n">
        <v>46288.771875</v>
      </c>
    </row>
    <row r="141" customFormat="false" ht="15" hidden="false" customHeight="false" outlineLevel="0" collapsed="false">
      <c r="A141" s="8" t="s">
        <v>479</v>
      </c>
      <c r="B141" s="8" t="s">
        <v>480</v>
      </c>
      <c r="C141" s="8" t="s">
        <v>21</v>
      </c>
      <c r="D141" s="8" t="s">
        <v>53</v>
      </c>
      <c r="E141" s="8" t="s">
        <v>54</v>
      </c>
      <c r="F141" s="9" t="n">
        <v>68.13</v>
      </c>
      <c r="G141" s="10" t="n">
        <v>0.03</v>
      </c>
      <c r="H141" s="11" t="n">
        <v>0.0004</v>
      </c>
      <c r="I141" s="9" t="n">
        <v>68.35</v>
      </c>
      <c r="J141" s="9" t="n">
        <v>68.13</v>
      </c>
      <c r="K141" s="9" t="n">
        <v>68.36</v>
      </c>
      <c r="L141" s="9" t="n">
        <v>68.18</v>
      </c>
      <c r="M141" s="12" t="n">
        <v>18583</v>
      </c>
      <c r="N141" s="12" t="n">
        <f aca="false">F141*M141</f>
        <v>1266059.79</v>
      </c>
      <c r="O141" s="9" t="n">
        <v>59.25</v>
      </c>
      <c r="P141" s="9" t="n">
        <v>68.36</v>
      </c>
      <c r="Q141" s="13" t="n">
        <f aca="false">IF(P141-O141=0,"",(F141-O141)/(P141-O141))</f>
        <v>0.974753018660812</v>
      </c>
      <c r="R141" s="14" t="n">
        <f aca="false">IF(P141=0,"",F141/P141-1)</f>
        <v>-0.00336454066705683</v>
      </c>
      <c r="S141" s="8" t="s">
        <v>54</v>
      </c>
      <c r="T141" s="8" t="s">
        <v>481</v>
      </c>
      <c r="U141" s="15" t="n">
        <v>46288.771875</v>
      </c>
    </row>
    <row r="142" customFormat="false" ht="15" hidden="false" customHeight="false" outlineLevel="0" collapsed="false">
      <c r="A142" s="8" t="s">
        <v>482</v>
      </c>
      <c r="B142" s="8" t="s">
        <v>483</v>
      </c>
      <c r="C142" s="8" t="s">
        <v>22</v>
      </c>
      <c r="D142" s="8" t="s">
        <v>71</v>
      </c>
      <c r="E142" s="8" t="s">
        <v>54</v>
      </c>
      <c r="F142" s="9" t="n">
        <v>68.14</v>
      </c>
      <c r="G142" s="10" t="n">
        <v>-1.58</v>
      </c>
      <c r="H142" s="11" t="n">
        <v>-0.0227</v>
      </c>
      <c r="I142" s="9" t="n">
        <v>70.42</v>
      </c>
      <c r="J142" s="9" t="n">
        <v>68.14</v>
      </c>
      <c r="K142" s="9" t="n">
        <v>70.42</v>
      </c>
      <c r="L142" s="9" t="n">
        <v>69.9</v>
      </c>
      <c r="M142" s="12" t="n">
        <v>19381</v>
      </c>
      <c r="N142" s="12" t="n">
        <f aca="false">F142*M142</f>
        <v>1320621.34</v>
      </c>
      <c r="O142" s="9" t="n">
        <v>64.16</v>
      </c>
      <c r="P142" s="9" t="n">
        <v>111.89</v>
      </c>
      <c r="Q142" s="13" t="n">
        <f aca="false">IF(P142-O142=0,"",(F142-O142)/(P142-O142))</f>
        <v>0.0833857112926881</v>
      </c>
      <c r="R142" s="14" t="n">
        <f aca="false">IF(P142=0,"",F142/P142-1)</f>
        <v>-0.391009026722674</v>
      </c>
      <c r="S142" s="8" t="s">
        <v>54</v>
      </c>
      <c r="T142" s="8" t="s">
        <v>484</v>
      </c>
      <c r="U142" s="15" t="n">
        <v>46288.771875</v>
      </c>
    </row>
    <row r="143" customFormat="false" ht="15" hidden="false" customHeight="false" outlineLevel="0" collapsed="false">
      <c r="A143" s="8" t="s">
        <v>485</v>
      </c>
      <c r="B143" s="8" t="s">
        <v>486</v>
      </c>
      <c r="C143" s="8" t="s">
        <v>22</v>
      </c>
      <c r="D143" s="8" t="s">
        <v>71</v>
      </c>
      <c r="E143" s="8" t="s">
        <v>54</v>
      </c>
      <c r="F143" s="9" t="n">
        <v>20.99</v>
      </c>
      <c r="G143" s="10" t="n">
        <v>0.29</v>
      </c>
      <c r="H143" s="11" t="n">
        <v>0.014</v>
      </c>
      <c r="I143" s="9" t="n">
        <v>20.98</v>
      </c>
      <c r="J143" s="9" t="n">
        <v>20.73</v>
      </c>
      <c r="K143" s="9" t="n">
        <v>21.05</v>
      </c>
      <c r="L143" s="9" t="n">
        <v>20.73</v>
      </c>
      <c r="M143" s="12" t="n">
        <v>533</v>
      </c>
      <c r="N143" s="12" t="n">
        <f aca="false">F143*M143</f>
        <v>11187.67</v>
      </c>
      <c r="O143" s="9" t="n">
        <v>20.22</v>
      </c>
      <c r="P143" s="9" t="n">
        <v>42.3</v>
      </c>
      <c r="Q143" s="13" t="n">
        <f aca="false">IF(P143-O143=0,"",(F143-O143)/(P143-O143))</f>
        <v>0.0348731884057971</v>
      </c>
      <c r="R143" s="14" t="n">
        <f aca="false">IF(P143=0,"",F143/P143-1)</f>
        <v>-0.503782505910166</v>
      </c>
      <c r="S143" s="8" t="s">
        <v>54</v>
      </c>
      <c r="T143" s="8" t="s">
        <v>487</v>
      </c>
      <c r="U143" s="15" t="n">
        <v>46288.771875</v>
      </c>
    </row>
    <row r="144" customFormat="false" ht="15" hidden="false" customHeight="false" outlineLevel="0" collapsed="false">
      <c r="A144" s="8" t="s">
        <v>488</v>
      </c>
      <c r="B144" s="8" t="s">
        <v>489</v>
      </c>
      <c r="C144" s="8" t="s">
        <v>24</v>
      </c>
      <c r="D144" s="8" t="s">
        <v>100</v>
      </c>
      <c r="E144" s="8" t="s">
        <v>54</v>
      </c>
      <c r="F144" s="9" t="n">
        <v>99.85</v>
      </c>
      <c r="G144" s="10" t="n">
        <v>-0.15</v>
      </c>
      <c r="H144" s="11" t="n">
        <v>-0.0015</v>
      </c>
      <c r="I144" s="9" t="n">
        <v>100.87</v>
      </c>
      <c r="J144" s="9" t="n">
        <v>99.85</v>
      </c>
      <c r="K144" s="9" t="n">
        <v>100.87</v>
      </c>
      <c r="L144" s="9" t="n">
        <v>99.85</v>
      </c>
      <c r="M144" s="12" t="n">
        <v>2</v>
      </c>
      <c r="N144" s="12" t="n">
        <f aca="false">F144*M144</f>
        <v>199.7</v>
      </c>
      <c r="O144" s="9" t="n">
        <v>92.07</v>
      </c>
      <c r="P144" s="9" t="n">
        <v>108.77</v>
      </c>
      <c r="Q144" s="13" t="n">
        <f aca="false">IF(P144-O144=0,"",(F144-O144)/(P144-O144))</f>
        <v>0.465868263473054</v>
      </c>
      <c r="R144" s="14" t="n">
        <f aca="false">IF(P144=0,"",F144/P144-1)</f>
        <v>-0.0820079065918912</v>
      </c>
      <c r="S144" s="8" t="s">
        <v>54</v>
      </c>
      <c r="T144" s="8" t="s">
        <v>490</v>
      </c>
      <c r="U144" s="15" t="n">
        <v>46288.771875</v>
      </c>
    </row>
    <row r="145" customFormat="false" ht="15" hidden="false" customHeight="false" outlineLevel="0" collapsed="false">
      <c r="A145" s="8" t="s">
        <v>491</v>
      </c>
      <c r="B145" s="8" t="s">
        <v>492</v>
      </c>
      <c r="C145" s="8" t="s">
        <v>24</v>
      </c>
      <c r="D145" s="8" t="s">
        <v>100</v>
      </c>
      <c r="E145" s="8" t="s">
        <v>54</v>
      </c>
      <c r="F145" s="9" t="n">
        <v>97.29</v>
      </c>
      <c r="G145" s="10" t="n">
        <v>-1.64</v>
      </c>
      <c r="H145" s="11" t="n">
        <v>-0.0166</v>
      </c>
      <c r="I145" s="9" t="n">
        <v>98.79</v>
      </c>
      <c r="J145" s="9" t="n">
        <v>97.2</v>
      </c>
      <c r="K145" s="9" t="n">
        <v>98.79</v>
      </c>
      <c r="L145" s="9" t="n">
        <v>97.2</v>
      </c>
      <c r="M145" s="12" t="n">
        <v>1244</v>
      </c>
      <c r="N145" s="12" t="n">
        <f aca="false">F145*M145</f>
        <v>121028.76</v>
      </c>
      <c r="O145" s="9" t="n">
        <v>87.66</v>
      </c>
      <c r="P145" s="9" t="n">
        <v>127</v>
      </c>
      <c r="Q145" s="13" t="n">
        <f aca="false">IF(P145-O145=0,"",(F145-O145)/(P145-O145))</f>
        <v>0.244789018810371</v>
      </c>
      <c r="R145" s="14" t="n">
        <f aca="false">IF(P145=0,"",F145/P145-1)</f>
        <v>-0.233937007874016</v>
      </c>
      <c r="S145" s="8" t="s">
        <v>54</v>
      </c>
      <c r="T145" s="8" t="s">
        <v>493</v>
      </c>
      <c r="U145" s="15" t="n">
        <v>46288.771875</v>
      </c>
    </row>
    <row r="146" customFormat="false" ht="15" hidden="false" customHeight="false" outlineLevel="0" collapsed="false">
      <c r="A146" s="8" t="s">
        <v>494</v>
      </c>
      <c r="B146" s="8" t="s">
        <v>495</v>
      </c>
      <c r="C146" s="8" t="s">
        <v>21</v>
      </c>
      <c r="D146" s="8" t="s">
        <v>53</v>
      </c>
      <c r="E146" s="8" t="s">
        <v>54</v>
      </c>
      <c r="F146" s="9" t="n">
        <v>11.18</v>
      </c>
      <c r="G146" s="10" t="n">
        <v>0.01</v>
      </c>
      <c r="H146" s="11" t="n">
        <v>0.0009</v>
      </c>
      <c r="I146" s="9" t="n">
        <v>11.19</v>
      </c>
      <c r="J146" s="9" t="n">
        <v>11.17</v>
      </c>
      <c r="K146" s="9" t="n">
        <v>11.21</v>
      </c>
      <c r="L146" s="9" t="n">
        <v>11.18</v>
      </c>
      <c r="M146" s="12" t="n">
        <v>20128</v>
      </c>
      <c r="N146" s="12" t="n">
        <f aca="false">F146*M146</f>
        <v>225031.04</v>
      </c>
      <c r="O146" s="9" t="n">
        <v>9.9</v>
      </c>
      <c r="P146" s="9" t="n">
        <v>11.22</v>
      </c>
      <c r="Q146" s="13" t="n">
        <f aca="false">IF(P146-O146=0,"",(F146-O146)/(P146-O146))</f>
        <v>0.969696969696969</v>
      </c>
      <c r="R146" s="14" t="n">
        <f aca="false">IF(P146=0,"",F146/P146-1)</f>
        <v>-0.00356506238859189</v>
      </c>
      <c r="S146" s="8" t="s">
        <v>54</v>
      </c>
      <c r="T146" s="8" t="s">
        <v>496</v>
      </c>
      <c r="U146" s="15" t="n">
        <v>46288.771875</v>
      </c>
    </row>
    <row r="147" customFormat="false" ht="15" hidden="false" customHeight="false" outlineLevel="0" collapsed="false">
      <c r="A147" s="8" t="s">
        <v>497</v>
      </c>
      <c r="B147" s="8" t="s">
        <v>498</v>
      </c>
      <c r="C147" s="8" t="s">
        <v>21</v>
      </c>
      <c r="D147" s="8" t="s">
        <v>53</v>
      </c>
      <c r="E147" s="8" t="s">
        <v>54</v>
      </c>
      <c r="F147" s="9" t="n">
        <v>123.12</v>
      </c>
      <c r="G147" s="10" t="n">
        <v>0.02</v>
      </c>
      <c r="H147" s="11" t="n">
        <v>0.0002</v>
      </c>
      <c r="I147" s="9" t="n">
        <v>123.26</v>
      </c>
      <c r="J147" s="9" t="n">
        <v>123.02</v>
      </c>
      <c r="K147" s="9" t="n">
        <v>123.76</v>
      </c>
      <c r="L147" s="9" t="n">
        <v>123.19</v>
      </c>
      <c r="M147" s="12" t="n">
        <v>1733</v>
      </c>
      <c r="N147" s="12" t="n">
        <f aca="false">F147*M147</f>
        <v>213366.96</v>
      </c>
      <c r="O147" s="9" t="n">
        <v>107.8</v>
      </c>
      <c r="P147" s="9" t="n">
        <v>123.94</v>
      </c>
      <c r="Q147" s="13" t="n">
        <f aca="false">IF(P147-O147=0,"",(F147-O147)/(P147-O147))</f>
        <v>0.949194547707559</v>
      </c>
      <c r="R147" s="14" t="n">
        <f aca="false">IF(P147=0,"",F147/P147-1)</f>
        <v>-0.00661610456672579</v>
      </c>
      <c r="S147" s="8" t="s">
        <v>54</v>
      </c>
      <c r="T147" s="8" t="s">
        <v>499</v>
      </c>
      <c r="U147" s="15" t="n">
        <v>46288.771875</v>
      </c>
    </row>
    <row r="148" customFormat="false" ht="15" hidden="false" customHeight="false" outlineLevel="0" collapsed="false">
      <c r="A148" s="8" t="s">
        <v>500</v>
      </c>
      <c r="B148" s="8" t="s">
        <v>501</v>
      </c>
      <c r="C148" s="8" t="s">
        <v>21</v>
      </c>
      <c r="D148" s="8" t="s">
        <v>53</v>
      </c>
      <c r="E148" s="8" t="s">
        <v>54</v>
      </c>
      <c r="F148" s="9" t="n">
        <v>119.85</v>
      </c>
      <c r="G148" s="10" t="n">
        <v>0.25</v>
      </c>
      <c r="H148" s="11" t="n">
        <v>0.0021</v>
      </c>
      <c r="I148" s="9" t="n">
        <v>119.42</v>
      </c>
      <c r="J148" s="9" t="n">
        <v>119.35</v>
      </c>
      <c r="K148" s="9" t="n">
        <v>119.89</v>
      </c>
      <c r="L148" s="9" t="n">
        <v>119.85</v>
      </c>
      <c r="M148" s="12" t="n">
        <v>142</v>
      </c>
      <c r="N148" s="12" t="n">
        <f aca="false">F148*M148</f>
        <v>17018.7</v>
      </c>
      <c r="O148" s="9" t="n">
        <v>105.52</v>
      </c>
      <c r="P148" s="9" t="n">
        <v>119.98</v>
      </c>
      <c r="Q148" s="13" t="n">
        <f aca="false">IF(P148-O148=0,"",(F148-O148)/(P148-O148))</f>
        <v>0.991009681881051</v>
      </c>
      <c r="R148" s="14" t="n">
        <f aca="false">IF(P148=0,"",F148/P148-1)</f>
        <v>-0.00108351391898653</v>
      </c>
      <c r="S148" s="8" t="s">
        <v>54</v>
      </c>
      <c r="T148" s="8" t="s">
        <v>502</v>
      </c>
      <c r="U148" s="15" t="n">
        <v>46288.771875</v>
      </c>
    </row>
    <row r="149" customFormat="false" ht="15" hidden="false" customHeight="false" outlineLevel="0" collapsed="false">
      <c r="A149" s="8" t="s">
        <v>503</v>
      </c>
      <c r="B149" s="8" t="s">
        <v>504</v>
      </c>
      <c r="C149" s="8" t="s">
        <v>21</v>
      </c>
      <c r="D149" s="8" t="s">
        <v>53</v>
      </c>
      <c r="E149" s="8" t="s">
        <v>54</v>
      </c>
      <c r="F149" s="9" t="n">
        <v>112.83</v>
      </c>
      <c r="G149" s="10" t="n">
        <v>0.04</v>
      </c>
      <c r="H149" s="11" t="n">
        <v>0.0004</v>
      </c>
      <c r="I149" s="9" t="n">
        <v>112.54</v>
      </c>
      <c r="J149" s="9" t="n">
        <v>112.43</v>
      </c>
      <c r="K149" s="9" t="n">
        <v>113.13</v>
      </c>
      <c r="L149" s="9" t="n">
        <v>113.13</v>
      </c>
      <c r="M149" s="12" t="n">
        <v>472</v>
      </c>
      <c r="N149" s="12" t="n">
        <f aca="false">F149*M149</f>
        <v>53255.76</v>
      </c>
      <c r="O149" s="9" t="n">
        <v>100.27</v>
      </c>
      <c r="P149" s="9" t="n">
        <v>113.56</v>
      </c>
      <c r="Q149" s="13" t="n">
        <f aca="false">IF(P149-O149=0,"",(F149-O149)/(P149-O149))</f>
        <v>0.945071482317532</v>
      </c>
      <c r="R149" s="14" t="n">
        <f aca="false">IF(P149=0,"",F149/P149-1)</f>
        <v>-0.0064283198309264</v>
      </c>
      <c r="S149" s="8" t="s">
        <v>54</v>
      </c>
      <c r="T149" s="8" t="s">
        <v>505</v>
      </c>
      <c r="U149" s="15" t="n">
        <v>46288.771875</v>
      </c>
    </row>
    <row r="150" customFormat="false" ht="15" hidden="false" customHeight="false" outlineLevel="0" collapsed="false">
      <c r="A150" s="8" t="s">
        <v>506</v>
      </c>
      <c r="B150" s="8" t="s">
        <v>507</v>
      </c>
      <c r="C150" s="8" t="s">
        <v>22</v>
      </c>
      <c r="D150" s="8" t="s">
        <v>71</v>
      </c>
      <c r="E150" s="8" t="s">
        <v>54</v>
      </c>
      <c r="F150" s="9" t="n">
        <v>153.24</v>
      </c>
      <c r="G150" s="10" t="n">
        <v>-0.9</v>
      </c>
      <c r="H150" s="11" t="n">
        <v>-0.0058</v>
      </c>
      <c r="I150" s="9" t="n">
        <v>154.95</v>
      </c>
      <c r="J150" s="9" t="n">
        <v>153.24</v>
      </c>
      <c r="K150" s="9" t="n">
        <v>154.95</v>
      </c>
      <c r="L150" s="9" t="n">
        <v>154.55</v>
      </c>
      <c r="M150" s="12" t="n">
        <v>87</v>
      </c>
      <c r="N150" s="12" t="n">
        <f aca="false">F150*M150</f>
        <v>13331.88</v>
      </c>
      <c r="O150" s="9" t="n">
        <v>138.81</v>
      </c>
      <c r="P150" s="9" t="n">
        <v>215.11</v>
      </c>
      <c r="Q150" s="13" t="n">
        <f aca="false">IF(P150-O150=0,"",(F150-O150)/(P150-O150))</f>
        <v>0.189121887287025</v>
      </c>
      <c r="R150" s="14" t="n">
        <f aca="false">IF(P150=0,"",F150/P150-1)</f>
        <v>-0.287620287294872</v>
      </c>
      <c r="S150" s="8" t="s">
        <v>54</v>
      </c>
      <c r="T150" s="8" t="s">
        <v>508</v>
      </c>
      <c r="U150" s="15" t="n">
        <v>46288.771875</v>
      </c>
    </row>
    <row r="151" customFormat="false" ht="15" hidden="false" customHeight="false" outlineLevel="0" collapsed="false">
      <c r="A151" s="8" t="s">
        <v>509</v>
      </c>
      <c r="B151" s="8" t="s">
        <v>510</v>
      </c>
      <c r="C151" s="8" t="s">
        <v>21</v>
      </c>
      <c r="D151" s="8" t="s">
        <v>53</v>
      </c>
      <c r="E151" s="8" t="s">
        <v>54</v>
      </c>
      <c r="F151" s="9" t="n">
        <v>103.71</v>
      </c>
      <c r="G151" s="10" t="n">
        <v>-0.06</v>
      </c>
      <c r="H151" s="11" t="n">
        <v>-0.0006</v>
      </c>
      <c r="I151" s="9" t="n">
        <v>103.71</v>
      </c>
      <c r="J151" s="9" t="n">
        <v>103.71</v>
      </c>
      <c r="K151" s="9" t="n">
        <v>103.71</v>
      </c>
      <c r="L151" s="9" t="n">
        <v>103.71</v>
      </c>
      <c r="M151" s="12" t="n">
        <v>1</v>
      </c>
      <c r="N151" s="12" t="n">
        <f aca="false">F151*M151</f>
        <v>103.71</v>
      </c>
      <c r="O151" s="9" t="n">
        <v>98.02</v>
      </c>
      <c r="P151" s="9" t="n">
        <v>103.77</v>
      </c>
      <c r="Q151" s="13" t="n">
        <f aca="false">IF(P151-O151=0,"",(F151-O151)/(P151-O151))</f>
        <v>0.989565217391304</v>
      </c>
      <c r="R151" s="14" t="n">
        <f aca="false">IF(P151=0,"",F151/P151-1)</f>
        <v>-0.000578201792425626</v>
      </c>
      <c r="S151" s="8" t="s">
        <v>54</v>
      </c>
      <c r="T151" s="8" t="s">
        <v>511</v>
      </c>
      <c r="U151" s="15" t="n">
        <v>46288.771875</v>
      </c>
    </row>
    <row r="152" customFormat="false" ht="15" hidden="false" customHeight="false" outlineLevel="0" collapsed="false">
      <c r="A152" s="8" t="s">
        <v>512</v>
      </c>
      <c r="B152" s="8" t="s">
        <v>513</v>
      </c>
      <c r="C152" s="8" t="s">
        <v>21</v>
      </c>
      <c r="D152" s="8" t="s">
        <v>53</v>
      </c>
      <c r="E152" s="8" t="s">
        <v>54</v>
      </c>
      <c r="F152" s="9" t="n">
        <v>121.52</v>
      </c>
      <c r="G152" s="10" t="n">
        <v>-0.01</v>
      </c>
      <c r="H152" s="11" t="n">
        <v>-0.0001</v>
      </c>
      <c r="I152" s="9" t="n">
        <v>121.71</v>
      </c>
      <c r="J152" s="9" t="n">
        <v>121.52</v>
      </c>
      <c r="K152" s="9" t="n">
        <v>121.72</v>
      </c>
      <c r="L152" s="9" t="n">
        <v>121.52</v>
      </c>
      <c r="M152" s="12" t="n">
        <v>159</v>
      </c>
      <c r="N152" s="12" t="n">
        <f aca="false">F152*M152</f>
        <v>19321.68</v>
      </c>
      <c r="O152" s="9" t="n">
        <v>107.29</v>
      </c>
      <c r="P152" s="9" t="n">
        <v>121.76</v>
      </c>
      <c r="Q152" s="13" t="n">
        <f aca="false">IF(P152-O152=0,"",(F152-O152)/(P152-O152))</f>
        <v>0.983413959917069</v>
      </c>
      <c r="R152" s="14" t="n">
        <f aca="false">IF(P152=0,"",F152/P152-1)</f>
        <v>-0.00197109067017087</v>
      </c>
      <c r="S152" s="8" t="s">
        <v>54</v>
      </c>
      <c r="T152" s="8" t="s">
        <v>514</v>
      </c>
      <c r="U152" s="15" t="n">
        <v>46288.771875</v>
      </c>
    </row>
    <row r="153" customFormat="false" ht="15" hidden="false" customHeight="false" outlineLevel="0" collapsed="false">
      <c r="A153" s="8" t="s">
        <v>515</v>
      </c>
      <c r="B153" s="8" t="s">
        <v>516</v>
      </c>
      <c r="C153" s="8" t="s">
        <v>20</v>
      </c>
      <c r="D153" s="8" t="s">
        <v>79</v>
      </c>
      <c r="E153" s="8" t="s">
        <v>54</v>
      </c>
      <c r="F153" s="9" t="n">
        <v>333</v>
      </c>
      <c r="G153" s="10" t="n">
        <v>-2.81</v>
      </c>
      <c r="H153" s="11" t="n">
        <v>-0.0084</v>
      </c>
      <c r="I153" s="9" t="n">
        <v>335.1</v>
      </c>
      <c r="J153" s="9" t="n">
        <v>329.18</v>
      </c>
      <c r="K153" s="9" t="n">
        <v>337.59</v>
      </c>
      <c r="L153" s="9" t="n">
        <v>333.8</v>
      </c>
      <c r="M153" s="12" t="n">
        <v>762</v>
      </c>
      <c r="N153" s="12" t="n">
        <f aca="false">F153*M153</f>
        <v>253746</v>
      </c>
      <c r="O153" s="9" t="n">
        <v>246.02</v>
      </c>
      <c r="P153" s="9" t="n">
        <v>357.48</v>
      </c>
      <c r="Q153" s="13" t="n">
        <f aca="false">IF(P153-O153=0,"",(F153-O153)/(P153-O153))</f>
        <v>0.780369639332496</v>
      </c>
      <c r="R153" s="14" t="n">
        <f aca="false">IF(P153=0,"",F153/P153-1)</f>
        <v>-0.068479355488419</v>
      </c>
      <c r="S153" s="8" t="s">
        <v>54</v>
      </c>
      <c r="T153" s="8" t="s">
        <v>517</v>
      </c>
      <c r="U153" s="15" t="n">
        <v>46288.771875</v>
      </c>
    </row>
    <row r="154" customFormat="false" ht="15" hidden="false" customHeight="false" outlineLevel="0" collapsed="false">
      <c r="A154" s="8" t="s">
        <v>518</v>
      </c>
      <c r="B154" s="8" t="s">
        <v>519</v>
      </c>
      <c r="C154" s="8" t="s">
        <v>22</v>
      </c>
      <c r="D154" s="8" t="s">
        <v>71</v>
      </c>
      <c r="E154" s="8" t="s">
        <v>54</v>
      </c>
      <c r="F154" s="9" t="n">
        <v>92.88</v>
      </c>
      <c r="G154" s="10" t="n">
        <v>1.39</v>
      </c>
      <c r="H154" s="11" t="n">
        <v>0.0152</v>
      </c>
      <c r="I154" s="9" t="n">
        <v>93.05</v>
      </c>
      <c r="J154" s="9" t="n">
        <v>92.49</v>
      </c>
      <c r="K154" s="9" t="n">
        <v>93.27</v>
      </c>
      <c r="L154" s="9" t="n">
        <v>92.88</v>
      </c>
      <c r="M154" s="12" t="n">
        <v>4320</v>
      </c>
      <c r="N154" s="12" t="n">
        <f aca="false">F154*M154</f>
        <v>401241.6</v>
      </c>
      <c r="O154" s="9" t="n">
        <v>91.36</v>
      </c>
      <c r="P154" s="9" t="n">
        <v>107.9</v>
      </c>
      <c r="Q154" s="13" t="n">
        <f aca="false">IF(P154-O154=0,"",(F154-O154)/(P154-O154))</f>
        <v>0.0918984280532041</v>
      </c>
      <c r="R154" s="14" t="n">
        <f aca="false">IF(P154=0,"",F154/P154-1)</f>
        <v>-0.13920296570899</v>
      </c>
      <c r="S154" s="8" t="s">
        <v>54</v>
      </c>
      <c r="T154" s="8" t="s">
        <v>520</v>
      </c>
      <c r="U154" s="15" t="n">
        <v>46288.771875</v>
      </c>
    </row>
    <row r="155" customFormat="false" ht="15" hidden="false" customHeight="false" outlineLevel="0" collapsed="false">
      <c r="A155" s="8" t="s">
        <v>521</v>
      </c>
      <c r="B155" s="8" t="s">
        <v>522</v>
      </c>
      <c r="C155" s="8" t="s">
        <v>22</v>
      </c>
      <c r="D155" s="8" t="s">
        <v>71</v>
      </c>
      <c r="E155" s="8" t="s">
        <v>54</v>
      </c>
      <c r="F155" s="9" t="n">
        <v>114.98</v>
      </c>
      <c r="G155" s="10" t="n">
        <v>-0.59</v>
      </c>
      <c r="H155" s="11" t="n">
        <v>-0.0051</v>
      </c>
      <c r="I155" s="9" t="n">
        <v>115.57</v>
      </c>
      <c r="J155" s="9" t="n">
        <v>114.5</v>
      </c>
      <c r="K155" s="9" t="n">
        <v>115.57</v>
      </c>
      <c r="L155" s="9" t="n">
        <v>114.98</v>
      </c>
      <c r="M155" s="12" t="n">
        <v>2663</v>
      </c>
      <c r="N155" s="12" t="n">
        <f aca="false">F155*M155</f>
        <v>306191.74</v>
      </c>
      <c r="O155" s="9" t="n">
        <v>113.21</v>
      </c>
      <c r="P155" s="9" t="n">
        <v>129</v>
      </c>
      <c r="Q155" s="13" t="n">
        <f aca="false">IF(P155-O155=0,"",(F155-O155)/(P155-O155))</f>
        <v>0.112096263457885</v>
      </c>
      <c r="R155" s="14" t="n">
        <f aca="false">IF(P155=0,"",F155/P155-1)</f>
        <v>-0.108682170542636</v>
      </c>
      <c r="S155" s="8" t="s">
        <v>54</v>
      </c>
      <c r="T155" s="8" t="s">
        <v>523</v>
      </c>
      <c r="U155" s="15" t="n">
        <v>46288.771875</v>
      </c>
    </row>
    <row r="156" customFormat="false" ht="15" hidden="false" customHeight="false" outlineLevel="0" collapsed="false">
      <c r="A156" s="8" t="s">
        <v>524</v>
      </c>
      <c r="B156" s="8" t="s">
        <v>525</v>
      </c>
      <c r="C156" s="8" t="s">
        <v>21</v>
      </c>
      <c r="D156" s="8" t="s">
        <v>53</v>
      </c>
      <c r="E156" s="8" t="s">
        <v>54</v>
      </c>
      <c r="F156" s="9" t="n">
        <v>107.08</v>
      </c>
      <c r="G156" s="10" t="n">
        <v>0.04</v>
      </c>
      <c r="H156" s="11" t="n">
        <v>0.0004</v>
      </c>
      <c r="I156" s="9" t="n">
        <v>107.14</v>
      </c>
      <c r="J156" s="9" t="n">
        <v>107.05</v>
      </c>
      <c r="K156" s="9" t="n">
        <v>107.25</v>
      </c>
      <c r="L156" s="9" t="n">
        <v>107.09</v>
      </c>
      <c r="M156" s="12" t="n">
        <v>39831</v>
      </c>
      <c r="N156" s="12" t="n">
        <f aca="false">F156*M156</f>
        <v>4265103.48</v>
      </c>
      <c r="O156" s="9" t="n">
        <v>100.05</v>
      </c>
      <c r="P156" s="9" t="n">
        <v>108</v>
      </c>
      <c r="Q156" s="13" t="n">
        <f aca="false">IF(P156-O156=0,"",(F156-O156)/(P156-O156))</f>
        <v>0.884276729559748</v>
      </c>
      <c r="R156" s="14" t="n">
        <f aca="false">IF(P156=0,"",F156/P156-1)</f>
        <v>-0.00851851851851848</v>
      </c>
      <c r="S156" s="8" t="s">
        <v>54</v>
      </c>
      <c r="T156" s="8" t="s">
        <v>526</v>
      </c>
      <c r="U156" s="15" t="n">
        <v>46288.771875</v>
      </c>
    </row>
    <row r="157" customFormat="false" ht="15" hidden="false" customHeight="false" outlineLevel="0" collapsed="false">
      <c r="A157" s="8" t="s">
        <v>527</v>
      </c>
      <c r="B157" s="8" t="s">
        <v>528</v>
      </c>
      <c r="C157" s="8" t="s">
        <v>24</v>
      </c>
      <c r="D157" s="8" t="s">
        <v>100</v>
      </c>
      <c r="E157" s="8" t="s">
        <v>54</v>
      </c>
      <c r="F157" s="9" t="n">
        <v>98</v>
      </c>
      <c r="G157" s="10" t="n">
        <v>-2.74</v>
      </c>
      <c r="H157" s="11" t="n">
        <v>-0.0272</v>
      </c>
      <c r="I157" s="9" t="n">
        <v>98</v>
      </c>
      <c r="J157" s="9" t="n">
        <v>98</v>
      </c>
      <c r="K157" s="9" t="n">
        <v>98</v>
      </c>
      <c r="L157" s="9" t="n">
        <v>98</v>
      </c>
      <c r="M157" s="12" t="n">
        <v>1</v>
      </c>
      <c r="N157" s="12" t="n">
        <f aca="false">F157*M157</f>
        <v>98</v>
      </c>
      <c r="O157" s="9" t="n">
        <v>83.96</v>
      </c>
      <c r="P157" s="9" t="n">
        <v>108.75</v>
      </c>
      <c r="Q157" s="13" t="n">
        <f aca="false">IF(P157-O157=0,"",(F157-O157)/(P157-O157))</f>
        <v>0.566357402178298</v>
      </c>
      <c r="R157" s="14" t="n">
        <f aca="false">IF(P157=0,"",F157/P157-1)</f>
        <v>-0.0988505747126437</v>
      </c>
      <c r="S157" s="8" t="s">
        <v>54</v>
      </c>
      <c r="T157" s="8" t="s">
        <v>529</v>
      </c>
      <c r="U157" s="15" t="n">
        <v>46288.771875</v>
      </c>
    </row>
    <row r="158" customFormat="false" ht="15" hidden="false" customHeight="false" outlineLevel="0" collapsed="false">
      <c r="A158" s="8" t="s">
        <v>530</v>
      </c>
      <c r="B158" s="8" t="s">
        <v>531</v>
      </c>
      <c r="C158" s="8" t="s">
        <v>21</v>
      </c>
      <c r="D158" s="8" t="s">
        <v>53</v>
      </c>
      <c r="E158" s="8" t="s">
        <v>86</v>
      </c>
      <c r="F158" s="9" t="n">
        <v>52.56</v>
      </c>
      <c r="G158" s="10" t="n">
        <v>-0.04</v>
      </c>
      <c r="H158" s="11" t="n">
        <v>-0.0008</v>
      </c>
      <c r="I158" s="9" t="n">
        <v>52.7</v>
      </c>
      <c r="J158" s="9" t="n">
        <v>52.51</v>
      </c>
      <c r="K158" s="9" t="n">
        <v>52.7</v>
      </c>
      <c r="L158" s="9" t="n">
        <v>52.61</v>
      </c>
      <c r="M158" s="12" t="n">
        <v>1575</v>
      </c>
      <c r="N158" s="12" t="n">
        <f aca="false">F158*M158</f>
        <v>82782</v>
      </c>
      <c r="O158" s="9" t="n">
        <v>49.62</v>
      </c>
      <c r="P158" s="9" t="n">
        <v>53</v>
      </c>
      <c r="Q158" s="13" t="n">
        <f aca="false">IF(P158-O158=0,"",(F158-O158)/(P158-O158))</f>
        <v>0.869822485207101</v>
      </c>
      <c r="R158" s="14" t="n">
        <f aca="false">IF(P158=0,"",F158/P158-1)</f>
        <v>-0.00830188679245281</v>
      </c>
      <c r="S158" s="8" t="s">
        <v>87</v>
      </c>
      <c r="T158" s="8" t="s">
        <v>532</v>
      </c>
      <c r="U158" s="15" t="n">
        <v>46288.771875</v>
      </c>
    </row>
    <row r="159" customFormat="false" ht="15" hidden="false" customHeight="false" outlineLevel="0" collapsed="false">
      <c r="A159" s="8" t="s">
        <v>533</v>
      </c>
      <c r="B159" s="8" t="s">
        <v>534</v>
      </c>
      <c r="C159" s="8" t="s">
        <v>23</v>
      </c>
      <c r="D159" s="8" t="s">
        <v>67</v>
      </c>
      <c r="E159" s="8" t="s">
        <v>54</v>
      </c>
      <c r="F159" s="9" t="n">
        <v>26.21</v>
      </c>
      <c r="G159" s="10" t="n">
        <v>-0.3</v>
      </c>
      <c r="H159" s="11" t="n">
        <v>-0.0113</v>
      </c>
      <c r="I159" s="9" t="n">
        <v>26.49</v>
      </c>
      <c r="J159" s="9" t="n">
        <v>25.97</v>
      </c>
      <c r="K159" s="9" t="n">
        <v>26.6</v>
      </c>
      <c r="L159" s="9" t="n">
        <v>26.21</v>
      </c>
      <c r="M159" s="12" t="n">
        <v>108946</v>
      </c>
      <c r="N159" s="12" t="n">
        <f aca="false">F159*M159</f>
        <v>2855474.66</v>
      </c>
      <c r="O159" s="9" t="n">
        <v>18.28</v>
      </c>
      <c r="P159" s="9" t="n">
        <v>40.48</v>
      </c>
      <c r="Q159" s="13" t="n">
        <f aca="false">IF(P159-O159=0,"",(F159-O159)/(P159-O159))</f>
        <v>0.357207207207207</v>
      </c>
      <c r="R159" s="14" t="n">
        <f aca="false">IF(P159=0,"",F159/P159-1)</f>
        <v>-0.35251976284585</v>
      </c>
      <c r="S159" s="8" t="s">
        <v>54</v>
      </c>
      <c r="T159" s="8" t="s">
        <v>535</v>
      </c>
      <c r="U159" s="15" t="n">
        <v>46288.771875</v>
      </c>
    </row>
    <row r="160" customFormat="false" ht="15" hidden="false" customHeight="false" outlineLevel="0" collapsed="false">
      <c r="A160" s="8" t="s">
        <v>536</v>
      </c>
      <c r="B160" s="8" t="s">
        <v>537</v>
      </c>
      <c r="C160" s="8" t="s">
        <v>23</v>
      </c>
      <c r="D160" s="8" t="s">
        <v>67</v>
      </c>
      <c r="E160" s="8" t="s">
        <v>54</v>
      </c>
      <c r="F160" s="9" t="n">
        <v>2.44</v>
      </c>
      <c r="G160" s="10" t="n">
        <v>-0.02</v>
      </c>
      <c r="H160" s="11" t="n">
        <v>-0.0081</v>
      </c>
      <c r="I160" s="9" t="n">
        <v>2.55</v>
      </c>
      <c r="J160" s="9" t="n">
        <v>2.43</v>
      </c>
      <c r="K160" s="9" t="n">
        <v>2.6</v>
      </c>
      <c r="L160" s="9" t="n">
        <v>2.44</v>
      </c>
      <c r="M160" s="12" t="n">
        <v>7047</v>
      </c>
      <c r="N160" s="12" t="n">
        <f aca="false">F160*M160</f>
        <v>17194.68</v>
      </c>
      <c r="O160" s="9" t="n">
        <v>1.35</v>
      </c>
      <c r="P160" s="9" t="n">
        <v>4.3</v>
      </c>
      <c r="Q160" s="13" t="n">
        <f aca="false">IF(P160-O160=0,"",(F160-O160)/(P160-O160))</f>
        <v>0.369491525423729</v>
      </c>
      <c r="R160" s="14" t="n">
        <f aca="false">IF(P160=0,"",F160/P160-1)</f>
        <v>-0.432558139534884</v>
      </c>
      <c r="S160" s="8" t="s">
        <v>54</v>
      </c>
      <c r="T160" s="8" t="s">
        <v>538</v>
      </c>
      <c r="U160" s="15" t="n">
        <v>46288.771875</v>
      </c>
    </row>
    <row r="161" customFormat="false" ht="15" hidden="false" customHeight="false" outlineLevel="0" collapsed="false">
      <c r="A161" s="8" t="s">
        <v>539</v>
      </c>
      <c r="B161" s="8" t="s">
        <v>540</v>
      </c>
      <c r="C161" s="8" t="s">
        <v>23</v>
      </c>
      <c r="D161" s="8" t="s">
        <v>67</v>
      </c>
      <c r="E161" s="8" t="s">
        <v>54</v>
      </c>
      <c r="F161" s="9" t="n">
        <v>9.7</v>
      </c>
      <c r="G161" s="10" t="n">
        <v>-0.12</v>
      </c>
      <c r="H161" s="11" t="n">
        <v>-0.0122</v>
      </c>
      <c r="I161" s="9" t="n">
        <v>9.78</v>
      </c>
      <c r="J161" s="9" t="n">
        <v>9.55</v>
      </c>
      <c r="K161" s="9" t="n">
        <v>9.8</v>
      </c>
      <c r="L161" s="9" t="n">
        <v>9.73</v>
      </c>
      <c r="M161" s="12" t="n">
        <v>41265</v>
      </c>
      <c r="N161" s="12" t="n">
        <f aca="false">F161*M161</f>
        <v>400270.5</v>
      </c>
      <c r="O161" s="9" t="n">
        <v>5.64</v>
      </c>
      <c r="P161" s="9" t="n">
        <v>17.95</v>
      </c>
      <c r="Q161" s="13" t="n">
        <f aca="false">IF(P161-O161=0,"",(F161-O161)/(P161-O161))</f>
        <v>0.329813160032494</v>
      </c>
      <c r="R161" s="14" t="n">
        <f aca="false">IF(P161=0,"",F161/P161-1)</f>
        <v>-0.459610027855153</v>
      </c>
      <c r="S161" s="8" t="s">
        <v>54</v>
      </c>
      <c r="T161" s="8" t="s">
        <v>541</v>
      </c>
      <c r="U161" s="15" t="n">
        <v>46288.771875</v>
      </c>
    </row>
    <row r="162" customFormat="false" ht="15" hidden="false" customHeight="false" outlineLevel="0" collapsed="false">
      <c r="A162" s="8" t="s">
        <v>542</v>
      </c>
      <c r="B162" s="8" t="s">
        <v>543</v>
      </c>
      <c r="C162" s="8" t="s">
        <v>20</v>
      </c>
      <c r="D162" s="8" t="s">
        <v>79</v>
      </c>
      <c r="E162" s="8" t="s">
        <v>54</v>
      </c>
      <c r="F162" s="9" t="n">
        <v>118.41</v>
      </c>
      <c r="G162" s="10" t="n">
        <v>-1.67</v>
      </c>
      <c r="H162" s="11" t="n">
        <v>-0.0139</v>
      </c>
      <c r="I162" s="9" t="n">
        <v>119.7</v>
      </c>
      <c r="J162" s="9" t="n">
        <v>118.29</v>
      </c>
      <c r="K162" s="9" t="n">
        <v>120.8</v>
      </c>
      <c r="L162" s="9" t="n">
        <v>119.8</v>
      </c>
      <c r="M162" s="12" t="n">
        <v>7881</v>
      </c>
      <c r="N162" s="12" t="n">
        <f aca="false">F162*M162</f>
        <v>933189.21</v>
      </c>
      <c r="O162" s="9" t="n">
        <v>100.32</v>
      </c>
      <c r="P162" s="9" t="n">
        <v>134.99</v>
      </c>
      <c r="Q162" s="13" t="n">
        <f aca="false">IF(P162-O162=0,"",(F162-O162)/(P162-O162))</f>
        <v>0.521776752235362</v>
      </c>
      <c r="R162" s="14" t="n">
        <f aca="false">IF(P162=0,"",F162/P162-1)</f>
        <v>-0.122823912882436</v>
      </c>
      <c r="S162" s="8" t="s">
        <v>54</v>
      </c>
      <c r="T162" s="8" t="s">
        <v>544</v>
      </c>
      <c r="U162" s="15" t="n">
        <v>46288.771875</v>
      </c>
    </row>
    <row r="163" customFormat="false" ht="15" hidden="false" customHeight="false" outlineLevel="0" collapsed="false">
      <c r="A163" s="8" t="s">
        <v>545</v>
      </c>
      <c r="B163" s="8" t="s">
        <v>546</v>
      </c>
      <c r="C163" s="8" t="s">
        <v>22</v>
      </c>
      <c r="D163" s="8" t="s">
        <v>71</v>
      </c>
      <c r="E163" s="8" t="s">
        <v>54</v>
      </c>
      <c r="F163" s="9" t="n">
        <v>98</v>
      </c>
      <c r="G163" s="10" t="n">
        <v>0.64</v>
      </c>
      <c r="H163" s="11" t="n">
        <v>0.0066</v>
      </c>
      <c r="I163" s="9" t="n">
        <v>97.63</v>
      </c>
      <c r="J163" s="9" t="n">
        <v>97.36</v>
      </c>
      <c r="K163" s="9" t="n">
        <v>98.05</v>
      </c>
      <c r="L163" s="9" t="n">
        <v>97.86</v>
      </c>
      <c r="M163" s="12" t="n">
        <v>44029</v>
      </c>
      <c r="N163" s="12" t="n">
        <f aca="false">F163*M163</f>
        <v>4314842</v>
      </c>
      <c r="O163" s="9" t="n">
        <v>86.39</v>
      </c>
      <c r="P163" s="9" t="n">
        <v>105.89</v>
      </c>
      <c r="Q163" s="13" t="n">
        <f aca="false">IF(P163-O163=0,"",(F163-O163)/(P163-O163))</f>
        <v>0.595384615384615</v>
      </c>
      <c r="R163" s="14" t="n">
        <f aca="false">IF(P163=0,"",F163/P163-1)</f>
        <v>-0.074511285296062</v>
      </c>
      <c r="S163" s="8" t="s">
        <v>54</v>
      </c>
      <c r="T163" s="8" t="s">
        <v>547</v>
      </c>
      <c r="U163" s="15" t="n">
        <v>46288.771875</v>
      </c>
    </row>
    <row r="164" customFormat="false" ht="15" hidden="false" customHeight="false" outlineLevel="0" collapsed="false">
      <c r="A164" s="8" t="s">
        <v>548</v>
      </c>
      <c r="B164" s="8" t="s">
        <v>549</v>
      </c>
      <c r="C164" s="8" t="s">
        <v>22</v>
      </c>
      <c r="D164" s="8" t="s">
        <v>71</v>
      </c>
      <c r="E164" s="8" t="s">
        <v>54</v>
      </c>
      <c r="F164" s="9" t="n">
        <v>142.31</v>
      </c>
      <c r="G164" s="10" t="n">
        <v>0.69</v>
      </c>
      <c r="H164" s="11" t="n">
        <v>0.0049</v>
      </c>
      <c r="I164" s="9" t="n">
        <v>141.62</v>
      </c>
      <c r="J164" s="9" t="n">
        <v>140.35</v>
      </c>
      <c r="K164" s="9" t="n">
        <v>142.31</v>
      </c>
      <c r="L164" s="9" t="n">
        <v>142.31</v>
      </c>
      <c r="M164" s="12" t="n">
        <v>923</v>
      </c>
      <c r="N164" s="12" t="n">
        <f aca="false">F164*M164</f>
        <v>131352.13</v>
      </c>
      <c r="O164" s="9" t="n">
        <v>90.5</v>
      </c>
      <c r="P164" s="9" t="n">
        <v>148</v>
      </c>
      <c r="Q164" s="13" t="n">
        <f aca="false">IF(P164-O164=0,"",(F164-O164)/(P164-O164))</f>
        <v>0.90104347826087</v>
      </c>
      <c r="R164" s="14" t="n">
        <f aca="false">IF(P164=0,"",F164/P164-1)</f>
        <v>-0.038445945945946</v>
      </c>
      <c r="S164" s="8" t="s">
        <v>54</v>
      </c>
      <c r="T164" s="8" t="s">
        <v>550</v>
      </c>
      <c r="U164" s="15" t="n">
        <v>46288.771875</v>
      </c>
    </row>
    <row r="165" customFormat="false" ht="15" hidden="false" customHeight="false" outlineLevel="0" collapsed="false">
      <c r="A165" s="8" t="s">
        <v>551</v>
      </c>
      <c r="B165" s="8" t="s">
        <v>552</v>
      </c>
      <c r="C165" s="8" t="s">
        <v>23</v>
      </c>
      <c r="D165" s="8" t="s">
        <v>67</v>
      </c>
      <c r="E165" s="8" t="s">
        <v>54</v>
      </c>
      <c r="F165" s="9" t="n">
        <v>7.13</v>
      </c>
      <c r="G165" s="10" t="n">
        <v>-0.1</v>
      </c>
      <c r="H165" s="11" t="n">
        <v>-0.0138</v>
      </c>
      <c r="I165" s="9" t="n">
        <v>7.2</v>
      </c>
      <c r="J165" s="9" t="n">
        <v>7.05</v>
      </c>
      <c r="K165" s="9" t="n">
        <v>7.25</v>
      </c>
      <c r="L165" s="9" t="n">
        <v>7.13</v>
      </c>
      <c r="M165" s="12" t="n">
        <v>44462</v>
      </c>
      <c r="N165" s="12" t="n">
        <f aca="false">F165*M165</f>
        <v>317014.06</v>
      </c>
      <c r="O165" s="9" t="n">
        <v>3.92</v>
      </c>
      <c r="P165" s="9" t="n">
        <v>15.58</v>
      </c>
      <c r="Q165" s="13" t="n">
        <f aca="false">IF(P165-O165=0,"",(F165-O165)/(P165-O165))</f>
        <v>0.275300171526587</v>
      </c>
      <c r="R165" s="14" t="n">
        <f aca="false">IF(P165=0,"",F165/P165-1)</f>
        <v>-0.542362002567394</v>
      </c>
      <c r="S165" s="8" t="s">
        <v>54</v>
      </c>
      <c r="T165" s="8" t="s">
        <v>553</v>
      </c>
      <c r="U165" s="15" t="n">
        <v>46288.771875</v>
      </c>
    </row>
    <row r="166" customFormat="false" ht="15" hidden="false" customHeight="false" outlineLevel="0" collapsed="false">
      <c r="A166" s="8" t="s">
        <v>554</v>
      </c>
      <c r="B166" s="8" t="s">
        <v>555</v>
      </c>
      <c r="C166" s="8" t="s">
        <v>22</v>
      </c>
      <c r="D166" s="8" t="s">
        <v>71</v>
      </c>
      <c r="E166" s="8" t="s">
        <v>54</v>
      </c>
      <c r="F166" s="9" t="n">
        <v>15.88</v>
      </c>
      <c r="G166" s="10" t="n">
        <v>-0.31</v>
      </c>
      <c r="H166" s="11" t="n">
        <v>-0.0191</v>
      </c>
      <c r="I166" s="9" t="n">
        <v>16.22</v>
      </c>
      <c r="J166" s="9" t="n">
        <v>15.78</v>
      </c>
      <c r="K166" s="9" t="n">
        <v>16.5</v>
      </c>
      <c r="L166" s="9" t="n">
        <v>15.78</v>
      </c>
      <c r="M166" s="12" t="n">
        <v>29985</v>
      </c>
      <c r="N166" s="12" t="n">
        <f aca="false">F166*M166</f>
        <v>476161.8</v>
      </c>
      <c r="O166" s="9" t="n">
        <v>14.44</v>
      </c>
      <c r="P166" s="9" t="n">
        <v>21.34</v>
      </c>
      <c r="Q166" s="13" t="n">
        <f aca="false">IF(P166-O166=0,"",(F166-O166)/(P166-O166))</f>
        <v>0.208695652173913</v>
      </c>
      <c r="R166" s="14" t="n">
        <f aca="false">IF(P166=0,"",F166/P166-1)</f>
        <v>-0.255857544517338</v>
      </c>
      <c r="S166" s="8" t="s">
        <v>54</v>
      </c>
      <c r="T166" s="8" t="s">
        <v>556</v>
      </c>
      <c r="U166" s="15" t="n">
        <v>46288.771875</v>
      </c>
    </row>
    <row r="167" customFormat="false" ht="15" hidden="false" customHeight="false" outlineLevel="0" collapsed="false">
      <c r="A167" s="8" t="s">
        <v>557</v>
      </c>
      <c r="B167" s="8" t="s">
        <v>558</v>
      </c>
      <c r="C167" s="8" t="s">
        <v>22</v>
      </c>
      <c r="D167" s="8" t="s">
        <v>71</v>
      </c>
      <c r="E167" s="8" t="s">
        <v>54</v>
      </c>
      <c r="F167" s="9" t="n">
        <v>76.33</v>
      </c>
      <c r="G167" s="10" t="n">
        <v>0.52</v>
      </c>
      <c r="H167" s="11" t="n">
        <v>0.0069</v>
      </c>
      <c r="I167" s="9" t="n">
        <v>76.88</v>
      </c>
      <c r="J167" s="9" t="n">
        <v>76.33</v>
      </c>
      <c r="K167" s="9" t="n">
        <v>76.9</v>
      </c>
      <c r="L167" s="9" t="n">
        <v>76.9</v>
      </c>
      <c r="M167" s="12" t="n">
        <v>113</v>
      </c>
      <c r="N167" s="12" t="n">
        <f aca="false">F167*M167</f>
        <v>8625.29</v>
      </c>
      <c r="O167" s="9" t="n">
        <v>63.02</v>
      </c>
      <c r="P167" s="9" t="n">
        <v>80.43</v>
      </c>
      <c r="Q167" s="13" t="n">
        <f aca="false">IF(P167-O167=0,"",(F167-O167)/(P167-O167))</f>
        <v>0.764503159103963</v>
      </c>
      <c r="R167" s="14" t="n">
        <f aca="false">IF(P167=0,"",F167/P167-1)</f>
        <v>-0.050976003978615</v>
      </c>
      <c r="S167" s="8" t="s">
        <v>54</v>
      </c>
      <c r="T167" s="8" t="s">
        <v>559</v>
      </c>
      <c r="U167" s="15" t="n">
        <v>46288.771875</v>
      </c>
    </row>
    <row r="168" customFormat="false" ht="15" hidden="false" customHeight="false" outlineLevel="0" collapsed="false">
      <c r="A168" s="8" t="s">
        <v>560</v>
      </c>
      <c r="B168" s="8" t="s">
        <v>561</v>
      </c>
      <c r="C168" s="8" t="s">
        <v>22</v>
      </c>
      <c r="D168" s="8" t="s">
        <v>71</v>
      </c>
      <c r="E168" s="8" t="s">
        <v>54</v>
      </c>
      <c r="F168" s="9" t="n">
        <v>31.46</v>
      </c>
      <c r="G168" s="10" t="n">
        <v>0.05</v>
      </c>
      <c r="H168" s="11" t="n">
        <v>0.0016</v>
      </c>
      <c r="I168" s="9" t="n">
        <v>31.46</v>
      </c>
      <c r="J168" s="9" t="n">
        <v>31.46</v>
      </c>
      <c r="K168" s="9" t="n">
        <v>31.46</v>
      </c>
      <c r="L168" s="9" t="n">
        <v>31.46</v>
      </c>
      <c r="M168" s="12" t="n">
        <v>150</v>
      </c>
      <c r="N168" s="12" t="n">
        <f aca="false">F168*M168</f>
        <v>4719</v>
      </c>
      <c r="O168" s="9" t="n">
        <v>27.76</v>
      </c>
      <c r="P168" s="9" t="n">
        <v>35.2</v>
      </c>
      <c r="Q168" s="13" t="n">
        <f aca="false">IF(P168-O168=0,"",(F168-O168)/(P168-O168))</f>
        <v>0.497311827956989</v>
      </c>
      <c r="R168" s="14" t="n">
        <f aca="false">IF(P168=0,"",F168/P168-1)</f>
        <v>-0.10625</v>
      </c>
      <c r="S168" s="8" t="s">
        <v>54</v>
      </c>
      <c r="T168" s="8" t="s">
        <v>562</v>
      </c>
      <c r="U168" s="15" t="n">
        <v>46288.771875</v>
      </c>
    </row>
    <row r="169" customFormat="false" ht="15" hidden="false" customHeight="false" outlineLevel="0" collapsed="false">
      <c r="A169" s="8" t="s">
        <v>563</v>
      </c>
      <c r="B169" s="8" t="s">
        <v>564</v>
      </c>
      <c r="C169" s="8" t="s">
        <v>28</v>
      </c>
      <c r="D169" s="8" t="s">
        <v>565</v>
      </c>
      <c r="E169" s="8" t="s">
        <v>86</v>
      </c>
      <c r="F169" s="9" t="n">
        <v>50.04</v>
      </c>
      <c r="G169" s="10" t="n">
        <v>0.06</v>
      </c>
      <c r="H169" s="11" t="n">
        <v>0.0012</v>
      </c>
      <c r="I169" s="9" t="n">
        <v>50.06</v>
      </c>
      <c r="J169" s="9" t="n">
        <v>50.04</v>
      </c>
      <c r="K169" s="9" t="n">
        <v>50.06</v>
      </c>
      <c r="L169" s="9" t="n">
        <v>50.06</v>
      </c>
      <c r="M169" s="12" t="n">
        <v>2</v>
      </c>
      <c r="N169" s="12" t="n">
        <f aca="false">F169*M169</f>
        <v>100.08</v>
      </c>
      <c r="O169" s="9" t="n">
        <v>49.92</v>
      </c>
      <c r="P169" s="9" t="n">
        <v>50.06</v>
      </c>
      <c r="Q169" s="13" t="n">
        <f aca="false">IF(P169-O169=0,"",(F169-O169)/(P169-O169))</f>
        <v>0.857142857142835</v>
      </c>
      <c r="R169" s="14" t="n">
        <f aca="false">IF(P169=0,"",F169/P169-1)</f>
        <v>-0.000399520575309675</v>
      </c>
      <c r="S169" s="8" t="s">
        <v>87</v>
      </c>
      <c r="T169" s="8" t="s">
        <v>566</v>
      </c>
      <c r="U169" s="15" t="n">
        <v>46288.771875</v>
      </c>
    </row>
    <row r="170" customFormat="false" ht="15" hidden="false" customHeight="false" outlineLevel="0" collapsed="false">
      <c r="A170" s="8" t="s">
        <v>567</v>
      </c>
      <c r="B170" s="8" t="s">
        <v>568</v>
      </c>
      <c r="C170" s="8" t="s">
        <v>20</v>
      </c>
      <c r="D170" s="8" t="s">
        <v>79</v>
      </c>
      <c r="E170" s="8" t="s">
        <v>54</v>
      </c>
      <c r="F170" s="9" t="n">
        <v>83.44</v>
      </c>
      <c r="G170" s="10" t="n">
        <v>-0.96</v>
      </c>
      <c r="H170" s="11" t="n">
        <v>-0.0114</v>
      </c>
      <c r="I170" s="9" t="n">
        <v>84.4</v>
      </c>
      <c r="J170" s="9" t="n">
        <v>83.41</v>
      </c>
      <c r="K170" s="9" t="n">
        <v>84.9</v>
      </c>
      <c r="L170" s="9" t="n">
        <v>83.48</v>
      </c>
      <c r="M170" s="12" t="n">
        <v>236</v>
      </c>
      <c r="N170" s="12" t="n">
        <f aca="false">F170*M170</f>
        <v>19691.84</v>
      </c>
      <c r="O170" s="9" t="n">
        <v>75.87</v>
      </c>
      <c r="P170" s="9" t="n">
        <v>108.69</v>
      </c>
      <c r="Q170" s="13" t="n">
        <f aca="false">IF(P170-O170=0,"",(F170-O170)/(P170-O170))</f>
        <v>0.230652041438147</v>
      </c>
      <c r="R170" s="14" t="n">
        <f aca="false">IF(P170=0,"",F170/P170-1)</f>
        <v>-0.232312080228172</v>
      </c>
      <c r="S170" s="8" t="s">
        <v>54</v>
      </c>
      <c r="T170" s="8" t="s">
        <v>569</v>
      </c>
      <c r="U170" s="15" t="n">
        <v>46288.771875</v>
      </c>
    </row>
    <row r="171" customFormat="false" ht="15" hidden="false" customHeight="false" outlineLevel="0" collapsed="false">
      <c r="A171" s="8" t="s">
        <v>570</v>
      </c>
      <c r="B171" s="8" t="s">
        <v>571</v>
      </c>
      <c r="C171" s="8" t="s">
        <v>21</v>
      </c>
      <c r="D171" s="8" t="s">
        <v>53</v>
      </c>
      <c r="E171" s="8" t="s">
        <v>54</v>
      </c>
      <c r="F171" s="9" t="n">
        <v>101.11</v>
      </c>
      <c r="G171" s="10" t="n">
        <v>0.07</v>
      </c>
      <c r="H171" s="11" t="n">
        <v>0.0007</v>
      </c>
      <c r="I171" s="9" t="n">
        <v>101.1</v>
      </c>
      <c r="J171" s="9" t="n">
        <v>101.1</v>
      </c>
      <c r="K171" s="9" t="n">
        <v>101.11</v>
      </c>
      <c r="L171" s="9" t="n">
        <v>101.11</v>
      </c>
      <c r="M171" s="12" t="n">
        <v>52</v>
      </c>
      <c r="N171" s="12" t="n">
        <f aca="false">F171*M171</f>
        <v>5257.72</v>
      </c>
      <c r="O171" s="9" t="n">
        <v>99</v>
      </c>
      <c r="P171" s="9" t="n">
        <v>101.15</v>
      </c>
      <c r="Q171" s="13" t="n">
        <f aca="false">IF(P171-O171=0,"",(F171-O171)/(P171-O171))</f>
        <v>0.981395348837207</v>
      </c>
      <c r="R171" s="14" t="n">
        <f aca="false">IF(P171=0,"",F171/P171-1)</f>
        <v>-0.000395452298566523</v>
      </c>
      <c r="S171" s="8" t="s">
        <v>54</v>
      </c>
      <c r="T171" s="8" t="s">
        <v>572</v>
      </c>
      <c r="U171" s="15" t="n">
        <v>46288.771875</v>
      </c>
    </row>
    <row r="172" customFormat="false" ht="15" hidden="false" customHeight="false" outlineLevel="0" collapsed="false">
      <c r="A172" s="8" t="s">
        <v>573</v>
      </c>
      <c r="B172" s="8" t="s">
        <v>574</v>
      </c>
      <c r="C172" s="8" t="s">
        <v>21</v>
      </c>
      <c r="D172" s="8" t="s">
        <v>53</v>
      </c>
      <c r="E172" s="8" t="s">
        <v>54</v>
      </c>
      <c r="F172" s="9" t="n">
        <v>114.33</v>
      </c>
      <c r="G172" s="10" t="n">
        <v>0.03</v>
      </c>
      <c r="H172" s="11" t="n">
        <v>0.0003</v>
      </c>
      <c r="I172" s="9" t="n">
        <v>114.62</v>
      </c>
      <c r="J172" s="9" t="n">
        <v>114.2</v>
      </c>
      <c r="K172" s="9" t="n">
        <v>114.94</v>
      </c>
      <c r="L172" s="9" t="n">
        <v>114.42</v>
      </c>
      <c r="M172" s="12" t="n">
        <v>4711</v>
      </c>
      <c r="N172" s="12" t="n">
        <f aca="false">F172*M172</f>
        <v>538608.63</v>
      </c>
      <c r="O172" s="9" t="n">
        <v>100.62</v>
      </c>
      <c r="P172" s="9" t="n">
        <v>114.94</v>
      </c>
      <c r="Q172" s="13" t="n">
        <f aca="false">IF(P172-O172=0,"",(F172-O172)/(P172-O172))</f>
        <v>0.957402234636872</v>
      </c>
      <c r="R172" s="14" t="n">
        <f aca="false">IF(P172=0,"",F172/P172-1)</f>
        <v>-0.00530711675656859</v>
      </c>
      <c r="S172" s="8" t="s">
        <v>54</v>
      </c>
      <c r="T172" s="8" t="s">
        <v>575</v>
      </c>
      <c r="U172" s="15" t="n">
        <v>46288.771875</v>
      </c>
    </row>
    <row r="173" customFormat="false" ht="15" hidden="false" customHeight="false" outlineLevel="0" collapsed="false">
      <c r="A173" s="8" t="s">
        <v>576</v>
      </c>
      <c r="B173" s="8" t="s">
        <v>577</v>
      </c>
      <c r="C173" s="8" t="s">
        <v>22</v>
      </c>
      <c r="D173" s="8" t="s">
        <v>71</v>
      </c>
      <c r="E173" s="8" t="s">
        <v>54</v>
      </c>
      <c r="F173" s="9" t="n">
        <v>61.42</v>
      </c>
      <c r="G173" s="10" t="n">
        <v>-0.58</v>
      </c>
      <c r="H173" s="11" t="n">
        <v>-0.0094</v>
      </c>
      <c r="I173" s="9" t="n">
        <v>62.8</v>
      </c>
      <c r="J173" s="9" t="n">
        <v>61.07</v>
      </c>
      <c r="K173" s="9" t="n">
        <v>62.81</v>
      </c>
      <c r="L173" s="9" t="n">
        <v>61.42</v>
      </c>
      <c r="M173" s="12" t="n">
        <v>155</v>
      </c>
      <c r="N173" s="12" t="n">
        <f aca="false">F173*M173</f>
        <v>9520.1</v>
      </c>
      <c r="O173" s="9" t="n">
        <v>56.1</v>
      </c>
      <c r="P173" s="9" t="n">
        <v>68.5</v>
      </c>
      <c r="Q173" s="13" t="n">
        <f aca="false">IF(P173-O173=0,"",(F173-O173)/(P173-O173))</f>
        <v>0.429032258064516</v>
      </c>
      <c r="R173" s="14" t="n">
        <f aca="false">IF(P173=0,"",F173/P173-1)</f>
        <v>-0.103357664233577</v>
      </c>
      <c r="S173" s="8" t="s">
        <v>54</v>
      </c>
      <c r="T173" s="8" t="s">
        <v>578</v>
      </c>
      <c r="U173" s="15" t="n">
        <v>46288.771875</v>
      </c>
    </row>
    <row r="174" customFormat="false" ht="15" hidden="false" customHeight="false" outlineLevel="0" collapsed="false">
      <c r="A174" s="8" t="s">
        <v>579</v>
      </c>
      <c r="B174" s="8" t="s">
        <v>580</v>
      </c>
      <c r="C174" s="8" t="s">
        <v>24</v>
      </c>
      <c r="D174" s="8" t="s">
        <v>100</v>
      </c>
      <c r="E174" s="8" t="s">
        <v>54</v>
      </c>
      <c r="F174" s="9" t="n">
        <v>40.78</v>
      </c>
      <c r="G174" s="10" t="n">
        <v>-1.39</v>
      </c>
      <c r="H174" s="11" t="n">
        <v>-0.033</v>
      </c>
      <c r="I174" s="9" t="n">
        <v>41.48</v>
      </c>
      <c r="J174" s="9" t="n">
        <v>40.7</v>
      </c>
      <c r="K174" s="9" t="n">
        <v>41.48</v>
      </c>
      <c r="L174" s="9" t="n">
        <v>40.74</v>
      </c>
      <c r="M174" s="12" t="n">
        <v>41471</v>
      </c>
      <c r="N174" s="12" t="n">
        <f aca="false">F174*M174</f>
        <v>1691187.38</v>
      </c>
      <c r="O174" s="9" t="n">
        <v>34.78</v>
      </c>
      <c r="P174" s="9" t="n">
        <v>54.09</v>
      </c>
      <c r="Q174" s="13" t="n">
        <f aca="false">IF(P174-O174=0,"",(F174-O174)/(P174-O174))</f>
        <v>0.310719834282755</v>
      </c>
      <c r="R174" s="14" t="n">
        <f aca="false">IF(P174=0,"",F174/P174-1)</f>
        <v>-0.246071362543908</v>
      </c>
      <c r="S174" s="8" t="s">
        <v>54</v>
      </c>
      <c r="T174" s="8" t="s">
        <v>581</v>
      </c>
      <c r="U174" s="15" t="n">
        <v>46288.771875</v>
      </c>
    </row>
    <row r="175" customFormat="false" ht="15" hidden="false" customHeight="false" outlineLevel="0" collapsed="false">
      <c r="A175" s="8" t="s">
        <v>582</v>
      </c>
      <c r="B175" s="8" t="s">
        <v>583</v>
      </c>
      <c r="C175" s="8" t="s">
        <v>20</v>
      </c>
      <c r="D175" s="8" t="s">
        <v>79</v>
      </c>
      <c r="E175" s="8" t="s">
        <v>54</v>
      </c>
      <c r="F175" s="9" t="n">
        <v>8.04</v>
      </c>
      <c r="G175" s="10" t="n">
        <v>-0.09</v>
      </c>
      <c r="H175" s="11" t="n">
        <v>-0.0111</v>
      </c>
      <c r="I175" s="9" t="n">
        <v>8.15</v>
      </c>
      <c r="J175" s="9" t="n">
        <v>8.04</v>
      </c>
      <c r="K175" s="9" t="n">
        <v>8.17</v>
      </c>
      <c r="L175" s="9" t="n">
        <v>8.05</v>
      </c>
      <c r="M175" s="12" t="n">
        <v>152</v>
      </c>
      <c r="N175" s="12" t="n">
        <f aca="false">F175*M175</f>
        <v>1222.08</v>
      </c>
      <c r="O175" s="9" t="n">
        <v>7.1</v>
      </c>
      <c r="P175" s="9" t="n">
        <v>10</v>
      </c>
      <c r="Q175" s="13" t="n">
        <f aca="false">IF(P175-O175=0,"",(F175-O175)/(P175-O175))</f>
        <v>0.324137931034483</v>
      </c>
      <c r="R175" s="14" t="n">
        <f aca="false">IF(P175=0,"",F175/P175-1)</f>
        <v>-0.196</v>
      </c>
      <c r="S175" s="8" t="s">
        <v>54</v>
      </c>
      <c r="T175" s="8" t="s">
        <v>584</v>
      </c>
      <c r="U175" s="15" t="n">
        <v>46288.771875</v>
      </c>
    </row>
    <row r="176" customFormat="false" ht="15" hidden="false" customHeight="false" outlineLevel="0" collapsed="false">
      <c r="A176" s="8" t="s">
        <v>585</v>
      </c>
      <c r="B176" s="8" t="s">
        <v>586</v>
      </c>
      <c r="C176" s="8" t="s">
        <v>20</v>
      </c>
      <c r="D176" s="8" t="s">
        <v>79</v>
      </c>
      <c r="E176" s="8" t="s">
        <v>54</v>
      </c>
      <c r="F176" s="9" t="n">
        <v>57.82</v>
      </c>
      <c r="G176" s="10" t="n">
        <v>-0.65</v>
      </c>
      <c r="H176" s="11" t="n">
        <v>-0.0111</v>
      </c>
      <c r="I176" s="9" t="n">
        <v>58.7</v>
      </c>
      <c r="J176" s="9" t="n">
        <v>57.72</v>
      </c>
      <c r="K176" s="9" t="n">
        <v>58.7</v>
      </c>
      <c r="L176" s="9" t="n">
        <v>57.78</v>
      </c>
      <c r="M176" s="12" t="n">
        <v>14500</v>
      </c>
      <c r="N176" s="12" t="n">
        <f aca="false">F176*M176</f>
        <v>838390</v>
      </c>
      <c r="O176" s="9" t="n">
        <v>51.37</v>
      </c>
      <c r="P176" s="9" t="n">
        <v>67.8</v>
      </c>
      <c r="Q176" s="13" t="n">
        <f aca="false">IF(P176-O176=0,"",(F176-O176)/(P176-O176))</f>
        <v>0.392574558734023</v>
      </c>
      <c r="R176" s="14" t="n">
        <f aca="false">IF(P176=0,"",F176/P176-1)</f>
        <v>-0.147197640117994</v>
      </c>
      <c r="S176" s="8" t="s">
        <v>54</v>
      </c>
      <c r="T176" s="8" t="s">
        <v>587</v>
      </c>
      <c r="U176" s="15" t="n">
        <v>46288.771875</v>
      </c>
    </row>
    <row r="177" customFormat="false" ht="15" hidden="false" customHeight="false" outlineLevel="0" collapsed="false">
      <c r="A177" s="8" t="s">
        <v>588</v>
      </c>
      <c r="B177" s="8" t="s">
        <v>589</v>
      </c>
      <c r="C177" s="8" t="s">
        <v>20</v>
      </c>
      <c r="D177" s="8" t="s">
        <v>79</v>
      </c>
      <c r="E177" s="8" t="s">
        <v>54</v>
      </c>
      <c r="F177" s="9" t="n">
        <v>110.7</v>
      </c>
      <c r="G177" s="10" t="n">
        <v>-1.34</v>
      </c>
      <c r="H177" s="11" t="n">
        <v>-0.012</v>
      </c>
      <c r="I177" s="9" t="n">
        <v>111.5</v>
      </c>
      <c r="J177" s="9" t="n">
        <v>110.7</v>
      </c>
      <c r="K177" s="9" t="n">
        <v>113.03</v>
      </c>
      <c r="L177" s="9" t="n">
        <v>110.99</v>
      </c>
      <c r="M177" s="12" t="n">
        <v>2584049</v>
      </c>
      <c r="N177" s="12" t="n">
        <f aca="false">F177*M177</f>
        <v>286054224.3</v>
      </c>
      <c r="O177" s="9" t="n">
        <v>98.46</v>
      </c>
      <c r="P177" s="9" t="n">
        <v>130.44</v>
      </c>
      <c r="Q177" s="13" t="n">
        <f aca="false">IF(P177-O177=0,"",(F177-O177)/(P177-O177))</f>
        <v>0.382739212007505</v>
      </c>
      <c r="R177" s="14" t="n">
        <f aca="false">IF(P177=0,"",F177/P177-1)</f>
        <v>-0.151333946642134</v>
      </c>
      <c r="S177" s="8" t="s">
        <v>54</v>
      </c>
      <c r="T177" s="8" t="s">
        <v>590</v>
      </c>
      <c r="U177" s="15" t="n">
        <v>46288.771875</v>
      </c>
    </row>
    <row r="178" customFormat="false" ht="15" hidden="false" customHeight="false" outlineLevel="0" collapsed="false">
      <c r="A178" s="8" t="s">
        <v>591</v>
      </c>
      <c r="B178" s="8" t="s">
        <v>592</v>
      </c>
      <c r="C178" s="8" t="s">
        <v>23</v>
      </c>
      <c r="D178" s="8" t="s">
        <v>67</v>
      </c>
      <c r="E178" s="8" t="s">
        <v>54</v>
      </c>
      <c r="F178" s="9" t="n">
        <v>16.6</v>
      </c>
      <c r="G178" s="10" t="n">
        <v>-0.13</v>
      </c>
      <c r="H178" s="11" t="n">
        <v>-0.0078</v>
      </c>
      <c r="I178" s="9" t="n">
        <v>16.56</v>
      </c>
      <c r="J178" s="9" t="n">
        <v>16.2</v>
      </c>
      <c r="K178" s="9" t="n">
        <v>16.69</v>
      </c>
      <c r="L178" s="9" t="n">
        <v>16.51</v>
      </c>
      <c r="M178" s="12" t="n">
        <v>66237</v>
      </c>
      <c r="N178" s="12" t="n">
        <f aca="false">F178*M178</f>
        <v>1099534.2</v>
      </c>
      <c r="O178" s="9" t="n">
        <v>8.85</v>
      </c>
      <c r="P178" s="9" t="n">
        <v>35.27</v>
      </c>
      <c r="Q178" s="13" t="n">
        <f aca="false">IF(P178-O178=0,"",(F178-O178)/(P178-O178))</f>
        <v>0.29333838001514</v>
      </c>
      <c r="R178" s="14" t="n">
        <f aca="false">IF(P178=0,"",F178/P178-1)</f>
        <v>-0.529345052452509</v>
      </c>
      <c r="S178" s="8" t="s">
        <v>54</v>
      </c>
      <c r="T178" s="8" t="s">
        <v>593</v>
      </c>
      <c r="U178" s="15" t="n">
        <v>46288.771875</v>
      </c>
    </row>
    <row r="179" customFormat="false" ht="15" hidden="false" customHeight="false" outlineLevel="0" collapsed="false">
      <c r="A179" s="8" t="s">
        <v>594</v>
      </c>
      <c r="B179" s="8" t="s">
        <v>595</v>
      </c>
      <c r="C179" s="8" t="s">
        <v>22</v>
      </c>
      <c r="D179" s="8" t="s">
        <v>71</v>
      </c>
      <c r="E179" s="8" t="s">
        <v>54</v>
      </c>
      <c r="F179" s="9" t="n">
        <v>123.43</v>
      </c>
      <c r="G179" s="10" t="n">
        <v>-0.93</v>
      </c>
      <c r="H179" s="11" t="n">
        <v>-0.0075</v>
      </c>
      <c r="I179" s="9" t="n">
        <v>123.65</v>
      </c>
      <c r="J179" s="9" t="n">
        <v>122.83</v>
      </c>
      <c r="K179" s="9" t="n">
        <v>123.65</v>
      </c>
      <c r="L179" s="9" t="n">
        <v>123.21</v>
      </c>
      <c r="M179" s="12" t="n">
        <v>36195</v>
      </c>
      <c r="N179" s="12" t="n">
        <f aca="false">F179*M179</f>
        <v>4467548.85</v>
      </c>
      <c r="O179" s="9" t="n">
        <v>96.4</v>
      </c>
      <c r="P179" s="9" t="n">
        <v>124.36</v>
      </c>
      <c r="Q179" s="13" t="n">
        <f aca="false">IF(P179-O179=0,"",(F179-O179)/(P179-O179))</f>
        <v>0.966738197424893</v>
      </c>
      <c r="R179" s="14" t="n">
        <f aca="false">IF(P179=0,"",F179/P179-1)</f>
        <v>-0.00747828883885493</v>
      </c>
      <c r="S179" s="8" t="s">
        <v>54</v>
      </c>
      <c r="T179" s="8" t="s">
        <v>596</v>
      </c>
      <c r="U179" s="15" t="n">
        <v>46288.771875</v>
      </c>
    </row>
    <row r="180" customFormat="false" ht="15" hidden="false" customHeight="false" outlineLevel="0" collapsed="false">
      <c r="A180" s="8" t="s">
        <v>597</v>
      </c>
      <c r="B180" s="8" t="s">
        <v>598</v>
      </c>
      <c r="C180" s="8" t="s">
        <v>20</v>
      </c>
      <c r="D180" s="8" t="s">
        <v>79</v>
      </c>
      <c r="E180" s="8" t="s">
        <v>54</v>
      </c>
      <c r="F180" s="9" t="n">
        <v>68.04</v>
      </c>
      <c r="G180" s="10" t="n">
        <v>-0.46</v>
      </c>
      <c r="H180" s="11" t="n">
        <v>-0.0067</v>
      </c>
      <c r="I180" s="9" t="n">
        <v>68.7</v>
      </c>
      <c r="J180" s="9" t="n">
        <v>68.04</v>
      </c>
      <c r="K180" s="9" t="n">
        <v>68.7</v>
      </c>
      <c r="L180" s="9" t="n">
        <v>68.3</v>
      </c>
      <c r="M180" s="12" t="n">
        <v>45</v>
      </c>
      <c r="N180" s="12" t="n">
        <f aca="false">F180*M180</f>
        <v>3061.8</v>
      </c>
      <c r="O180" s="9" t="n">
        <v>50.1</v>
      </c>
      <c r="P180" s="9" t="n">
        <v>70.11</v>
      </c>
      <c r="Q180" s="13" t="n">
        <f aca="false">IF(P180-O180=0,"",(F180-O180)/(P180-O180))</f>
        <v>0.896551724137931</v>
      </c>
      <c r="R180" s="14" t="n">
        <f aca="false">IF(P180=0,"",F180/P180-1)</f>
        <v>-0.0295250320924261</v>
      </c>
      <c r="S180" s="8" t="s">
        <v>54</v>
      </c>
      <c r="T180" s="8" t="s">
        <v>599</v>
      </c>
      <c r="U180" s="15" t="n">
        <v>46288.771875</v>
      </c>
    </row>
    <row r="181" customFormat="false" ht="15" hidden="false" customHeight="false" outlineLevel="0" collapsed="false">
      <c r="A181" s="8" t="s">
        <v>600</v>
      </c>
      <c r="B181" s="8" t="s">
        <v>601</v>
      </c>
      <c r="C181" s="8" t="s">
        <v>20</v>
      </c>
      <c r="D181" s="8" t="s">
        <v>79</v>
      </c>
      <c r="E181" s="8" t="s">
        <v>54</v>
      </c>
      <c r="F181" s="9" t="n">
        <v>67.1</v>
      </c>
      <c r="G181" s="10" t="n">
        <v>-1.1</v>
      </c>
      <c r="H181" s="11" t="n">
        <v>-0.0161</v>
      </c>
      <c r="I181" s="9" t="n">
        <v>68.37</v>
      </c>
      <c r="J181" s="9" t="n">
        <v>67.1</v>
      </c>
      <c r="K181" s="9" t="n">
        <v>68.37</v>
      </c>
      <c r="L181" s="9" t="n">
        <v>67.16</v>
      </c>
      <c r="M181" s="12" t="n">
        <v>2512</v>
      </c>
      <c r="N181" s="12" t="n">
        <f aca="false">F181*M181</f>
        <v>168555.2</v>
      </c>
      <c r="O181" s="9" t="n">
        <v>55.08</v>
      </c>
      <c r="P181" s="9" t="n">
        <v>76.61</v>
      </c>
      <c r="Q181" s="13" t="n">
        <f aca="false">IF(P181-O181=0,"",(F181-O181)/(P181-O181))</f>
        <v>0.55829075708314</v>
      </c>
      <c r="R181" s="14" t="n">
        <f aca="false">IF(P181=0,"",F181/P181-1)</f>
        <v>-0.124135230387678</v>
      </c>
      <c r="S181" s="8" t="s">
        <v>54</v>
      </c>
      <c r="T181" s="8" t="s">
        <v>602</v>
      </c>
      <c r="U181" s="15" t="n">
        <v>46288.771875</v>
      </c>
    </row>
    <row r="182" customFormat="false" ht="15" hidden="false" customHeight="false" outlineLevel="0" collapsed="false">
      <c r="A182" s="8" t="s">
        <v>603</v>
      </c>
      <c r="B182" s="8" t="s">
        <v>604</v>
      </c>
      <c r="C182" s="8" t="s">
        <v>22</v>
      </c>
      <c r="D182" s="8" t="s">
        <v>71</v>
      </c>
      <c r="E182" s="8" t="s">
        <v>54</v>
      </c>
      <c r="F182" s="9" t="n">
        <v>17.59</v>
      </c>
      <c r="G182" s="10" t="n">
        <v>0.09</v>
      </c>
      <c r="H182" s="11" t="n">
        <v>0.0051</v>
      </c>
      <c r="I182" s="9" t="n">
        <v>17.5</v>
      </c>
      <c r="J182" s="9" t="n">
        <v>17.5</v>
      </c>
      <c r="K182" s="9" t="n">
        <v>17.68</v>
      </c>
      <c r="L182" s="9" t="n">
        <v>17.68</v>
      </c>
      <c r="M182" s="12" t="n">
        <v>13016</v>
      </c>
      <c r="N182" s="12" t="n">
        <f aca="false">F182*M182</f>
        <v>228951.44</v>
      </c>
      <c r="O182" s="9" t="n">
        <v>14.6</v>
      </c>
      <c r="P182" s="9" t="n">
        <v>18.05</v>
      </c>
      <c r="Q182" s="13" t="n">
        <f aca="false">IF(P182-O182=0,"",(F182-O182)/(P182-O182))</f>
        <v>0.866666666666667</v>
      </c>
      <c r="R182" s="14" t="n">
        <f aca="false">IF(P182=0,"",F182/P182-1)</f>
        <v>-0.0254847645429364</v>
      </c>
      <c r="S182" s="8" t="s">
        <v>54</v>
      </c>
      <c r="T182" s="8" t="s">
        <v>605</v>
      </c>
      <c r="U182" s="15" t="n">
        <v>46288.771875</v>
      </c>
    </row>
    <row r="183" customFormat="false" ht="15" hidden="false" customHeight="false" outlineLevel="0" collapsed="false">
      <c r="A183" s="8" t="s">
        <v>606</v>
      </c>
      <c r="B183" s="8" t="s">
        <v>607</v>
      </c>
      <c r="C183" s="8" t="s">
        <v>22</v>
      </c>
      <c r="D183" s="8" t="s">
        <v>71</v>
      </c>
      <c r="E183" s="8" t="s">
        <v>54</v>
      </c>
      <c r="F183" s="9" t="n">
        <v>59.35</v>
      </c>
      <c r="G183" s="10" t="n">
        <v>-0.44</v>
      </c>
      <c r="H183" s="11" t="n">
        <v>-0.0074</v>
      </c>
      <c r="I183" s="9" t="n">
        <v>60.12</v>
      </c>
      <c r="J183" s="9" t="n">
        <v>59.25</v>
      </c>
      <c r="K183" s="9" t="n">
        <v>60.12</v>
      </c>
      <c r="L183" s="9" t="n">
        <v>59.27</v>
      </c>
      <c r="M183" s="12" t="n">
        <v>18470</v>
      </c>
      <c r="N183" s="12" t="n">
        <f aca="false">F183*M183</f>
        <v>1096194.5</v>
      </c>
      <c r="O183" s="9" t="n">
        <v>46.74</v>
      </c>
      <c r="P183" s="9" t="n">
        <v>75.28</v>
      </c>
      <c r="Q183" s="13" t="n">
        <f aca="false">IF(P183-O183=0,"",(F183-O183)/(P183-O183))</f>
        <v>0.441836019621584</v>
      </c>
      <c r="R183" s="14" t="n">
        <f aca="false">IF(P183=0,"",F183/P183-1)</f>
        <v>-0.211609989373007</v>
      </c>
      <c r="S183" s="8" t="s">
        <v>54</v>
      </c>
      <c r="T183" s="8" t="s">
        <v>608</v>
      </c>
      <c r="U183" s="15" t="n">
        <v>46288.771875</v>
      </c>
    </row>
    <row r="184" customFormat="false" ht="15" hidden="false" customHeight="false" outlineLevel="0" collapsed="false">
      <c r="A184" s="8" t="s">
        <v>609</v>
      </c>
      <c r="B184" s="8" t="s">
        <v>610</v>
      </c>
      <c r="C184" s="8" t="s">
        <v>22</v>
      </c>
      <c r="D184" s="8" t="s">
        <v>71</v>
      </c>
      <c r="E184" s="8" t="s">
        <v>54</v>
      </c>
      <c r="F184" s="9" t="n">
        <v>54.63</v>
      </c>
      <c r="G184" s="10" t="n">
        <v>0.28</v>
      </c>
      <c r="H184" s="11" t="n">
        <v>0.0052</v>
      </c>
      <c r="I184" s="9" t="n">
        <v>54.71</v>
      </c>
      <c r="J184" s="9" t="n">
        <v>54.55</v>
      </c>
      <c r="K184" s="9" t="n">
        <v>54.8</v>
      </c>
      <c r="L184" s="9" t="n">
        <v>54.67</v>
      </c>
      <c r="M184" s="12" t="n">
        <v>100638</v>
      </c>
      <c r="N184" s="12" t="n">
        <f aca="false">F184*M184</f>
        <v>5497853.94</v>
      </c>
      <c r="O184" s="9" t="n">
        <v>45.45</v>
      </c>
      <c r="P184" s="9" t="n">
        <v>56.08</v>
      </c>
      <c r="Q184" s="13" t="n">
        <f aca="false">IF(P184-O184=0,"",(F184-O184)/(P184-O184))</f>
        <v>0.863593603010348</v>
      </c>
      <c r="R184" s="14" t="n">
        <f aca="false">IF(P184=0,"",F184/P184-1)</f>
        <v>-0.0258559201141226</v>
      </c>
      <c r="S184" s="8" t="s">
        <v>54</v>
      </c>
      <c r="T184" s="8" t="s">
        <v>611</v>
      </c>
      <c r="U184" s="15" t="n">
        <v>46288.771875</v>
      </c>
    </row>
    <row r="185" customFormat="false" ht="15" hidden="false" customHeight="false" outlineLevel="0" collapsed="false">
      <c r="A185" s="8" t="s">
        <v>612</v>
      </c>
      <c r="B185" s="8" t="s">
        <v>613</v>
      </c>
      <c r="C185" s="8" t="s">
        <v>22</v>
      </c>
      <c r="D185" s="8" t="s">
        <v>71</v>
      </c>
      <c r="E185" s="8" t="s">
        <v>54</v>
      </c>
      <c r="F185" s="9" t="n">
        <v>75.91</v>
      </c>
      <c r="G185" s="10" t="n">
        <v>-0.63</v>
      </c>
      <c r="H185" s="11" t="n">
        <v>-0.0082</v>
      </c>
      <c r="I185" s="9" t="n">
        <v>77</v>
      </c>
      <c r="J185" s="9" t="n">
        <v>75.85</v>
      </c>
      <c r="K185" s="9" t="n">
        <v>77</v>
      </c>
      <c r="L185" s="9" t="n">
        <v>75.92</v>
      </c>
      <c r="M185" s="12" t="n">
        <v>1357783</v>
      </c>
      <c r="N185" s="12" t="n">
        <f aca="false">F185*M185</f>
        <v>103069307.53</v>
      </c>
      <c r="O185" s="9" t="n">
        <v>58.98</v>
      </c>
      <c r="P185" s="9" t="n">
        <v>77.2</v>
      </c>
      <c r="Q185" s="13" t="n">
        <f aca="false">IF(P185-O185=0,"",(F185-O185)/(P185-O185))</f>
        <v>0.929198682766191</v>
      </c>
      <c r="R185" s="14" t="n">
        <f aca="false">IF(P185=0,"",F185/P185-1)</f>
        <v>-0.0167098445595856</v>
      </c>
      <c r="S185" s="8" t="s">
        <v>54</v>
      </c>
      <c r="T185" s="8" t="s">
        <v>614</v>
      </c>
      <c r="U185" s="15" t="n">
        <v>46288.771875</v>
      </c>
    </row>
    <row r="186" customFormat="false" ht="15" hidden="false" customHeight="false" outlineLevel="0" collapsed="false">
      <c r="A186" s="8" t="s">
        <v>615</v>
      </c>
      <c r="B186" s="8" t="s">
        <v>616</v>
      </c>
      <c r="C186" s="8" t="s">
        <v>22</v>
      </c>
      <c r="D186" s="8" t="s">
        <v>71</v>
      </c>
      <c r="E186" s="8" t="s">
        <v>54</v>
      </c>
      <c r="F186" s="9" t="n">
        <v>17.09</v>
      </c>
      <c r="G186" s="10" t="n">
        <v>0.17</v>
      </c>
      <c r="H186" s="11" t="n">
        <v>0.01</v>
      </c>
      <c r="I186" s="9" t="n">
        <v>17.03</v>
      </c>
      <c r="J186" s="9" t="n">
        <v>17.03</v>
      </c>
      <c r="K186" s="9" t="n">
        <v>17.09</v>
      </c>
      <c r="L186" s="9" t="n">
        <v>17.03</v>
      </c>
      <c r="M186" s="12" t="n">
        <v>22554</v>
      </c>
      <c r="N186" s="12" t="n">
        <f aca="false">F186*M186</f>
        <v>385447.86</v>
      </c>
      <c r="O186" s="9" t="n">
        <v>15.74</v>
      </c>
      <c r="P186" s="9" t="n">
        <v>18.01</v>
      </c>
      <c r="Q186" s="13" t="n">
        <f aca="false">IF(P186-O186=0,"",(F186-O186)/(P186-O186))</f>
        <v>0.594713656387665</v>
      </c>
      <c r="R186" s="14" t="n">
        <f aca="false">IF(P186=0,"",F186/P186-1)</f>
        <v>-0.051082731815658</v>
      </c>
      <c r="S186" s="8" t="s">
        <v>54</v>
      </c>
      <c r="T186" s="8" t="s">
        <v>617</v>
      </c>
      <c r="U186" s="15" t="n">
        <v>46288.771875</v>
      </c>
    </row>
    <row r="187" customFormat="false" ht="15" hidden="false" customHeight="false" outlineLevel="0" collapsed="false">
      <c r="A187" s="8" t="s">
        <v>618</v>
      </c>
      <c r="B187" s="8" t="s">
        <v>619</v>
      </c>
      <c r="C187" s="8" t="s">
        <v>22</v>
      </c>
      <c r="D187" s="8" t="s">
        <v>71</v>
      </c>
      <c r="E187" s="8" t="s">
        <v>54</v>
      </c>
      <c r="F187" s="9" t="n">
        <v>108.74</v>
      </c>
      <c r="G187" s="10" t="n">
        <v>0.53</v>
      </c>
      <c r="H187" s="11" t="n">
        <v>0.0049</v>
      </c>
      <c r="I187" s="9" t="n">
        <v>108.77</v>
      </c>
      <c r="J187" s="9" t="n">
        <v>108.24</v>
      </c>
      <c r="K187" s="9" t="n">
        <v>108.88</v>
      </c>
      <c r="L187" s="9" t="n">
        <v>108.66</v>
      </c>
      <c r="M187" s="12" t="n">
        <v>27781</v>
      </c>
      <c r="N187" s="12" t="n">
        <f aca="false">F187*M187</f>
        <v>3020905.94</v>
      </c>
      <c r="O187" s="9" t="n">
        <v>99.24</v>
      </c>
      <c r="P187" s="9" t="n">
        <v>118.37</v>
      </c>
      <c r="Q187" s="13" t="n">
        <f aca="false">IF(P187-O187=0,"",(F187-O187)/(P187-O187))</f>
        <v>0.496602195504443</v>
      </c>
      <c r="R187" s="14" t="n">
        <f aca="false">IF(P187=0,"",F187/P187-1)</f>
        <v>-0.0813550730759484</v>
      </c>
      <c r="S187" s="8" t="s">
        <v>54</v>
      </c>
      <c r="T187" s="8" t="s">
        <v>620</v>
      </c>
      <c r="U187" s="15" t="n">
        <v>46288.771875</v>
      </c>
    </row>
    <row r="188" customFormat="false" ht="15" hidden="false" customHeight="false" outlineLevel="0" collapsed="false">
      <c r="A188" s="8" t="s">
        <v>621</v>
      </c>
      <c r="B188" s="8" t="s">
        <v>622</v>
      </c>
      <c r="C188" s="8" t="s">
        <v>22</v>
      </c>
      <c r="D188" s="8" t="s">
        <v>71</v>
      </c>
      <c r="E188" s="8" t="s">
        <v>54</v>
      </c>
      <c r="F188" s="9" t="n">
        <v>117.89</v>
      </c>
      <c r="G188" s="10" t="n">
        <v>-1.03</v>
      </c>
      <c r="H188" s="11" t="n">
        <v>-0.0087</v>
      </c>
      <c r="I188" s="9" t="n">
        <v>117.89</v>
      </c>
      <c r="J188" s="9" t="n">
        <v>117.89</v>
      </c>
      <c r="K188" s="9" t="n">
        <v>117.89</v>
      </c>
      <c r="L188" s="9" t="n">
        <v>118.12</v>
      </c>
      <c r="M188" s="12" t="n">
        <v>1000</v>
      </c>
      <c r="N188" s="12" t="n">
        <f aca="false">F188*M188</f>
        <v>117890</v>
      </c>
      <c r="O188" s="9" t="n">
        <v>92.91</v>
      </c>
      <c r="P188" s="9" t="n">
        <v>118.92</v>
      </c>
      <c r="Q188" s="13" t="n">
        <f aca="false">IF(P188-O188=0,"",(F188-O188)/(P188-O188))</f>
        <v>0.960399846212995</v>
      </c>
      <c r="R188" s="14" t="n">
        <f aca="false">IF(P188=0,"",F188/P188-1)</f>
        <v>-0.00866128489741003</v>
      </c>
      <c r="S188" s="8" t="s">
        <v>54</v>
      </c>
      <c r="T188" s="8" t="s">
        <v>623</v>
      </c>
      <c r="U188" s="15" t="n">
        <v>46288.771875</v>
      </c>
    </row>
    <row r="189" customFormat="false" ht="15" hidden="false" customHeight="false" outlineLevel="0" collapsed="false">
      <c r="A189" s="8" t="s">
        <v>624</v>
      </c>
      <c r="B189" s="8" t="s">
        <v>625</v>
      </c>
      <c r="C189" s="8" t="s">
        <v>22</v>
      </c>
      <c r="D189" s="8" t="s">
        <v>71</v>
      </c>
      <c r="E189" s="8" t="s">
        <v>54</v>
      </c>
      <c r="F189" s="9" t="n">
        <v>147.83</v>
      </c>
      <c r="G189" s="10" t="n">
        <v>0.01</v>
      </c>
      <c r="H189" s="11" t="n">
        <v>0.0001</v>
      </c>
      <c r="I189" s="9" t="n">
        <v>150</v>
      </c>
      <c r="J189" s="9" t="n">
        <v>147.64</v>
      </c>
      <c r="K189" s="9" t="n">
        <v>150</v>
      </c>
      <c r="L189" s="9" t="n">
        <v>148.43</v>
      </c>
      <c r="M189" s="12" t="n">
        <v>1911</v>
      </c>
      <c r="N189" s="12" t="n">
        <f aca="false">F189*M189</f>
        <v>282503.13</v>
      </c>
      <c r="O189" s="9" t="n">
        <v>123.22</v>
      </c>
      <c r="P189" s="9" t="n">
        <v>161.94</v>
      </c>
      <c r="Q189" s="13" t="n">
        <f aca="false">IF(P189-O189=0,"",(F189-O189)/(P189-O189))</f>
        <v>0.635588842975207</v>
      </c>
      <c r="R189" s="14" t="n">
        <f aca="false">IF(P189=0,"",F189/P189-1)</f>
        <v>-0.0871310361862417</v>
      </c>
      <c r="S189" s="8" t="s">
        <v>54</v>
      </c>
      <c r="T189" s="8" t="s">
        <v>626</v>
      </c>
      <c r="U189" s="15" t="n">
        <v>46288.771875</v>
      </c>
    </row>
    <row r="190" customFormat="false" ht="15" hidden="false" customHeight="false" outlineLevel="0" collapsed="false">
      <c r="A190" s="8" t="s">
        <v>627</v>
      </c>
      <c r="B190" s="8" t="s">
        <v>628</v>
      </c>
      <c r="C190" s="8" t="s">
        <v>25</v>
      </c>
      <c r="D190" s="8" t="s">
        <v>75</v>
      </c>
      <c r="E190" s="8" t="s">
        <v>54</v>
      </c>
      <c r="F190" s="9" t="n">
        <v>54.26</v>
      </c>
      <c r="G190" s="10" t="n">
        <v>-0.44</v>
      </c>
      <c r="H190" s="11" t="n">
        <v>-0.008</v>
      </c>
      <c r="I190" s="9" t="n">
        <v>54.65</v>
      </c>
      <c r="J190" s="9" t="n">
        <v>54.21</v>
      </c>
      <c r="K190" s="9" t="n">
        <v>54.65</v>
      </c>
      <c r="L190" s="9" t="n">
        <v>54.28</v>
      </c>
      <c r="M190" s="12" t="n">
        <v>3142</v>
      </c>
      <c r="N190" s="12" t="n">
        <f aca="false">F190*M190</f>
        <v>170484.92</v>
      </c>
      <c r="O190" s="9" t="n">
        <v>49.51</v>
      </c>
      <c r="P190" s="9" t="n">
        <v>56.2</v>
      </c>
      <c r="Q190" s="13" t="n">
        <f aca="false">IF(P190-O190=0,"",(F190-O190)/(P190-O190))</f>
        <v>0.710014947683109</v>
      </c>
      <c r="R190" s="14" t="n">
        <f aca="false">IF(P190=0,"",F190/P190-1)</f>
        <v>-0.0345195729537368</v>
      </c>
      <c r="S190" s="8" t="s">
        <v>54</v>
      </c>
      <c r="T190" s="8" t="s">
        <v>629</v>
      </c>
      <c r="U190" s="15" t="n">
        <v>46288.771875</v>
      </c>
    </row>
    <row r="191" customFormat="false" ht="15" hidden="false" customHeight="false" outlineLevel="0" collapsed="false">
      <c r="A191" s="8" t="s">
        <v>630</v>
      </c>
      <c r="B191" s="8" t="s">
        <v>631</v>
      </c>
      <c r="C191" s="8" t="s">
        <v>21</v>
      </c>
      <c r="D191" s="8" t="s">
        <v>53</v>
      </c>
      <c r="E191" s="8" t="s">
        <v>54</v>
      </c>
      <c r="F191" s="9" t="n">
        <v>53.17</v>
      </c>
      <c r="G191" s="10" t="n">
        <v>0.02</v>
      </c>
      <c r="H191" s="11" t="n">
        <v>0.0004</v>
      </c>
      <c r="I191" s="9" t="n">
        <v>53.2</v>
      </c>
      <c r="J191" s="9" t="n">
        <v>53.14</v>
      </c>
      <c r="K191" s="9" t="n">
        <v>53.2</v>
      </c>
      <c r="L191" s="9" t="n">
        <v>53.17</v>
      </c>
      <c r="M191" s="12" t="n">
        <v>1265</v>
      </c>
      <c r="N191" s="12" t="n">
        <f aca="false">F191*M191</f>
        <v>67260.05</v>
      </c>
      <c r="O191" s="9" t="n">
        <v>49.19</v>
      </c>
      <c r="P191" s="9" t="n">
        <v>55</v>
      </c>
      <c r="Q191" s="13" t="n">
        <f aca="false">IF(P191-O191=0,"",(F191-O191)/(P191-O191))</f>
        <v>0.685025817555939</v>
      </c>
      <c r="R191" s="14" t="n">
        <f aca="false">IF(P191=0,"",F191/P191-1)</f>
        <v>-0.0332727272727272</v>
      </c>
      <c r="S191" s="8" t="s">
        <v>54</v>
      </c>
      <c r="T191" s="8" t="s">
        <v>632</v>
      </c>
      <c r="U191" s="15" t="n">
        <v>46288.771875</v>
      </c>
    </row>
    <row r="192" customFormat="false" ht="15" hidden="false" customHeight="false" outlineLevel="0" collapsed="false">
      <c r="A192" s="8" t="s">
        <v>633</v>
      </c>
      <c r="B192" s="8" t="s">
        <v>634</v>
      </c>
      <c r="C192" s="8" t="s">
        <v>21</v>
      </c>
      <c r="D192" s="8" t="s">
        <v>53</v>
      </c>
      <c r="E192" s="8" t="s">
        <v>54</v>
      </c>
      <c r="F192" s="9" t="n">
        <v>52.22</v>
      </c>
      <c r="G192" s="10" t="n">
        <v>0.03</v>
      </c>
      <c r="H192" s="11" t="n">
        <v>0.0006</v>
      </c>
      <c r="I192" s="9" t="n">
        <v>51.99</v>
      </c>
      <c r="J192" s="9" t="n">
        <v>51.99</v>
      </c>
      <c r="K192" s="9" t="n">
        <v>52.22</v>
      </c>
      <c r="L192" s="9" t="n">
        <v>52.22</v>
      </c>
      <c r="M192" s="12" t="n">
        <v>210</v>
      </c>
      <c r="N192" s="12" t="n">
        <f aca="false">F192*M192</f>
        <v>10966.2</v>
      </c>
      <c r="O192" s="9" t="n">
        <v>48.99</v>
      </c>
      <c r="P192" s="9" t="n">
        <v>52.28</v>
      </c>
      <c r="Q192" s="13" t="n">
        <f aca="false">IF(P192-O192=0,"",(F192-O192)/(P192-O192))</f>
        <v>0.98176291793313</v>
      </c>
      <c r="R192" s="14" t="n">
        <f aca="false">IF(P192=0,"",F192/P192-1)</f>
        <v>-0.00114766641162978</v>
      </c>
      <c r="S192" s="8" t="s">
        <v>54</v>
      </c>
      <c r="T192" s="8" t="s">
        <v>635</v>
      </c>
      <c r="U192" s="15" t="n">
        <v>46288.771875</v>
      </c>
    </row>
    <row r="193" customFormat="false" ht="15" hidden="false" customHeight="false" outlineLevel="0" collapsed="false">
      <c r="A193" s="8" t="s">
        <v>636</v>
      </c>
      <c r="B193" s="8" t="s">
        <v>637</v>
      </c>
      <c r="C193" s="8" t="s">
        <v>21</v>
      </c>
      <c r="D193" s="8" t="s">
        <v>53</v>
      </c>
      <c r="E193" s="8" t="s">
        <v>54</v>
      </c>
      <c r="F193" s="9" t="n">
        <v>52.82</v>
      </c>
      <c r="G193" s="10" t="n">
        <v>0.03</v>
      </c>
      <c r="H193" s="11" t="n">
        <v>0.0006</v>
      </c>
      <c r="I193" s="9" t="n">
        <v>52.81</v>
      </c>
      <c r="J193" s="9" t="n">
        <v>52.76</v>
      </c>
      <c r="K193" s="9" t="n">
        <v>52.82</v>
      </c>
      <c r="L193" s="9" t="n">
        <v>52.82</v>
      </c>
      <c r="M193" s="12" t="n">
        <v>449</v>
      </c>
      <c r="N193" s="12" t="n">
        <f aca="false">F193*M193</f>
        <v>23716.18</v>
      </c>
      <c r="O193" s="9" t="n">
        <v>49</v>
      </c>
      <c r="P193" s="9" t="n">
        <v>52.82</v>
      </c>
      <c r="Q193" s="13" t="n">
        <f aca="false">IF(P193-O193=0,"",(F193-O193)/(P193-O193))</f>
        <v>1</v>
      </c>
      <c r="R193" s="14" t="n">
        <f aca="false">IF(P193=0,"",F193/P193-1)</f>
        <v>0</v>
      </c>
      <c r="S193" s="8" t="s">
        <v>54</v>
      </c>
      <c r="T193" s="8" t="s">
        <v>638</v>
      </c>
      <c r="U193" s="15" t="n">
        <v>46288.771875</v>
      </c>
    </row>
    <row r="194" customFormat="false" ht="15" hidden="false" customHeight="false" outlineLevel="0" collapsed="false">
      <c r="A194" s="8" t="s">
        <v>639</v>
      </c>
      <c r="B194" s="8" t="s">
        <v>640</v>
      </c>
      <c r="C194" s="8" t="s">
        <v>22</v>
      </c>
      <c r="D194" s="8" t="s">
        <v>71</v>
      </c>
      <c r="E194" s="8" t="s">
        <v>54</v>
      </c>
      <c r="F194" s="9" t="n">
        <v>128.4</v>
      </c>
      <c r="G194" s="10" t="n">
        <v>-0.16</v>
      </c>
      <c r="H194" s="11" t="n">
        <v>-0.0012</v>
      </c>
      <c r="I194" s="9" t="n">
        <v>129.9</v>
      </c>
      <c r="J194" s="9" t="n">
        <v>128.03</v>
      </c>
      <c r="K194" s="9" t="n">
        <v>129.9</v>
      </c>
      <c r="L194" s="9" t="n">
        <v>128.64</v>
      </c>
      <c r="M194" s="12" t="n">
        <v>232816</v>
      </c>
      <c r="N194" s="12" t="n">
        <f aca="false">F194*M194</f>
        <v>29893574.4</v>
      </c>
      <c r="O194" s="9" t="n">
        <v>89.69</v>
      </c>
      <c r="P194" s="9" t="n">
        <v>129.9</v>
      </c>
      <c r="Q194" s="13" t="n">
        <f aca="false">IF(P194-O194=0,"",(F194-O194)/(P194-O194))</f>
        <v>0.962695846804278</v>
      </c>
      <c r="R194" s="14" t="n">
        <f aca="false">IF(P194=0,"",F194/P194-1)</f>
        <v>-0.0115473441108545</v>
      </c>
      <c r="S194" s="8" t="s">
        <v>54</v>
      </c>
      <c r="T194" s="8" t="s">
        <v>641</v>
      </c>
      <c r="U194" s="15" t="n">
        <v>46288.771875</v>
      </c>
    </row>
    <row r="195" customFormat="false" ht="15" hidden="false" customHeight="false" outlineLevel="0" collapsed="false">
      <c r="A195" s="8" t="s">
        <v>642</v>
      </c>
      <c r="B195" s="8" t="s">
        <v>643</v>
      </c>
      <c r="C195" s="8" t="s">
        <v>22</v>
      </c>
      <c r="D195" s="8" t="s">
        <v>71</v>
      </c>
      <c r="E195" s="8" t="s">
        <v>54</v>
      </c>
      <c r="F195" s="9" t="n">
        <v>161.64</v>
      </c>
      <c r="G195" s="10" t="n">
        <v>-2.3</v>
      </c>
      <c r="H195" s="11" t="n">
        <v>-0.014</v>
      </c>
      <c r="I195" s="9" t="n">
        <v>163.93</v>
      </c>
      <c r="J195" s="9" t="n">
        <v>161.39</v>
      </c>
      <c r="K195" s="9" t="n">
        <v>163.93</v>
      </c>
      <c r="L195" s="9" t="n">
        <v>161.64</v>
      </c>
      <c r="M195" s="12" t="n">
        <v>225</v>
      </c>
      <c r="N195" s="12" t="n">
        <f aca="false">F195*M195</f>
        <v>36369</v>
      </c>
      <c r="O195" s="9" t="n">
        <v>140.64</v>
      </c>
      <c r="P195" s="9" t="n">
        <v>226.28</v>
      </c>
      <c r="Q195" s="13" t="n">
        <f aca="false">IF(P195-O195=0,"",(F195-O195)/(P195-O195))</f>
        <v>0.24521251751518</v>
      </c>
      <c r="R195" s="14" t="n">
        <f aca="false">IF(P195=0,"",F195/P195-1)</f>
        <v>-0.285663779388369</v>
      </c>
      <c r="S195" s="8" t="s">
        <v>54</v>
      </c>
      <c r="T195" s="8" t="s">
        <v>644</v>
      </c>
      <c r="U195" s="15" t="n">
        <v>46288.771875</v>
      </c>
    </row>
    <row r="196" customFormat="false" ht="15" hidden="false" customHeight="false" outlineLevel="0" collapsed="false">
      <c r="A196" s="8" t="s">
        <v>645</v>
      </c>
      <c r="B196" s="8" t="s">
        <v>646</v>
      </c>
      <c r="C196" s="8" t="s">
        <v>22</v>
      </c>
      <c r="D196" s="8" t="s">
        <v>71</v>
      </c>
      <c r="E196" s="8" t="s">
        <v>54</v>
      </c>
      <c r="F196" s="9" t="n">
        <v>110.75</v>
      </c>
      <c r="G196" s="10" t="n">
        <v>-0.72</v>
      </c>
      <c r="H196" s="11" t="n">
        <v>-0.0065</v>
      </c>
      <c r="I196" s="9" t="n">
        <v>111.18</v>
      </c>
      <c r="J196" s="9" t="n">
        <v>110.66</v>
      </c>
      <c r="K196" s="9" t="n">
        <v>111.2</v>
      </c>
      <c r="L196" s="9" t="n">
        <v>110.74</v>
      </c>
      <c r="M196" s="12" t="n">
        <v>432</v>
      </c>
      <c r="N196" s="12" t="n">
        <f aca="false">F196*M196</f>
        <v>47844</v>
      </c>
      <c r="O196" s="9" t="n">
        <v>97.01</v>
      </c>
      <c r="P196" s="9" t="n">
        <v>118.37</v>
      </c>
      <c r="Q196" s="13" t="n">
        <f aca="false">IF(P196-O196=0,"",(F196-O196)/(P196-O196))</f>
        <v>0.643258426966292</v>
      </c>
      <c r="R196" s="14" t="n">
        <f aca="false">IF(P196=0,"",F196/P196-1)</f>
        <v>-0.0643744191940526</v>
      </c>
      <c r="S196" s="8" t="s">
        <v>54</v>
      </c>
      <c r="T196" s="8" t="s">
        <v>647</v>
      </c>
      <c r="U196" s="15" t="n">
        <v>46288.771875</v>
      </c>
    </row>
    <row r="197" customFormat="false" ht="15" hidden="false" customHeight="false" outlineLevel="0" collapsed="false">
      <c r="A197" s="8" t="s">
        <v>648</v>
      </c>
      <c r="B197" s="8" t="s">
        <v>649</v>
      </c>
      <c r="C197" s="8" t="s">
        <v>20</v>
      </c>
      <c r="D197" s="8" t="s">
        <v>79</v>
      </c>
      <c r="E197" s="8" t="s">
        <v>54</v>
      </c>
      <c r="F197" s="9" t="n">
        <v>45.47</v>
      </c>
      <c r="G197" s="10" t="n">
        <v>-0.53</v>
      </c>
      <c r="H197" s="11" t="n">
        <v>-0.0115</v>
      </c>
      <c r="I197" s="9" t="n">
        <v>45.77</v>
      </c>
      <c r="J197" s="9" t="n">
        <v>45.47</v>
      </c>
      <c r="K197" s="9" t="n">
        <v>46.5</v>
      </c>
      <c r="L197" s="9" t="n">
        <v>45.58</v>
      </c>
      <c r="M197" s="12" t="n">
        <v>654</v>
      </c>
      <c r="N197" s="12" t="n">
        <f aca="false">F197*M197</f>
        <v>29737.38</v>
      </c>
      <c r="O197" s="9" t="n">
        <v>39.56</v>
      </c>
      <c r="P197" s="9" t="n">
        <v>54.99</v>
      </c>
      <c r="Q197" s="13" t="n">
        <f aca="false">IF(P197-O197=0,"",(F197-O197)/(P197-O197))</f>
        <v>0.383020090732339</v>
      </c>
      <c r="R197" s="14" t="n">
        <f aca="false">IF(P197=0,"",F197/P197-1)</f>
        <v>-0.173122385888343</v>
      </c>
      <c r="S197" s="8" t="s">
        <v>54</v>
      </c>
      <c r="T197" s="8" t="s">
        <v>650</v>
      </c>
      <c r="U197" s="15" t="n">
        <v>46288.771875</v>
      </c>
    </row>
    <row r="198" customFormat="false" ht="15" hidden="false" customHeight="false" outlineLevel="0" collapsed="false">
      <c r="A198" s="8" t="s">
        <v>651</v>
      </c>
      <c r="B198" s="8" t="s">
        <v>652</v>
      </c>
      <c r="C198" s="8" t="s">
        <v>25</v>
      </c>
      <c r="D198" s="8" t="s">
        <v>75</v>
      </c>
      <c r="E198" s="8" t="s">
        <v>54</v>
      </c>
      <c r="F198" s="9" t="n">
        <v>97.56</v>
      </c>
      <c r="G198" s="10" t="n">
        <v>0.44</v>
      </c>
      <c r="H198" s="11" t="n">
        <v>0.0045</v>
      </c>
      <c r="I198" s="9" t="n">
        <v>97.5</v>
      </c>
      <c r="J198" s="9" t="n">
        <v>97.12</v>
      </c>
      <c r="K198" s="9" t="n">
        <v>97.98</v>
      </c>
      <c r="L198" s="9" t="n">
        <v>97.94</v>
      </c>
      <c r="M198" s="12" t="n">
        <v>6795</v>
      </c>
      <c r="N198" s="12" t="n">
        <f aca="false">F198*M198</f>
        <v>662920.2</v>
      </c>
      <c r="O198" s="9" t="n">
        <v>93</v>
      </c>
      <c r="P198" s="9" t="n">
        <v>108.65</v>
      </c>
      <c r="Q198" s="13" t="n">
        <f aca="false">IF(P198-O198=0,"",(F198-O198)/(P198-O198))</f>
        <v>0.291373801916933</v>
      </c>
      <c r="R198" s="14" t="n">
        <f aca="false">IF(P198=0,"",F198/P198-1)</f>
        <v>-0.102070869765301</v>
      </c>
      <c r="S198" s="8" t="s">
        <v>54</v>
      </c>
      <c r="T198" s="8" t="s">
        <v>653</v>
      </c>
      <c r="U198" s="15" t="n">
        <v>46288.771875</v>
      </c>
    </row>
    <row r="199" customFormat="false" ht="15" hidden="false" customHeight="false" outlineLevel="0" collapsed="false">
      <c r="A199" s="8" t="s">
        <v>654</v>
      </c>
      <c r="B199" s="8" t="s">
        <v>655</v>
      </c>
      <c r="C199" s="8" t="s">
        <v>22</v>
      </c>
      <c r="D199" s="8" t="s">
        <v>71</v>
      </c>
      <c r="E199" s="8" t="s">
        <v>54</v>
      </c>
      <c r="F199" s="9" t="n">
        <v>23.26</v>
      </c>
      <c r="G199" s="10" t="n">
        <v>0.21</v>
      </c>
      <c r="H199" s="11" t="n">
        <v>0.0091</v>
      </c>
      <c r="I199" s="9" t="n">
        <v>23.01</v>
      </c>
      <c r="J199" s="9" t="n">
        <v>23</v>
      </c>
      <c r="K199" s="9" t="n">
        <v>23.26</v>
      </c>
      <c r="L199" s="9" t="n">
        <v>23.26</v>
      </c>
      <c r="M199" s="12" t="n">
        <v>37131</v>
      </c>
      <c r="N199" s="12" t="n">
        <f aca="false">F199*M199</f>
        <v>863667.06</v>
      </c>
      <c r="O199" s="9" t="n">
        <v>15.65</v>
      </c>
      <c r="P199" s="9" t="n">
        <v>23.26</v>
      </c>
      <c r="Q199" s="13" t="n">
        <f aca="false">IF(P199-O199=0,"",(F199-O199)/(P199-O199))</f>
        <v>1</v>
      </c>
      <c r="R199" s="14" t="n">
        <f aca="false">IF(P199=0,"",F199/P199-1)</f>
        <v>0</v>
      </c>
      <c r="S199" s="8" t="s">
        <v>54</v>
      </c>
      <c r="T199" s="8" t="s">
        <v>656</v>
      </c>
      <c r="U199" s="15" t="n">
        <v>46288.771875</v>
      </c>
    </row>
    <row r="200" customFormat="false" ht="15" hidden="false" customHeight="false" outlineLevel="0" collapsed="false">
      <c r="A200" s="8" t="s">
        <v>657</v>
      </c>
      <c r="B200" s="8" t="s">
        <v>658</v>
      </c>
      <c r="C200" s="8" t="s">
        <v>22</v>
      </c>
      <c r="D200" s="8" t="s">
        <v>71</v>
      </c>
      <c r="E200" s="8" t="s">
        <v>54</v>
      </c>
      <c r="F200" s="9" t="n">
        <v>30.75</v>
      </c>
      <c r="G200" s="10" t="n">
        <v>0.21</v>
      </c>
      <c r="H200" s="11" t="n">
        <v>0.0069</v>
      </c>
      <c r="I200" s="9" t="n">
        <v>30.85</v>
      </c>
      <c r="J200" s="9" t="n">
        <v>30.53</v>
      </c>
      <c r="K200" s="9" t="n">
        <v>30.85</v>
      </c>
      <c r="L200" s="9" t="n">
        <v>30.79</v>
      </c>
      <c r="M200" s="12" t="n">
        <v>143880</v>
      </c>
      <c r="N200" s="12" t="n">
        <f aca="false">F200*M200</f>
        <v>4424310</v>
      </c>
      <c r="O200" s="9" t="n">
        <v>20.77</v>
      </c>
      <c r="P200" s="9" t="n">
        <v>30.85</v>
      </c>
      <c r="Q200" s="13" t="n">
        <f aca="false">IF(P200-O200=0,"",(F200-O200)/(P200-O200))</f>
        <v>0.990079365079365</v>
      </c>
      <c r="R200" s="14" t="n">
        <f aca="false">IF(P200=0,"",F200/P200-1)</f>
        <v>-0.00324149108589955</v>
      </c>
      <c r="S200" s="8" t="s">
        <v>54</v>
      </c>
      <c r="T200" s="8" t="s">
        <v>659</v>
      </c>
      <c r="U200" s="15" t="n">
        <v>46288.771875</v>
      </c>
    </row>
    <row r="201" customFormat="false" ht="15" hidden="false" customHeight="false" outlineLevel="0" collapsed="false">
      <c r="A201" s="8" t="s">
        <v>660</v>
      </c>
      <c r="B201" s="8" t="s">
        <v>661</v>
      </c>
      <c r="C201" s="8" t="s">
        <v>20</v>
      </c>
      <c r="D201" s="8" t="s">
        <v>79</v>
      </c>
      <c r="E201" s="8" t="s">
        <v>54</v>
      </c>
      <c r="F201" s="9" t="n">
        <v>51.85</v>
      </c>
      <c r="G201" s="10" t="n">
        <v>-0.76</v>
      </c>
      <c r="H201" s="11" t="n">
        <v>-0.0144</v>
      </c>
      <c r="I201" s="9" t="n">
        <v>52.39</v>
      </c>
      <c r="J201" s="9" t="n">
        <v>51.83</v>
      </c>
      <c r="K201" s="9" t="n">
        <v>52.39</v>
      </c>
      <c r="L201" s="9" t="n">
        <v>51.9</v>
      </c>
      <c r="M201" s="12" t="n">
        <v>223677</v>
      </c>
      <c r="N201" s="12" t="n">
        <f aca="false">F201*M201</f>
        <v>11597652.45</v>
      </c>
      <c r="O201" s="9" t="n">
        <v>47.09</v>
      </c>
      <c r="P201" s="9" t="n">
        <v>52.92</v>
      </c>
      <c r="Q201" s="13" t="n">
        <f aca="false">IF(P201-O201=0,"",(F201-O201)/(P201-O201))</f>
        <v>0.816466552315609</v>
      </c>
      <c r="R201" s="14" t="n">
        <f aca="false">IF(P201=0,"",F201/P201-1)</f>
        <v>-0.0202191987906274</v>
      </c>
      <c r="S201" s="8" t="s">
        <v>54</v>
      </c>
      <c r="T201" s="8" t="s">
        <v>662</v>
      </c>
      <c r="U201" s="15" t="n">
        <v>46288.771875</v>
      </c>
    </row>
    <row r="202" customFormat="false" ht="15" hidden="false" customHeight="false" outlineLevel="0" collapsed="false">
      <c r="A202" s="8" t="s">
        <v>663</v>
      </c>
      <c r="B202" s="8" t="s">
        <v>664</v>
      </c>
      <c r="C202" s="8" t="s">
        <v>20</v>
      </c>
      <c r="D202" s="8" t="s">
        <v>79</v>
      </c>
      <c r="E202" s="8" t="s">
        <v>54</v>
      </c>
      <c r="F202" s="9" t="n">
        <v>124.26</v>
      </c>
      <c r="G202" s="10" t="n">
        <v>-1.92</v>
      </c>
      <c r="H202" s="11" t="n">
        <v>-0.0152</v>
      </c>
      <c r="I202" s="9" t="n">
        <v>125.85</v>
      </c>
      <c r="J202" s="9" t="n">
        <v>124.26</v>
      </c>
      <c r="K202" s="9" t="n">
        <v>126.32</v>
      </c>
      <c r="L202" s="9" t="n">
        <v>124.4</v>
      </c>
      <c r="M202" s="12" t="n">
        <v>10069</v>
      </c>
      <c r="N202" s="12" t="n">
        <f aca="false">F202*M202</f>
        <v>1251173.94</v>
      </c>
      <c r="O202" s="9" t="n">
        <v>97</v>
      </c>
      <c r="P202" s="9" t="n">
        <v>144.05</v>
      </c>
      <c r="Q202" s="13" t="n">
        <f aca="false">IF(P202-O202=0,"",(F202-O202)/(P202-O202))</f>
        <v>0.579383634431456</v>
      </c>
      <c r="R202" s="14" t="n">
        <f aca="false">IF(P202=0,"",F202/P202-1)</f>
        <v>-0.137382853175981</v>
      </c>
      <c r="S202" s="8" t="s">
        <v>54</v>
      </c>
      <c r="T202" s="8" t="s">
        <v>665</v>
      </c>
      <c r="U202" s="15" t="n">
        <v>46288.771875</v>
      </c>
    </row>
    <row r="203" customFormat="false" ht="15" hidden="false" customHeight="false" outlineLevel="0" collapsed="false">
      <c r="A203" s="8" t="s">
        <v>666</v>
      </c>
      <c r="B203" s="8" t="s">
        <v>667</v>
      </c>
      <c r="C203" s="8" t="s">
        <v>22</v>
      </c>
      <c r="D203" s="8" t="s">
        <v>71</v>
      </c>
      <c r="E203" s="8" t="s">
        <v>54</v>
      </c>
      <c r="F203" s="9" t="n">
        <v>115</v>
      </c>
      <c r="G203" s="10" t="n">
        <v>0.51</v>
      </c>
      <c r="H203" s="11" t="n">
        <v>0.0045</v>
      </c>
      <c r="I203" s="9" t="n">
        <v>114.5</v>
      </c>
      <c r="J203" s="9" t="n">
        <v>114.49</v>
      </c>
      <c r="K203" s="9" t="n">
        <v>115</v>
      </c>
      <c r="L203" s="9" t="n">
        <v>114.81</v>
      </c>
      <c r="M203" s="12" t="n">
        <v>22258</v>
      </c>
      <c r="N203" s="12" t="n">
        <f aca="false">F203*M203</f>
        <v>2559670</v>
      </c>
      <c r="O203" s="9" t="n">
        <v>96.78</v>
      </c>
      <c r="P203" s="9" t="n">
        <v>118</v>
      </c>
      <c r="Q203" s="13" t="n">
        <f aca="false">IF(P203-O203=0,"",(F203-O203)/(P203-O203))</f>
        <v>0.858623939679548</v>
      </c>
      <c r="R203" s="14" t="n">
        <f aca="false">IF(P203=0,"",F203/P203-1)</f>
        <v>-0.0254237288135594</v>
      </c>
      <c r="S203" s="8" t="s">
        <v>54</v>
      </c>
      <c r="T203" s="8" t="s">
        <v>668</v>
      </c>
      <c r="U203" s="15" t="n">
        <v>46288.771875</v>
      </c>
    </row>
    <row r="204" customFormat="false" ht="15" hidden="false" customHeight="false" outlineLevel="0" collapsed="false">
      <c r="A204" s="8" t="s">
        <v>669</v>
      </c>
      <c r="B204" s="8" t="s">
        <v>670</v>
      </c>
      <c r="C204" s="8" t="s">
        <v>23</v>
      </c>
      <c r="D204" s="8" t="s">
        <v>67</v>
      </c>
      <c r="E204" s="8" t="s">
        <v>54</v>
      </c>
      <c r="F204" s="9" t="n">
        <v>18.7</v>
      </c>
      <c r="G204" s="10" t="n">
        <v>-0.3</v>
      </c>
      <c r="H204" s="11" t="n">
        <v>-0.0158</v>
      </c>
      <c r="I204" s="9" t="n">
        <v>19</v>
      </c>
      <c r="J204" s="9" t="n">
        <v>18.48</v>
      </c>
      <c r="K204" s="9" t="n">
        <v>19</v>
      </c>
      <c r="L204" s="9" t="n">
        <v>18.7</v>
      </c>
      <c r="M204" s="12" t="n">
        <v>2910</v>
      </c>
      <c r="N204" s="12" t="n">
        <f aca="false">F204*M204</f>
        <v>54417</v>
      </c>
      <c r="O204" s="9" t="n">
        <v>11.24</v>
      </c>
      <c r="P204" s="9" t="n">
        <v>44.68</v>
      </c>
      <c r="Q204" s="13" t="n">
        <f aca="false">IF(P204-O204=0,"",(F204-O204)/(P204-O204))</f>
        <v>0.223086124401914</v>
      </c>
      <c r="R204" s="14" t="n">
        <f aca="false">IF(P204=0,"",F204/P204-1)</f>
        <v>-0.581468218442256</v>
      </c>
      <c r="S204" s="8" t="s">
        <v>54</v>
      </c>
      <c r="T204" s="8" t="s">
        <v>671</v>
      </c>
      <c r="U204" s="15" t="n">
        <v>46288.771875</v>
      </c>
    </row>
    <row r="205" customFormat="false" ht="15" hidden="false" customHeight="false" outlineLevel="0" collapsed="false">
      <c r="A205" s="8" t="s">
        <v>672</v>
      </c>
      <c r="B205" s="8" t="s">
        <v>673</v>
      </c>
      <c r="C205" s="8" t="s">
        <v>21</v>
      </c>
      <c r="D205" s="8" t="s">
        <v>53</v>
      </c>
      <c r="E205" s="8" t="s">
        <v>54</v>
      </c>
      <c r="F205" s="9" t="n">
        <v>112.38</v>
      </c>
      <c r="G205" s="10" t="n">
        <v>-0.1</v>
      </c>
      <c r="H205" s="11" t="n">
        <v>-0.0009</v>
      </c>
      <c r="I205" s="9" t="n">
        <v>112.38</v>
      </c>
      <c r="J205" s="9" t="n">
        <v>112.38</v>
      </c>
      <c r="K205" s="9" t="n">
        <v>112.38</v>
      </c>
      <c r="L205" s="9" t="n">
        <v>112.38</v>
      </c>
      <c r="M205" s="12" t="n">
        <v>1</v>
      </c>
      <c r="N205" s="12" t="n">
        <f aca="false">F205*M205</f>
        <v>112.38</v>
      </c>
      <c r="O205" s="9" t="n">
        <v>100.29</v>
      </c>
      <c r="P205" s="9" t="n">
        <v>112.48</v>
      </c>
      <c r="Q205" s="13" t="n">
        <f aca="false">IF(P205-O205=0,"",(F205-O205)/(P205-O205))</f>
        <v>0.991796554552912</v>
      </c>
      <c r="R205" s="14" t="n">
        <f aca="false">IF(P205=0,"",F205/P205-1)</f>
        <v>-0.000889046941678573</v>
      </c>
      <c r="S205" s="8" t="s">
        <v>54</v>
      </c>
      <c r="T205" s="8" t="s">
        <v>674</v>
      </c>
      <c r="U205" s="15" t="n">
        <v>46288.771875</v>
      </c>
    </row>
    <row r="206" customFormat="false" ht="15" hidden="false" customHeight="false" outlineLevel="0" collapsed="false">
      <c r="A206" s="8" t="s">
        <v>675</v>
      </c>
      <c r="B206" s="8" t="s">
        <v>676</v>
      </c>
      <c r="C206" s="8" t="s">
        <v>22</v>
      </c>
      <c r="D206" s="8" t="s">
        <v>71</v>
      </c>
      <c r="E206" s="8" t="s">
        <v>54</v>
      </c>
      <c r="F206" s="9" t="n">
        <v>149.19</v>
      </c>
      <c r="G206" s="10" t="n">
        <v>0.15</v>
      </c>
      <c r="H206" s="11" t="n">
        <v>0.001</v>
      </c>
      <c r="I206" s="9" t="n">
        <v>149.7</v>
      </c>
      <c r="J206" s="9" t="n">
        <v>148.85</v>
      </c>
      <c r="K206" s="9" t="n">
        <v>149.7</v>
      </c>
      <c r="L206" s="9" t="n">
        <v>149.19</v>
      </c>
      <c r="M206" s="12" t="n">
        <v>36477</v>
      </c>
      <c r="N206" s="12" t="n">
        <f aca="false">F206*M206</f>
        <v>5442003.63</v>
      </c>
      <c r="O206" s="9" t="n">
        <v>127.06</v>
      </c>
      <c r="P206" s="9" t="n">
        <v>154.02</v>
      </c>
      <c r="Q206" s="13" t="n">
        <f aca="false">IF(P206-O206=0,"",(F206-O206)/(P206-O206))</f>
        <v>0.820845697329376</v>
      </c>
      <c r="R206" s="14" t="n">
        <f aca="false">IF(P206=0,"",F206/P206-1)</f>
        <v>-0.031359563693027</v>
      </c>
      <c r="S206" s="8" t="s">
        <v>54</v>
      </c>
      <c r="T206" s="8" t="s">
        <v>677</v>
      </c>
      <c r="U206" s="15" t="n">
        <v>46288.771875</v>
      </c>
    </row>
    <row r="207" customFormat="false" ht="15" hidden="false" customHeight="false" outlineLevel="0" collapsed="false">
      <c r="A207" s="8" t="s">
        <v>678</v>
      </c>
      <c r="B207" s="8" t="s">
        <v>679</v>
      </c>
      <c r="C207" s="8" t="s">
        <v>21</v>
      </c>
      <c r="D207" s="8" t="s">
        <v>53</v>
      </c>
      <c r="E207" s="8" t="s">
        <v>54</v>
      </c>
      <c r="F207" s="9" t="n">
        <v>53.64</v>
      </c>
      <c r="G207" s="10" t="n">
        <v>-0.11</v>
      </c>
      <c r="H207" s="11" t="n">
        <v>-0.002</v>
      </c>
      <c r="I207" s="9" t="n">
        <v>53.72</v>
      </c>
      <c r="J207" s="9" t="n">
        <v>53.58</v>
      </c>
      <c r="K207" s="9" t="n">
        <v>53.73</v>
      </c>
      <c r="L207" s="9" t="n">
        <v>53.58</v>
      </c>
      <c r="M207" s="12" t="n">
        <v>1510</v>
      </c>
      <c r="N207" s="12" t="n">
        <f aca="false">F207*M207</f>
        <v>80996.4</v>
      </c>
      <c r="O207" s="9" t="n">
        <v>49</v>
      </c>
      <c r="P207" s="9" t="n">
        <v>54.07</v>
      </c>
      <c r="Q207" s="13" t="n">
        <f aca="false">IF(P207-O207=0,"",(F207-O207)/(P207-O207))</f>
        <v>0.915187376725838</v>
      </c>
      <c r="R207" s="14" t="n">
        <f aca="false">IF(P207=0,"",F207/P207-1)</f>
        <v>-0.00795265396707967</v>
      </c>
      <c r="S207" s="8" t="s">
        <v>54</v>
      </c>
      <c r="T207" s="8" t="s">
        <v>680</v>
      </c>
      <c r="U207" s="15" t="n">
        <v>46288.771875</v>
      </c>
    </row>
    <row r="208" customFormat="false" ht="15" hidden="false" customHeight="false" outlineLevel="0" collapsed="false">
      <c r="A208" s="8" t="s">
        <v>681</v>
      </c>
      <c r="B208" s="8" t="s">
        <v>682</v>
      </c>
      <c r="C208" s="8" t="s">
        <v>21</v>
      </c>
      <c r="D208" s="8" t="s">
        <v>53</v>
      </c>
      <c r="E208" s="8" t="s">
        <v>54</v>
      </c>
      <c r="F208" s="9" t="n">
        <v>54.24</v>
      </c>
      <c r="G208" s="10" t="n">
        <v>0.14</v>
      </c>
      <c r="H208" s="11" t="n">
        <v>0.0026</v>
      </c>
      <c r="I208" s="9" t="n">
        <v>54.45</v>
      </c>
      <c r="J208" s="9" t="n">
        <v>54.02</v>
      </c>
      <c r="K208" s="9" t="n">
        <v>54.46</v>
      </c>
      <c r="L208" s="9" t="n">
        <v>54.32</v>
      </c>
      <c r="M208" s="12" t="n">
        <v>4098</v>
      </c>
      <c r="N208" s="12" t="n">
        <f aca="false">F208*M208</f>
        <v>222275.52</v>
      </c>
      <c r="O208" s="9" t="n">
        <v>47.95</v>
      </c>
      <c r="P208" s="9" t="n">
        <v>54.99</v>
      </c>
      <c r="Q208" s="13" t="n">
        <f aca="false">IF(P208-O208=0,"",(F208-O208)/(P208-O208))</f>
        <v>0.893465909090909</v>
      </c>
      <c r="R208" s="14" t="n">
        <f aca="false">IF(P208=0,"",F208/P208-1)</f>
        <v>-0.0136388434260775</v>
      </c>
      <c r="S208" s="8" t="s">
        <v>54</v>
      </c>
      <c r="T208" s="8" t="s">
        <v>683</v>
      </c>
      <c r="U208" s="15" t="n">
        <v>46288.771875</v>
      </c>
    </row>
    <row r="209" customFormat="false" ht="15" hidden="false" customHeight="false" outlineLevel="0" collapsed="false">
      <c r="A209" s="8" t="s">
        <v>684</v>
      </c>
      <c r="B209" s="8" t="s">
        <v>685</v>
      </c>
      <c r="C209" s="8" t="s">
        <v>21</v>
      </c>
      <c r="D209" s="8" t="s">
        <v>53</v>
      </c>
      <c r="E209" s="8" t="s">
        <v>54</v>
      </c>
      <c r="F209" s="9" t="n">
        <v>52.33</v>
      </c>
      <c r="G209" s="10" t="n">
        <v>0.02</v>
      </c>
      <c r="H209" s="11" t="n">
        <v>0.0004</v>
      </c>
      <c r="I209" s="9" t="n">
        <v>52.42</v>
      </c>
      <c r="J209" s="9" t="n">
        <v>52.33</v>
      </c>
      <c r="K209" s="9" t="n">
        <v>52.42</v>
      </c>
      <c r="L209" s="9" t="n">
        <v>52.42</v>
      </c>
      <c r="M209" s="12" t="n">
        <v>1562</v>
      </c>
      <c r="N209" s="12" t="n">
        <f aca="false">F209*M209</f>
        <v>81739.46</v>
      </c>
      <c r="O209" s="9" t="n">
        <v>49</v>
      </c>
      <c r="P209" s="9" t="n">
        <v>52.42</v>
      </c>
      <c r="Q209" s="13" t="n">
        <f aca="false">IF(P209-O209=0,"",(F209-O209)/(P209-O209))</f>
        <v>0.973684210526315</v>
      </c>
      <c r="R209" s="14" t="n">
        <f aca="false">IF(P209=0,"",F209/P209-1)</f>
        <v>-0.0017169019458223</v>
      </c>
      <c r="S209" s="8" t="s">
        <v>54</v>
      </c>
      <c r="T209" s="8" t="s">
        <v>686</v>
      </c>
      <c r="U209" s="15" t="n">
        <v>46288.771875</v>
      </c>
    </row>
    <row r="210" customFormat="false" ht="15" hidden="false" customHeight="false" outlineLevel="0" collapsed="false">
      <c r="A210" s="8" t="s">
        <v>687</v>
      </c>
      <c r="B210" s="8" t="s">
        <v>688</v>
      </c>
      <c r="C210" s="8" t="s">
        <v>21</v>
      </c>
      <c r="D210" s="8" t="s">
        <v>53</v>
      </c>
      <c r="E210" s="8" t="s">
        <v>54</v>
      </c>
      <c r="F210" s="9" t="n">
        <v>53.82</v>
      </c>
      <c r="G210" s="10" t="n">
        <v>0.02</v>
      </c>
      <c r="H210" s="11" t="n">
        <v>0.0004</v>
      </c>
      <c r="I210" s="9" t="n">
        <v>53.8</v>
      </c>
      <c r="J210" s="9" t="n">
        <v>53.8</v>
      </c>
      <c r="K210" s="9" t="n">
        <v>54.02</v>
      </c>
      <c r="L210" s="9" t="n">
        <v>54.02</v>
      </c>
      <c r="M210" s="12" t="n">
        <v>1201</v>
      </c>
      <c r="N210" s="12" t="n">
        <f aca="false">F210*M210</f>
        <v>64637.82</v>
      </c>
      <c r="O210" s="9" t="n">
        <v>49.13</v>
      </c>
      <c r="P210" s="9" t="n">
        <v>54.02</v>
      </c>
      <c r="Q210" s="13" t="n">
        <f aca="false">IF(P210-O210=0,"",(F210-O210)/(P210-O210))</f>
        <v>0.959100204498977</v>
      </c>
      <c r="R210" s="14" t="n">
        <f aca="false">IF(P210=0,"",F210/P210-1)</f>
        <v>-0.00370233246945584</v>
      </c>
      <c r="S210" s="8" t="s">
        <v>54</v>
      </c>
      <c r="T210" s="8" t="s">
        <v>689</v>
      </c>
      <c r="U210" s="15" t="n">
        <v>46288.771875</v>
      </c>
    </row>
    <row r="211" customFormat="false" ht="15" hidden="false" customHeight="false" outlineLevel="0" collapsed="false">
      <c r="A211" s="8" t="s">
        <v>690</v>
      </c>
      <c r="B211" s="8" t="s">
        <v>691</v>
      </c>
      <c r="C211" s="8" t="s">
        <v>21</v>
      </c>
      <c r="D211" s="8" t="s">
        <v>53</v>
      </c>
      <c r="E211" s="8" t="s">
        <v>54</v>
      </c>
      <c r="F211" s="9" t="n">
        <v>52.71</v>
      </c>
      <c r="G211" s="10" t="n">
        <v>0.01</v>
      </c>
      <c r="H211" s="11" t="n">
        <v>0.0002</v>
      </c>
      <c r="I211" s="9" t="n">
        <v>52.9</v>
      </c>
      <c r="J211" s="9" t="n">
        <v>52.71</v>
      </c>
      <c r="K211" s="9" t="n">
        <v>52.91</v>
      </c>
      <c r="L211" s="9" t="n">
        <v>52.91</v>
      </c>
      <c r="M211" s="12" t="n">
        <v>3723</v>
      </c>
      <c r="N211" s="12" t="n">
        <f aca="false">F211*M211</f>
        <v>196239.33</v>
      </c>
      <c r="O211" s="9" t="n">
        <v>49.01</v>
      </c>
      <c r="P211" s="9" t="n">
        <v>52.91</v>
      </c>
      <c r="Q211" s="13" t="n">
        <f aca="false">IF(P211-O211=0,"",(F211-O211)/(P211-O211))</f>
        <v>0.94871794871795</v>
      </c>
      <c r="R211" s="14" t="n">
        <f aca="false">IF(P211=0,"",F211/P211-1)</f>
        <v>-0.00378000378000365</v>
      </c>
      <c r="S211" s="8" t="s">
        <v>54</v>
      </c>
      <c r="T211" s="8" t="s">
        <v>692</v>
      </c>
      <c r="U211" s="15" t="n">
        <v>46288.771875</v>
      </c>
    </row>
    <row r="212" customFormat="false" ht="15" hidden="false" customHeight="false" outlineLevel="0" collapsed="false">
      <c r="A212" s="8" t="s">
        <v>693</v>
      </c>
      <c r="B212" s="8" t="s">
        <v>694</v>
      </c>
      <c r="C212" s="8" t="s">
        <v>23</v>
      </c>
      <c r="D212" s="8" t="s">
        <v>67</v>
      </c>
      <c r="E212" s="8" t="s">
        <v>54</v>
      </c>
      <c r="F212" s="9" t="n">
        <v>102.5</v>
      </c>
      <c r="G212" s="10" t="n">
        <v>-0.75</v>
      </c>
      <c r="H212" s="11" t="n">
        <v>-0.0073</v>
      </c>
      <c r="I212" s="9" t="n">
        <v>105.05</v>
      </c>
      <c r="J212" s="9" t="n">
        <v>101.48</v>
      </c>
      <c r="K212" s="9" t="n">
        <v>105.05</v>
      </c>
      <c r="L212" s="9" t="n">
        <v>103.55</v>
      </c>
      <c r="M212" s="12" t="n">
        <v>5504</v>
      </c>
      <c r="N212" s="12" t="n">
        <f aca="false">F212*M212</f>
        <v>564160</v>
      </c>
      <c r="O212" s="9" t="n">
        <v>74.1</v>
      </c>
      <c r="P212" s="9" t="n">
        <v>120.7</v>
      </c>
      <c r="Q212" s="13" t="n">
        <f aca="false">IF(P212-O212=0,"",(F212-O212)/(P212-O212))</f>
        <v>0.609442060085837</v>
      </c>
      <c r="R212" s="14" t="n">
        <f aca="false">IF(P212=0,"",F212/P212-1)</f>
        <v>-0.150787075393538</v>
      </c>
      <c r="S212" s="8" t="s">
        <v>54</v>
      </c>
      <c r="T212" s="8" t="s">
        <v>695</v>
      </c>
      <c r="U212" s="15" t="n">
        <v>46288.771875</v>
      </c>
    </row>
    <row r="213" customFormat="false" ht="15" hidden="false" customHeight="false" outlineLevel="0" collapsed="false">
      <c r="A213" s="8" t="s">
        <v>696</v>
      </c>
      <c r="B213" s="8" t="s">
        <v>697</v>
      </c>
      <c r="C213" s="8" t="s">
        <v>23</v>
      </c>
      <c r="D213" s="8" t="s">
        <v>67</v>
      </c>
      <c r="E213" s="8" t="s">
        <v>54</v>
      </c>
      <c r="F213" s="9" t="n">
        <v>42.39</v>
      </c>
      <c r="G213" s="10" t="n">
        <v>-0.41</v>
      </c>
      <c r="H213" s="11" t="n">
        <v>-0.0096</v>
      </c>
      <c r="I213" s="9" t="n">
        <v>44.19</v>
      </c>
      <c r="J213" s="9" t="n">
        <v>42.21</v>
      </c>
      <c r="K213" s="9" t="n">
        <v>44.19</v>
      </c>
      <c r="L213" s="9" t="n">
        <v>42.39</v>
      </c>
      <c r="M213" s="12" t="n">
        <v>2567</v>
      </c>
      <c r="N213" s="12" t="n">
        <f aca="false">F213*M213</f>
        <v>108815.13</v>
      </c>
      <c r="O213" s="9" t="n">
        <v>28.91</v>
      </c>
      <c r="P213" s="9" t="n">
        <v>58</v>
      </c>
      <c r="Q213" s="13" t="n">
        <f aca="false">IF(P213-O213=0,"",(F213-O213)/(P213-O213))</f>
        <v>0.463389480921279</v>
      </c>
      <c r="R213" s="14" t="n">
        <f aca="false">IF(P213=0,"",F213/P213-1)</f>
        <v>-0.269137931034483</v>
      </c>
      <c r="S213" s="8" t="s">
        <v>54</v>
      </c>
      <c r="T213" s="8" t="s">
        <v>698</v>
      </c>
      <c r="U213" s="15" t="n">
        <v>46288.771875</v>
      </c>
    </row>
    <row r="214" customFormat="false" ht="15" hidden="false" customHeight="false" outlineLevel="0" collapsed="false">
      <c r="A214" s="8" t="s">
        <v>699</v>
      </c>
      <c r="B214" s="8" t="s">
        <v>700</v>
      </c>
      <c r="C214" s="8" t="s">
        <v>20</v>
      </c>
      <c r="D214" s="8" t="s">
        <v>79</v>
      </c>
      <c r="E214" s="8" t="s">
        <v>54</v>
      </c>
      <c r="F214" s="9" t="n">
        <v>180.88</v>
      </c>
      <c r="G214" s="10" t="n">
        <v>-1.57</v>
      </c>
      <c r="H214" s="11" t="n">
        <v>-0.0086</v>
      </c>
      <c r="I214" s="9" t="n">
        <v>181.62</v>
      </c>
      <c r="J214" s="9" t="n">
        <v>180.88</v>
      </c>
      <c r="K214" s="9" t="n">
        <v>181.62</v>
      </c>
      <c r="L214" s="9" t="n">
        <v>181.62</v>
      </c>
      <c r="M214" s="12" t="n">
        <v>45</v>
      </c>
      <c r="N214" s="12" t="n">
        <f aca="false">F214*M214</f>
        <v>8139.6</v>
      </c>
      <c r="O214" s="9" t="n">
        <v>137.89</v>
      </c>
      <c r="P214" s="9" t="n">
        <v>193.98</v>
      </c>
      <c r="Q214" s="13" t="n">
        <f aca="false">IF(P214-O214=0,"",(F214-O214)/(P214-O214))</f>
        <v>0.766446781957568</v>
      </c>
      <c r="R214" s="14" t="n">
        <f aca="false">IF(P214=0,"",F214/P214-1)</f>
        <v>-0.0675327353335395</v>
      </c>
      <c r="S214" s="8" t="s">
        <v>54</v>
      </c>
      <c r="T214" s="8" t="s">
        <v>701</v>
      </c>
      <c r="U214" s="15" t="n">
        <v>46288.771875</v>
      </c>
    </row>
    <row r="215" customFormat="false" ht="15" hidden="false" customHeight="false" outlineLevel="0" collapsed="false">
      <c r="A215" s="8" t="s">
        <v>702</v>
      </c>
      <c r="B215" s="8" t="s">
        <v>703</v>
      </c>
      <c r="C215" s="8" t="s">
        <v>20</v>
      </c>
      <c r="D215" s="8" t="s">
        <v>79</v>
      </c>
      <c r="E215" s="8" t="s">
        <v>54</v>
      </c>
      <c r="F215" s="9" t="n">
        <v>51.92</v>
      </c>
      <c r="G215" s="10" t="n">
        <v>-0.68</v>
      </c>
      <c r="H215" s="11" t="n">
        <v>-0.0129</v>
      </c>
      <c r="I215" s="9" t="n">
        <v>52.6</v>
      </c>
      <c r="J215" s="9" t="n">
        <v>51.92</v>
      </c>
      <c r="K215" s="9" t="n">
        <v>52.6</v>
      </c>
      <c r="L215" s="9" t="n">
        <v>52.11</v>
      </c>
      <c r="M215" s="12" t="n">
        <v>6559</v>
      </c>
      <c r="N215" s="12" t="n">
        <f aca="false">F215*M215</f>
        <v>340543.28</v>
      </c>
      <c r="O215" s="9" t="n">
        <v>46.39</v>
      </c>
      <c r="P215" s="9" t="n">
        <v>53.02</v>
      </c>
      <c r="Q215" s="13" t="n">
        <f aca="false">IF(P215-O215=0,"",(F215-O215)/(P215-O215))</f>
        <v>0.834087481146305</v>
      </c>
      <c r="R215" s="14" t="n">
        <f aca="false">IF(P215=0,"",F215/P215-1)</f>
        <v>-0.020746887966805</v>
      </c>
      <c r="S215" s="8" t="s">
        <v>54</v>
      </c>
      <c r="T215" s="8" t="s">
        <v>704</v>
      </c>
      <c r="U215" s="15" t="n">
        <v>46288.771875</v>
      </c>
    </row>
    <row r="216" customFormat="false" ht="15" hidden="false" customHeight="false" outlineLevel="0" collapsed="false">
      <c r="A216" s="8" t="s">
        <v>705</v>
      </c>
      <c r="B216" s="8" t="s">
        <v>706</v>
      </c>
      <c r="C216" s="8" t="s">
        <v>23</v>
      </c>
      <c r="D216" s="8" t="s">
        <v>67</v>
      </c>
      <c r="E216" s="8" t="s">
        <v>54</v>
      </c>
      <c r="F216" s="9" t="n">
        <v>37.07</v>
      </c>
      <c r="G216" s="10" t="n">
        <v>-0.54</v>
      </c>
      <c r="H216" s="11" t="n">
        <v>-0.0144</v>
      </c>
      <c r="I216" s="9" t="n">
        <v>44.99</v>
      </c>
      <c r="J216" s="9" t="n">
        <v>36.63</v>
      </c>
      <c r="K216" s="9" t="n">
        <v>44.99</v>
      </c>
      <c r="L216" s="9" t="n">
        <v>36.99</v>
      </c>
      <c r="M216" s="12" t="n">
        <v>371</v>
      </c>
      <c r="N216" s="12" t="n">
        <f aca="false">F216*M216</f>
        <v>13752.97</v>
      </c>
      <c r="O216" s="9" t="n">
        <v>21.41</v>
      </c>
      <c r="P216" s="9" t="n">
        <v>55</v>
      </c>
      <c r="Q216" s="13" t="n">
        <f aca="false">IF(P216-O216=0,"",(F216-O216)/(P216-O216))</f>
        <v>0.466210181601667</v>
      </c>
      <c r="R216" s="14" t="n">
        <f aca="false">IF(P216=0,"",F216/P216-1)</f>
        <v>-0.326</v>
      </c>
      <c r="S216" s="8" t="s">
        <v>54</v>
      </c>
      <c r="T216" s="8" t="s">
        <v>707</v>
      </c>
      <c r="U216" s="15" t="n">
        <v>46288.771875</v>
      </c>
    </row>
    <row r="217" customFormat="false" ht="15" hidden="false" customHeight="false" outlineLevel="0" collapsed="false">
      <c r="A217" s="8" t="s">
        <v>708</v>
      </c>
      <c r="B217" s="8" t="s">
        <v>709</v>
      </c>
      <c r="C217" s="8" t="s">
        <v>27</v>
      </c>
      <c r="D217" s="8" t="s">
        <v>366</v>
      </c>
      <c r="E217" s="8" t="s">
        <v>54</v>
      </c>
      <c r="F217" s="9" t="n">
        <v>13.24</v>
      </c>
      <c r="G217" s="10" t="n">
        <v>0.04</v>
      </c>
      <c r="H217" s="11" t="n">
        <v>0.003</v>
      </c>
      <c r="I217" s="9" t="n">
        <v>13.25</v>
      </c>
      <c r="J217" s="9" t="n">
        <v>13.17</v>
      </c>
      <c r="K217" s="9" t="n">
        <v>13.29</v>
      </c>
      <c r="L217" s="9" t="n">
        <v>13.24</v>
      </c>
      <c r="M217" s="12" t="n">
        <v>11385</v>
      </c>
      <c r="N217" s="12" t="n">
        <f aca="false">F217*M217</f>
        <v>150737.4</v>
      </c>
      <c r="O217" s="9" t="n">
        <v>12.6</v>
      </c>
      <c r="P217" s="9" t="n">
        <v>14.1</v>
      </c>
      <c r="Q217" s="13" t="n">
        <f aca="false">IF(P217-O217=0,"",(F217-O217)/(P217-O217))</f>
        <v>0.426666666666667</v>
      </c>
      <c r="R217" s="14" t="n">
        <f aca="false">IF(P217=0,"",F217/P217-1)</f>
        <v>-0.0609929078014184</v>
      </c>
      <c r="S217" s="8" t="s">
        <v>54</v>
      </c>
      <c r="T217" s="8" t="s">
        <v>710</v>
      </c>
      <c r="U217" s="15" t="n">
        <v>46288.771875</v>
      </c>
    </row>
    <row r="218" customFormat="false" ht="15" hidden="false" customHeight="false" outlineLevel="0" collapsed="false">
      <c r="A218" s="8" t="s">
        <v>711</v>
      </c>
      <c r="B218" s="8" t="s">
        <v>712</v>
      </c>
      <c r="C218" s="8" t="s">
        <v>22</v>
      </c>
      <c r="D218" s="8" t="s">
        <v>71</v>
      </c>
      <c r="E218" s="8" t="s">
        <v>54</v>
      </c>
      <c r="F218" s="9" t="n">
        <v>7.11</v>
      </c>
      <c r="G218" s="10" t="n">
        <v>-0.07</v>
      </c>
      <c r="H218" s="11" t="n">
        <v>-0.0097</v>
      </c>
      <c r="I218" s="9" t="n">
        <v>7.18</v>
      </c>
      <c r="J218" s="9" t="n">
        <v>7.1</v>
      </c>
      <c r="K218" s="9" t="n">
        <v>7.18</v>
      </c>
      <c r="L218" s="9" t="n">
        <v>7.13</v>
      </c>
      <c r="M218" s="12" t="n">
        <v>152177</v>
      </c>
      <c r="N218" s="12" t="n">
        <f aca="false">F218*M218</f>
        <v>1081978.47</v>
      </c>
      <c r="O218" s="9" t="n">
        <v>6.65</v>
      </c>
      <c r="P218" s="9" t="n">
        <v>9.26</v>
      </c>
      <c r="Q218" s="13" t="n">
        <f aca="false">IF(P218-O218=0,"",(F218-O218)/(P218-O218))</f>
        <v>0.176245210727969</v>
      </c>
      <c r="R218" s="14" t="n">
        <f aca="false">IF(P218=0,"",F218/P218-1)</f>
        <v>-0.232181425485961</v>
      </c>
      <c r="S218" s="8" t="s">
        <v>54</v>
      </c>
      <c r="T218" s="8" t="s">
        <v>713</v>
      </c>
      <c r="U218" s="15" t="n">
        <v>46288.771875</v>
      </c>
    </row>
    <row r="219" customFormat="false" ht="15" hidden="false" customHeight="false" outlineLevel="0" collapsed="false">
      <c r="A219" s="8" t="s">
        <v>714</v>
      </c>
      <c r="B219" s="8" t="s">
        <v>715</v>
      </c>
      <c r="C219" s="8" t="s">
        <v>23</v>
      </c>
      <c r="D219" s="8" t="s">
        <v>67</v>
      </c>
      <c r="E219" s="8" t="s">
        <v>54</v>
      </c>
      <c r="F219" s="9" t="n">
        <v>12.05</v>
      </c>
      <c r="G219" s="10" t="n">
        <v>-0.42</v>
      </c>
      <c r="H219" s="11" t="n">
        <v>-0.0337</v>
      </c>
      <c r="I219" s="9" t="n">
        <v>12.4</v>
      </c>
      <c r="J219" s="9" t="n">
        <v>11.9</v>
      </c>
      <c r="K219" s="9" t="n">
        <v>12.59</v>
      </c>
      <c r="L219" s="9" t="n">
        <v>12.05</v>
      </c>
      <c r="M219" s="12" t="n">
        <v>45392</v>
      </c>
      <c r="N219" s="12" t="n">
        <f aca="false">F219*M219</f>
        <v>546973.6</v>
      </c>
      <c r="O219" s="9" t="n">
        <v>7.81</v>
      </c>
      <c r="P219" s="9" t="n">
        <v>25.95</v>
      </c>
      <c r="Q219" s="13" t="n">
        <f aca="false">IF(P219-O219=0,"",(F219-O219)/(P219-O219))</f>
        <v>0.233737596471885</v>
      </c>
      <c r="R219" s="14" t="n">
        <f aca="false">IF(P219=0,"",F219/P219-1)</f>
        <v>-0.535645472061657</v>
      </c>
      <c r="S219" s="8" t="s">
        <v>54</v>
      </c>
      <c r="T219" s="8" t="s">
        <v>716</v>
      </c>
      <c r="U219" s="15" t="n">
        <v>46288.771875</v>
      </c>
    </row>
    <row r="220" customFormat="false" ht="15" hidden="false" customHeight="false" outlineLevel="0" collapsed="false">
      <c r="A220" s="8" t="s">
        <v>717</v>
      </c>
      <c r="B220" s="8" t="s">
        <v>718</v>
      </c>
      <c r="C220" s="8" t="s">
        <v>22</v>
      </c>
      <c r="D220" s="8" t="s">
        <v>71</v>
      </c>
      <c r="E220" s="8" t="s">
        <v>54</v>
      </c>
      <c r="F220" s="9" t="n">
        <v>107.42</v>
      </c>
      <c r="G220" s="10" t="n">
        <v>-0.02</v>
      </c>
      <c r="H220" s="11" t="n">
        <v>-0.0002</v>
      </c>
      <c r="I220" s="9" t="n">
        <v>107.82</v>
      </c>
      <c r="J220" s="9" t="n">
        <v>107.29</v>
      </c>
      <c r="K220" s="9" t="n">
        <v>107.94</v>
      </c>
      <c r="L220" s="9" t="n">
        <v>107.42</v>
      </c>
      <c r="M220" s="12" t="n">
        <v>806</v>
      </c>
      <c r="N220" s="12" t="n">
        <f aca="false">F220*M220</f>
        <v>86580.52</v>
      </c>
      <c r="O220" s="9" t="n">
        <v>99.05</v>
      </c>
      <c r="P220" s="9" t="n">
        <v>111.2</v>
      </c>
      <c r="Q220" s="13" t="n">
        <f aca="false">IF(P220-O220=0,"",(F220-O220)/(P220-O220))</f>
        <v>0.688888888888889</v>
      </c>
      <c r="R220" s="14" t="n">
        <f aca="false">IF(P220=0,"",F220/P220-1)</f>
        <v>-0.0339928057553957</v>
      </c>
      <c r="S220" s="8" t="s">
        <v>54</v>
      </c>
      <c r="T220" s="8" t="s">
        <v>719</v>
      </c>
      <c r="U220" s="15" t="n">
        <v>46288.771875</v>
      </c>
    </row>
  </sheetData>
  <autoFilter ref="A1:U2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</cols>
  <sheetData>
    <row r="1" customFormat="false" ht="21.75" hidden="false" customHeight="true" outlineLevel="0" collapsed="false">
      <c r="A1" s="5" t="s">
        <v>720</v>
      </c>
      <c r="B1" s="5" t="s">
        <v>18</v>
      </c>
      <c r="C1" s="5" t="s">
        <v>721</v>
      </c>
      <c r="D1" s="5" t="s">
        <v>722</v>
      </c>
      <c r="E1" s="5" t="s">
        <v>19</v>
      </c>
    </row>
    <row r="2" customFormat="false" ht="15" hidden="false" customHeight="false" outlineLevel="0" collapsed="false">
      <c r="A2" s="8" t="s">
        <v>79</v>
      </c>
      <c r="B2" s="8" t="s">
        <v>20</v>
      </c>
      <c r="C2" s="8" t="s">
        <v>723</v>
      </c>
      <c r="D2" s="8" t="s">
        <v>86</v>
      </c>
      <c r="E2" s="8" t="n">
        <f aca="false">COUNTIFS('ETFs (219)'!$D$2:$D$220,A2,'ETFs (219)'!$E$2:$E$220,D2)</f>
        <v>1</v>
      </c>
    </row>
    <row r="3" customFormat="false" ht="15" hidden="false" customHeight="false" outlineLevel="0" collapsed="false">
      <c r="A3" s="8" t="s">
        <v>79</v>
      </c>
      <c r="B3" s="8" t="s">
        <v>20</v>
      </c>
      <c r="C3" s="8" t="s">
        <v>723</v>
      </c>
      <c r="D3" s="8" t="s">
        <v>54</v>
      </c>
      <c r="E3" s="8" t="n">
        <f aca="false">COUNTIFS('ETFs (219)'!$D$2:$D$220,A3,'ETFs (219)'!$E$2:$E$220,D3)</f>
        <v>59</v>
      </c>
    </row>
    <row r="4" customFormat="false" ht="15" hidden="false" customHeight="false" outlineLevel="0" collapsed="false">
      <c r="A4" s="8" t="s">
        <v>71</v>
      </c>
      <c r="B4" s="8" t="s">
        <v>22</v>
      </c>
      <c r="C4" s="8" t="s">
        <v>723</v>
      </c>
      <c r="D4" s="8" t="s">
        <v>54</v>
      </c>
      <c r="E4" s="8" t="n">
        <f aca="false">COUNTIFS('ETFs (219)'!$D$2:$D$220,A4,'ETFs (219)'!$E$2:$E$220,D4)</f>
        <v>47</v>
      </c>
    </row>
    <row r="5" customFormat="false" ht="15" hidden="false" customHeight="false" outlineLevel="0" collapsed="false">
      <c r="A5" s="8" t="s">
        <v>67</v>
      </c>
      <c r="B5" s="8" t="s">
        <v>23</v>
      </c>
      <c r="C5" s="8" t="s">
        <v>723</v>
      </c>
      <c r="D5" s="8" t="s">
        <v>86</v>
      </c>
      <c r="E5" s="8" t="n">
        <f aca="false">COUNTIFS('ETFs (219)'!$D$2:$D$220,A5,'ETFs (219)'!$E$2:$E$220,D5)</f>
        <v>1</v>
      </c>
    </row>
    <row r="6" customFormat="false" ht="15" hidden="false" customHeight="false" outlineLevel="0" collapsed="false">
      <c r="A6" s="8" t="s">
        <v>67</v>
      </c>
      <c r="B6" s="8" t="s">
        <v>23</v>
      </c>
      <c r="C6" s="8" t="s">
        <v>723</v>
      </c>
      <c r="D6" s="8" t="s">
        <v>54</v>
      </c>
      <c r="E6" s="8" t="n">
        <f aca="false">COUNTIFS('ETFs (219)'!$D$2:$D$220,A6,'ETFs (219)'!$E$2:$E$220,D6)</f>
        <v>28</v>
      </c>
    </row>
    <row r="7" customFormat="false" ht="15" hidden="false" customHeight="false" outlineLevel="0" collapsed="false">
      <c r="A7" s="8" t="s">
        <v>257</v>
      </c>
      <c r="B7" s="8" t="s">
        <v>26</v>
      </c>
      <c r="C7" s="8" t="s">
        <v>723</v>
      </c>
      <c r="D7" s="8" t="s">
        <v>54</v>
      </c>
      <c r="E7" s="8" t="n">
        <f aca="false">COUNTIFS('ETFs (219)'!$D$2:$D$220,A7,'ETFs (219)'!$E$2:$E$220,D7)</f>
        <v>3</v>
      </c>
    </row>
    <row r="8" customFormat="false" ht="15" hidden="false" customHeight="false" outlineLevel="0" collapsed="false">
      <c r="A8" s="8" t="s">
        <v>366</v>
      </c>
      <c r="B8" s="8" t="s">
        <v>27</v>
      </c>
      <c r="C8" s="8" t="s">
        <v>723</v>
      </c>
      <c r="D8" s="8" t="s">
        <v>54</v>
      </c>
      <c r="E8" s="8" t="n">
        <f aca="false">COUNTIFS('ETFs (219)'!$D$2:$D$220,A8,'ETFs (219)'!$E$2:$E$220,D8)</f>
        <v>2</v>
      </c>
    </row>
    <row r="9" customFormat="false" ht="15" hidden="false" customHeight="false" outlineLevel="0" collapsed="false">
      <c r="A9" s="8" t="s">
        <v>100</v>
      </c>
      <c r="B9" s="8" t="s">
        <v>24</v>
      </c>
      <c r="C9" s="8" t="s">
        <v>723</v>
      </c>
      <c r="D9" s="8" t="s">
        <v>54</v>
      </c>
      <c r="E9" s="8" t="n">
        <f aca="false">COUNTIFS('ETFs (219)'!$D$2:$D$220,A9,'ETFs (219)'!$E$2:$E$220,D9)</f>
        <v>11</v>
      </c>
    </row>
    <row r="10" customFormat="false" ht="15" hidden="false" customHeight="false" outlineLevel="0" collapsed="false">
      <c r="A10" s="8" t="s">
        <v>565</v>
      </c>
      <c r="B10" s="8" t="s">
        <v>28</v>
      </c>
      <c r="C10" s="8" t="s">
        <v>723</v>
      </c>
      <c r="D10" s="8" t="s">
        <v>86</v>
      </c>
      <c r="E10" s="8" t="n">
        <f aca="false">COUNTIFS('ETFs (219)'!$D$2:$D$220,A10,'ETFs (219)'!$E$2:$E$220,D10)</f>
        <v>1</v>
      </c>
    </row>
    <row r="11" customFormat="false" ht="15" hidden="false" customHeight="false" outlineLevel="0" collapsed="false">
      <c r="A11" s="8" t="s">
        <v>53</v>
      </c>
      <c r="B11" s="8" t="s">
        <v>21</v>
      </c>
      <c r="C11" s="8" t="s">
        <v>723</v>
      </c>
      <c r="D11" s="8" t="s">
        <v>86</v>
      </c>
      <c r="E11" s="8" t="n">
        <f aca="false">COUNTIFS('ETFs (219)'!$D$2:$D$220,A11,'ETFs (219)'!$E$2:$E$220,D11)</f>
        <v>2</v>
      </c>
    </row>
    <row r="12" customFormat="false" ht="15" hidden="false" customHeight="false" outlineLevel="0" collapsed="false">
      <c r="A12" s="8" t="s">
        <v>53</v>
      </c>
      <c r="B12" s="8" t="s">
        <v>21</v>
      </c>
      <c r="C12" s="8" t="s">
        <v>723</v>
      </c>
      <c r="D12" s="8" t="s">
        <v>54</v>
      </c>
      <c r="E12" s="8" t="n">
        <f aca="false">COUNTIFS('ETFs (219)'!$D$2:$D$220,A12,'ETFs (219)'!$E$2:$E$220,D12)</f>
        <v>57</v>
      </c>
    </row>
    <row r="13" customFormat="false" ht="15" hidden="false" customHeight="false" outlineLevel="0" collapsed="false">
      <c r="A13" s="8" t="s">
        <v>75</v>
      </c>
      <c r="B13" s="8" t="s">
        <v>25</v>
      </c>
      <c r="C13" s="8" t="s">
        <v>723</v>
      </c>
      <c r="D13" s="8" t="s">
        <v>54</v>
      </c>
      <c r="E13" s="8" t="n">
        <f aca="false">COUNTIFS('ETFs (219)'!$D$2:$D$220,A13,'ETFs (219)'!$E$2:$E$220,D13)</f>
        <v>7</v>
      </c>
    </row>
    <row r="14" customFormat="false" ht="15" hidden="false" customHeight="false" outlineLevel="0" collapsed="false">
      <c r="A14" s="16" t="s">
        <v>29</v>
      </c>
      <c r="B14" s="8"/>
      <c r="C14" s="8"/>
      <c r="D14" s="8"/>
      <c r="E14" s="16" t="n">
        <f aca="false">SUM(E2:E13)</f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0"/>
    <col collapsed="false" customWidth="true" hidden="false" outlineLevel="0" max="4" min="3" style="0" width="15"/>
    <col collapsed="false" customWidth="true" hidden="false" outlineLevel="0" max="5" min="5" style="0" width="95"/>
  </cols>
  <sheetData>
    <row r="1" customFormat="false" ht="21.75" hidden="false" customHeight="true" outlineLevel="0" collapsed="false">
      <c r="A1" s="5" t="s">
        <v>30</v>
      </c>
      <c r="B1" s="5" t="s">
        <v>31</v>
      </c>
      <c r="C1" s="5" t="s">
        <v>724</v>
      </c>
      <c r="D1" s="5" t="s">
        <v>725</v>
      </c>
      <c r="E1" s="5" t="s">
        <v>726</v>
      </c>
    </row>
    <row r="2" customFormat="false" ht="15" hidden="false" customHeight="false" outlineLevel="0" collapsed="false">
      <c r="A2" s="8" t="s">
        <v>727</v>
      </c>
      <c r="B2" s="8" t="s">
        <v>121</v>
      </c>
      <c r="C2" s="9" t="n">
        <v>135.1</v>
      </c>
      <c r="D2" s="8" t="s">
        <v>728</v>
      </c>
      <c r="E2" s="8" t="s">
        <v>729</v>
      </c>
    </row>
    <row r="3" customFormat="false" ht="15" hidden="false" customHeight="false" outlineLevel="0" collapsed="false">
      <c r="A3" s="8" t="s">
        <v>730</v>
      </c>
      <c r="B3" s="8" t="s">
        <v>166</v>
      </c>
      <c r="C3" s="9" t="n">
        <v>182.93</v>
      </c>
      <c r="D3" s="8" t="s">
        <v>728</v>
      </c>
      <c r="E3" s="8" t="s">
        <v>729</v>
      </c>
    </row>
    <row r="4" customFormat="false" ht="15" hidden="false" customHeight="false" outlineLevel="0" collapsed="false">
      <c r="A4" s="8" t="s">
        <v>731</v>
      </c>
      <c r="B4" s="8" t="s">
        <v>175</v>
      </c>
      <c r="C4" s="9" t="n">
        <v>191.93</v>
      </c>
      <c r="D4" s="8" t="s">
        <v>728</v>
      </c>
      <c r="E4" s="8" t="s">
        <v>729</v>
      </c>
    </row>
    <row r="5" customFormat="false" ht="15" hidden="false" customHeight="false" outlineLevel="0" collapsed="false">
      <c r="A5" s="8" t="s">
        <v>732</v>
      </c>
      <c r="B5" s="8" t="s">
        <v>253</v>
      </c>
      <c r="C5" s="9" t="n">
        <v>131.71</v>
      </c>
      <c r="D5" s="8" t="s">
        <v>728</v>
      </c>
      <c r="E5" s="8" t="s">
        <v>729</v>
      </c>
    </row>
    <row r="6" customFormat="false" ht="15" hidden="false" customHeight="false" outlineLevel="0" collapsed="false">
      <c r="A6" s="8" t="s">
        <v>733</v>
      </c>
      <c r="B6" s="8" t="s">
        <v>272</v>
      </c>
      <c r="C6" s="9" t="n">
        <v>154.97</v>
      </c>
      <c r="D6" s="8" t="s">
        <v>728</v>
      </c>
      <c r="E6" s="8" t="s">
        <v>729</v>
      </c>
    </row>
    <row r="7" customFormat="false" ht="15" hidden="false" customHeight="false" outlineLevel="0" collapsed="false">
      <c r="A7" s="8" t="s">
        <v>734</v>
      </c>
      <c r="B7" s="8" t="s">
        <v>296</v>
      </c>
      <c r="C7" s="9" t="n">
        <v>190.95</v>
      </c>
      <c r="D7" s="8" t="s">
        <v>728</v>
      </c>
      <c r="E7" s="8" t="s">
        <v>729</v>
      </c>
    </row>
    <row r="8" customFormat="false" ht="15" hidden="false" customHeight="false" outlineLevel="0" collapsed="false">
      <c r="A8" s="8" t="s">
        <v>735</v>
      </c>
      <c r="B8" s="8" t="s">
        <v>347</v>
      </c>
      <c r="C8" s="9" t="n">
        <v>80.57</v>
      </c>
      <c r="D8" s="8" t="s">
        <v>728</v>
      </c>
      <c r="E8" s="8" t="s">
        <v>729</v>
      </c>
    </row>
    <row r="9" customFormat="false" ht="15" hidden="false" customHeight="false" outlineLevel="0" collapsed="false">
      <c r="A9" s="8" t="s">
        <v>736</v>
      </c>
      <c r="B9" s="8" t="s">
        <v>399</v>
      </c>
      <c r="C9" s="9" t="n">
        <v>44.88</v>
      </c>
      <c r="D9" s="8" t="s">
        <v>728</v>
      </c>
      <c r="E9" s="8" t="s">
        <v>729</v>
      </c>
    </row>
    <row r="10" customFormat="false" ht="15" hidden="false" customHeight="false" outlineLevel="0" collapsed="false">
      <c r="A10" s="8" t="s">
        <v>737</v>
      </c>
      <c r="B10" s="8" t="s">
        <v>738</v>
      </c>
      <c r="C10" s="9" t="n">
        <v>83.47</v>
      </c>
      <c r="D10" s="8" t="s">
        <v>728</v>
      </c>
      <c r="E10" s="8" t="s">
        <v>729</v>
      </c>
    </row>
    <row r="11" customFormat="false" ht="15" hidden="false" customHeight="false" outlineLevel="0" collapsed="false">
      <c r="A11" s="8" t="s">
        <v>739</v>
      </c>
      <c r="B11" s="8" t="s">
        <v>700</v>
      </c>
      <c r="C11" s="9" t="n">
        <v>180.97</v>
      </c>
      <c r="D11" s="8" t="s">
        <v>728</v>
      </c>
      <c r="E11" s="8" t="s">
        <v>729</v>
      </c>
    </row>
    <row r="12" customFormat="false" ht="15" hidden="false" customHeight="false" outlineLevel="0" collapsed="false">
      <c r="A12" s="8" t="s">
        <v>740</v>
      </c>
      <c r="B12" s="8" t="s">
        <v>741</v>
      </c>
      <c r="C12" s="9" t="n">
        <v>69.48</v>
      </c>
      <c r="D12" s="8" t="s">
        <v>742</v>
      </c>
      <c r="E12" s="8" t="s">
        <v>743</v>
      </c>
    </row>
    <row r="13" customFormat="false" ht="15" hidden="false" customHeight="false" outlineLevel="0" collapsed="false">
      <c r="A13" s="8" t="s">
        <v>744</v>
      </c>
      <c r="B13" s="8" t="s">
        <v>745</v>
      </c>
      <c r="C13" s="9" t="n">
        <v>75.58</v>
      </c>
      <c r="D13" s="8" t="s">
        <v>742</v>
      </c>
      <c r="E13" s="8" t="s">
        <v>743</v>
      </c>
    </row>
    <row r="14" customFormat="false" ht="15" hidden="false" customHeight="false" outlineLevel="0" collapsed="false">
      <c r="A14" s="8" t="s">
        <v>746</v>
      </c>
      <c r="B14" s="8" t="s">
        <v>747</v>
      </c>
      <c r="C14" s="9" t="n">
        <v>99.86</v>
      </c>
      <c r="D14" s="8" t="s">
        <v>742</v>
      </c>
      <c r="E14" s="8" t="s">
        <v>743</v>
      </c>
    </row>
    <row r="15" customFormat="false" ht="15" hidden="false" customHeight="false" outlineLevel="0" collapsed="false">
      <c r="A15" s="8" t="s">
        <v>748</v>
      </c>
      <c r="B15" s="8" t="s">
        <v>749</v>
      </c>
      <c r="C15" s="9" t="n">
        <v>7.37</v>
      </c>
      <c r="D15" s="8" t="s">
        <v>742</v>
      </c>
      <c r="E15" s="8" t="s">
        <v>743</v>
      </c>
    </row>
    <row r="16" customFormat="false" ht="15" hidden="false" customHeight="false" outlineLevel="0" collapsed="false">
      <c r="A16" s="8" t="s">
        <v>750</v>
      </c>
      <c r="B16" s="8" t="s">
        <v>751</v>
      </c>
      <c r="C16" s="9" t="n">
        <v>9.54</v>
      </c>
      <c r="D16" s="8" t="s">
        <v>742</v>
      </c>
      <c r="E16" s="8" t="s">
        <v>743</v>
      </c>
    </row>
    <row r="17" customFormat="false" ht="15" hidden="false" customHeight="false" outlineLevel="0" collapsed="false">
      <c r="A17" s="8" t="s">
        <v>752</v>
      </c>
      <c r="B17" s="8" t="s">
        <v>753</v>
      </c>
      <c r="C17" s="9" t="n">
        <v>94</v>
      </c>
      <c r="D17" s="8" t="s">
        <v>742</v>
      </c>
      <c r="E17" s="8" t="s">
        <v>743</v>
      </c>
    </row>
    <row r="18" customFormat="false" ht="15" hidden="false" customHeight="false" outlineLevel="0" collapsed="false">
      <c r="A18" s="8" t="s">
        <v>754</v>
      </c>
      <c r="B18" s="8" t="s">
        <v>755</v>
      </c>
      <c r="C18" s="9" t="n">
        <v>110.57</v>
      </c>
      <c r="D18" s="8" t="s">
        <v>742</v>
      </c>
      <c r="E18" s="8" t="s">
        <v>743</v>
      </c>
    </row>
    <row r="19" customFormat="false" ht="15" hidden="false" customHeight="false" outlineLevel="0" collapsed="false">
      <c r="A19" s="8" t="s">
        <v>756</v>
      </c>
      <c r="B19" s="8" t="s">
        <v>757</v>
      </c>
      <c r="C19" s="9" t="n">
        <v>84.1</v>
      </c>
      <c r="D19" s="8" t="s">
        <v>742</v>
      </c>
      <c r="E19" s="8" t="s">
        <v>743</v>
      </c>
    </row>
    <row r="20" customFormat="false" ht="15" hidden="false" customHeight="false" outlineLevel="0" collapsed="false">
      <c r="A20" s="8" t="s">
        <v>758</v>
      </c>
      <c r="B20" s="8" t="s">
        <v>759</v>
      </c>
      <c r="C20" s="9" t="n">
        <v>92.6</v>
      </c>
      <c r="D20" s="8" t="s">
        <v>742</v>
      </c>
      <c r="E20" s="8" t="s">
        <v>743</v>
      </c>
    </row>
    <row r="21" customFormat="false" ht="15" hidden="false" customHeight="false" outlineLevel="0" collapsed="false">
      <c r="A21" s="8" t="s">
        <v>760</v>
      </c>
      <c r="B21" s="8" t="s">
        <v>761</v>
      </c>
      <c r="C21" s="9" t="n">
        <v>87.6</v>
      </c>
      <c r="D21" s="8" t="s">
        <v>742</v>
      </c>
      <c r="E21" s="8" t="s">
        <v>743</v>
      </c>
    </row>
    <row r="22" customFormat="false" ht="15" hidden="false" customHeight="false" outlineLevel="0" collapsed="false">
      <c r="A22" s="8" t="s">
        <v>762</v>
      </c>
      <c r="B22" s="8" t="s">
        <v>763</v>
      </c>
      <c r="C22" s="9" t="n">
        <v>97.74</v>
      </c>
      <c r="D22" s="8" t="s">
        <v>742</v>
      </c>
      <c r="E22" s="8" t="s">
        <v>743</v>
      </c>
    </row>
    <row r="23" customFormat="false" ht="15" hidden="false" customHeight="false" outlineLevel="0" collapsed="false">
      <c r="A23" s="8" t="s">
        <v>764</v>
      </c>
      <c r="B23" s="8" t="s">
        <v>765</v>
      </c>
      <c r="C23" s="9" t="n">
        <v>119.97</v>
      </c>
      <c r="D23" s="8" t="s">
        <v>742</v>
      </c>
      <c r="E23" s="8" t="s">
        <v>743</v>
      </c>
    </row>
    <row r="24" customFormat="false" ht="15" hidden="false" customHeight="false" outlineLevel="0" collapsed="false">
      <c r="A24" s="8" t="s">
        <v>766</v>
      </c>
      <c r="B24" s="8" t="s">
        <v>767</v>
      </c>
      <c r="C24" s="9" t="n">
        <v>118.91</v>
      </c>
      <c r="D24" s="8" t="s">
        <v>742</v>
      </c>
      <c r="E24" s="8" t="s">
        <v>743</v>
      </c>
    </row>
    <row r="25" customFormat="false" ht="15" hidden="false" customHeight="false" outlineLevel="0" collapsed="false">
      <c r="A25" s="8" t="s">
        <v>768</v>
      </c>
      <c r="B25" s="8" t="s">
        <v>769</v>
      </c>
      <c r="C25" s="9" t="n">
        <v>1118.09</v>
      </c>
      <c r="D25" s="8" t="s">
        <v>742</v>
      </c>
      <c r="E25" s="8" t="s">
        <v>743</v>
      </c>
    </row>
    <row r="26" customFormat="false" ht="15" hidden="false" customHeight="false" outlineLevel="0" collapsed="false">
      <c r="A26" s="8" t="s">
        <v>770</v>
      </c>
      <c r="B26" s="8" t="s">
        <v>771</v>
      </c>
      <c r="C26" s="9" t="n">
        <v>1158.34</v>
      </c>
      <c r="D26" s="8" t="s">
        <v>742</v>
      </c>
      <c r="E26" s="8" t="s">
        <v>743</v>
      </c>
    </row>
    <row r="27" customFormat="false" ht="15" hidden="false" customHeight="false" outlineLevel="0" collapsed="false">
      <c r="A27" s="8" t="s">
        <v>772</v>
      </c>
      <c r="B27" s="8" t="s">
        <v>773</v>
      </c>
      <c r="C27" s="9" t="n">
        <v>1164</v>
      </c>
      <c r="D27" s="8" t="s">
        <v>742</v>
      </c>
      <c r="E27" s="8" t="s">
        <v>743</v>
      </c>
    </row>
    <row r="28" customFormat="false" ht="15" hidden="false" customHeight="false" outlineLevel="0" collapsed="false">
      <c r="A28" s="8" t="s">
        <v>774</v>
      </c>
      <c r="B28" s="8" t="s">
        <v>775</v>
      </c>
      <c r="C28" s="9" t="n">
        <v>95</v>
      </c>
      <c r="D28" s="8" t="s">
        <v>742</v>
      </c>
      <c r="E28" s="8" t="s">
        <v>743</v>
      </c>
    </row>
    <row r="29" customFormat="false" ht="15" hidden="false" customHeight="false" outlineLevel="0" collapsed="false">
      <c r="A29" s="8" t="s">
        <v>776</v>
      </c>
      <c r="B29" s="8" t="s">
        <v>777</v>
      </c>
      <c r="C29" s="9" t="n">
        <v>106.1</v>
      </c>
      <c r="D29" s="8" t="s">
        <v>742</v>
      </c>
      <c r="E29" s="8" t="s">
        <v>743</v>
      </c>
    </row>
    <row r="30" customFormat="false" ht="15" hidden="false" customHeight="false" outlineLevel="0" collapsed="false">
      <c r="A30" s="8" t="s">
        <v>778</v>
      </c>
      <c r="B30" s="8" t="s">
        <v>779</v>
      </c>
      <c r="C30" s="9" t="n">
        <v>63.3</v>
      </c>
      <c r="D30" s="8" t="s">
        <v>742</v>
      </c>
      <c r="E30" s="8" t="s">
        <v>743</v>
      </c>
    </row>
    <row r="31" customFormat="false" ht="15" hidden="false" customHeight="false" outlineLevel="0" collapsed="false">
      <c r="A31" s="8" t="s">
        <v>780</v>
      </c>
      <c r="B31" s="8" t="s">
        <v>781</v>
      </c>
      <c r="C31" s="9" t="n">
        <v>10.2</v>
      </c>
      <c r="D31" s="8" t="s">
        <v>742</v>
      </c>
      <c r="E31" s="8" t="s">
        <v>743</v>
      </c>
    </row>
    <row r="32" customFormat="false" ht="15" hidden="false" customHeight="false" outlineLevel="0" collapsed="false">
      <c r="A32" s="8" t="s">
        <v>782</v>
      </c>
      <c r="B32" s="8" t="s">
        <v>783</v>
      </c>
      <c r="C32" s="9" t="n">
        <v>48.8</v>
      </c>
      <c r="D32" s="8" t="s">
        <v>742</v>
      </c>
      <c r="E32" s="8" t="s">
        <v>743</v>
      </c>
    </row>
    <row r="33" customFormat="false" ht="15" hidden="false" customHeight="false" outlineLevel="0" collapsed="false">
      <c r="A33" s="8" t="s">
        <v>784</v>
      </c>
      <c r="B33" s="8" t="s">
        <v>785</v>
      </c>
      <c r="C33" s="9" t="n">
        <v>80.9</v>
      </c>
      <c r="D33" s="8" t="s">
        <v>786</v>
      </c>
      <c r="E33" s="8" t="s">
        <v>787</v>
      </c>
    </row>
    <row r="34" customFormat="false" ht="15" hidden="false" customHeight="false" outlineLevel="0" collapsed="false">
      <c r="A34" s="8" t="s">
        <v>788</v>
      </c>
      <c r="B34" s="8" t="s">
        <v>789</v>
      </c>
      <c r="C34" s="9" t="n">
        <v>70.7</v>
      </c>
      <c r="D34" s="8" t="s">
        <v>786</v>
      </c>
      <c r="E34" s="8" t="s">
        <v>787</v>
      </c>
    </row>
    <row r="35" customFormat="false" ht="15" hidden="false" customHeight="false" outlineLevel="0" collapsed="false">
      <c r="A35" s="8" t="s">
        <v>790</v>
      </c>
      <c r="B35" s="8" t="s">
        <v>791</v>
      </c>
      <c r="C35" s="9" t="n">
        <v>0.41</v>
      </c>
      <c r="D35" s="8" t="s">
        <v>786</v>
      </c>
      <c r="E35" s="8" t="s">
        <v>787</v>
      </c>
    </row>
    <row r="36" customFormat="false" ht="15" hidden="false" customHeight="false" outlineLevel="0" collapsed="false">
      <c r="A36" s="8" t="s">
        <v>792</v>
      </c>
      <c r="B36" s="8" t="s">
        <v>793</v>
      </c>
      <c r="C36" s="9" t="n">
        <v>0.48</v>
      </c>
      <c r="D36" s="8" t="s">
        <v>786</v>
      </c>
      <c r="E36" s="8" t="s">
        <v>787</v>
      </c>
    </row>
    <row r="37" customFormat="false" ht="15" hidden="false" customHeight="false" outlineLevel="0" collapsed="false">
      <c r="A37" s="8" t="s">
        <v>794</v>
      </c>
      <c r="B37" s="8" t="s">
        <v>795</v>
      </c>
      <c r="C37" s="9" t="n">
        <v>0.27</v>
      </c>
      <c r="D37" s="8" t="s">
        <v>786</v>
      </c>
      <c r="E37" s="8" t="s">
        <v>787</v>
      </c>
    </row>
    <row r="38" customFormat="false" ht="15" hidden="false" customHeight="false" outlineLevel="0" collapsed="false">
      <c r="A38" s="8" t="s">
        <v>796</v>
      </c>
      <c r="B38" s="8" t="s">
        <v>797</v>
      </c>
      <c r="C38" s="9" t="n">
        <v>0.08</v>
      </c>
      <c r="D38" s="8" t="s">
        <v>786</v>
      </c>
      <c r="E38" s="8" t="s">
        <v>787</v>
      </c>
    </row>
    <row r="39" customFormat="false" ht="15" hidden="false" customHeight="false" outlineLevel="0" collapsed="false">
      <c r="A39" s="8" t="s">
        <v>798</v>
      </c>
      <c r="B39" s="8" t="s">
        <v>799</v>
      </c>
      <c r="C39" s="9" t="n">
        <v>15.88</v>
      </c>
      <c r="D39" s="8" t="s">
        <v>786</v>
      </c>
      <c r="E39" s="8" t="s">
        <v>787</v>
      </c>
    </row>
  </sheetData>
  <autoFilter ref="A1:E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2026-09-24T01:56:47Z</dcterms:created>
  <dc:creator>openpyxl</dc:creator>
  <dc:description/>
  <dc:language>en-US</dc:language>
  <cp:lastModifiedBy/>
  <dcterms:modified xsi:type="dcterms:W3CDTF">2026-09-24T01:56:47Z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